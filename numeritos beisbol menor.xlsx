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rwi\Desktop\ProyectoNumeritosBeisbol\"/>
    </mc:Choice>
  </mc:AlternateContent>
  <xr:revisionPtr revIDLastSave="0" documentId="8_{073FC8C0-4F96-4526-B859-5CB1292E0A2E}" xr6:coauthVersionLast="47" xr6:coauthVersionMax="47" xr10:uidLastSave="{00000000-0000-0000-0000-000000000000}"/>
  <bookViews>
    <workbookView xWindow="2616" yWindow="2616" windowWidth="17280" windowHeight="8880" tabRatio="903" activeTab="9" xr2:uid="{95218143-7573-41F7-B4BF-6EA21C1FF358}"/>
  </bookViews>
  <sheets>
    <sheet name="equipo1" sheetId="1" r:id="rId1"/>
    <sheet name="equipo2" sheetId="3" r:id="rId2"/>
    <sheet name="equipo3" sheetId="2" r:id="rId3"/>
    <sheet name="equipo4" sheetId="5" r:id="rId4"/>
    <sheet name="equipo5" sheetId="6" r:id="rId5"/>
    <sheet name="equipo6" sheetId="7" r:id="rId6"/>
    <sheet name="equipo7" sheetId="9" r:id="rId7"/>
    <sheet name="equipo8" sheetId="10" r:id="rId8"/>
    <sheet name="equipo9" sheetId="11" r:id="rId9"/>
    <sheet name="equipo10" sheetId="12" r:id="rId10"/>
    <sheet name="total general" sheetId="13" r:id="rId11"/>
  </sheets>
  <definedNames>
    <definedName name="_xlnm._FilterDatabase" localSheetId="10" hidden="1">'total general'!$A$7:$V$102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Single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50" i="3" l="1"/>
  <c r="A49" i="3"/>
  <c r="A48" i="3"/>
  <c r="A47" i="3"/>
  <c r="A46" i="3"/>
  <c r="A45" i="3"/>
  <c r="A44" i="3"/>
  <c r="A43" i="3"/>
  <c r="A38" i="13"/>
  <c r="A42" i="3"/>
  <c r="A41" i="3"/>
  <c r="A40" i="3"/>
  <c r="A39" i="3"/>
  <c r="A34" i="13"/>
  <c r="A38" i="3"/>
  <c r="A37" i="3"/>
  <c r="A36" i="3"/>
  <c r="A35" i="3"/>
  <c r="A30" i="13"/>
  <c r="A34" i="3"/>
  <c r="A33" i="3"/>
  <c r="B50" i="3"/>
  <c r="B49" i="3"/>
  <c r="B48" i="3"/>
  <c r="B47" i="3"/>
  <c r="B42" i="13"/>
  <c r="B46" i="3"/>
  <c r="B45" i="3"/>
  <c r="B44" i="3"/>
  <c r="B43" i="3"/>
  <c r="B38" i="13"/>
  <c r="B42" i="3"/>
  <c r="B41" i="3"/>
  <c r="B40" i="3"/>
  <c r="B39" i="3"/>
  <c r="B38" i="3"/>
  <c r="B37" i="3"/>
  <c r="B36" i="3"/>
  <c r="B35" i="3"/>
  <c r="B30" i="13"/>
  <c r="B34" i="3"/>
  <c r="B33" i="3"/>
  <c r="Q20" i="1"/>
  <c r="Q8" i="1"/>
  <c r="V216" i="13"/>
  <c r="U216" i="13"/>
  <c r="T216" i="13"/>
  <c r="S216" i="13"/>
  <c r="R216" i="13"/>
  <c r="Q216" i="13"/>
  <c r="P216" i="13"/>
  <c r="O216" i="13"/>
  <c r="N216" i="13"/>
  <c r="M216" i="13"/>
  <c r="L216" i="13"/>
  <c r="K216" i="13"/>
  <c r="J216" i="13"/>
  <c r="I216" i="13"/>
  <c r="H216" i="13"/>
  <c r="G216" i="13"/>
  <c r="F216" i="13"/>
  <c r="E216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V208" i="13"/>
  <c r="U208" i="13"/>
  <c r="T208" i="13"/>
  <c r="S208" i="13"/>
  <c r="R208" i="13"/>
  <c r="Q208" i="13"/>
  <c r="P208" i="13"/>
  <c r="O208" i="13"/>
  <c r="N208" i="13"/>
  <c r="M208" i="13"/>
  <c r="L208" i="13"/>
  <c r="K208" i="13"/>
  <c r="J208" i="13"/>
  <c r="I208" i="13"/>
  <c r="H208" i="13"/>
  <c r="G208" i="13"/>
  <c r="F208" i="13"/>
  <c r="E208" i="13"/>
  <c r="V207" i="13"/>
  <c r="U207" i="13"/>
  <c r="T207" i="13"/>
  <c r="S207" i="13"/>
  <c r="R207" i="13"/>
  <c r="Q207" i="13"/>
  <c r="P207" i="13"/>
  <c r="O207" i="13"/>
  <c r="N207" i="13"/>
  <c r="M207" i="13"/>
  <c r="L207" i="13"/>
  <c r="K207" i="13"/>
  <c r="J207" i="13"/>
  <c r="I207" i="13"/>
  <c r="H207" i="13"/>
  <c r="G207" i="13"/>
  <c r="F207" i="13"/>
  <c r="E207" i="13"/>
  <c r="V206" i="13"/>
  <c r="U206" i="13"/>
  <c r="T206" i="13"/>
  <c r="S206" i="13"/>
  <c r="R206" i="13"/>
  <c r="Q206" i="13"/>
  <c r="P206" i="13"/>
  <c r="O206" i="13"/>
  <c r="N206" i="13"/>
  <c r="M206" i="13"/>
  <c r="L206" i="13"/>
  <c r="K206" i="13"/>
  <c r="J206" i="13"/>
  <c r="I206" i="13"/>
  <c r="H206" i="13"/>
  <c r="G206" i="13"/>
  <c r="F206" i="13"/>
  <c r="E206" i="13"/>
  <c r="V205" i="13"/>
  <c r="U205" i="13"/>
  <c r="T205" i="13"/>
  <c r="S205" i="13"/>
  <c r="R205" i="13"/>
  <c r="Q205" i="13"/>
  <c r="P205" i="13"/>
  <c r="O205" i="13"/>
  <c r="N205" i="13"/>
  <c r="M205" i="13"/>
  <c r="L205" i="13"/>
  <c r="K205" i="13"/>
  <c r="J205" i="13"/>
  <c r="I205" i="13"/>
  <c r="H205" i="13"/>
  <c r="G205" i="13"/>
  <c r="F205" i="13"/>
  <c r="E205" i="13"/>
  <c r="V204" i="13"/>
  <c r="U204" i="13"/>
  <c r="T204" i="13"/>
  <c r="S204" i="13"/>
  <c r="R204" i="13"/>
  <c r="Q204" i="13"/>
  <c r="P204" i="13"/>
  <c r="O204" i="13"/>
  <c r="N204" i="13"/>
  <c r="M204" i="13"/>
  <c r="L204" i="13"/>
  <c r="K204" i="13"/>
  <c r="J204" i="13"/>
  <c r="I204" i="13"/>
  <c r="H204" i="13"/>
  <c r="G204" i="13"/>
  <c r="F204" i="13"/>
  <c r="E204" i="13"/>
  <c r="V203" i="13"/>
  <c r="U203" i="13"/>
  <c r="T203" i="13"/>
  <c r="S203" i="13"/>
  <c r="R203" i="13"/>
  <c r="Q203" i="13"/>
  <c r="P203" i="13"/>
  <c r="O203" i="13"/>
  <c r="N203" i="13"/>
  <c r="M203" i="13"/>
  <c r="L203" i="13"/>
  <c r="K203" i="13"/>
  <c r="J203" i="13"/>
  <c r="I203" i="13"/>
  <c r="H203" i="13"/>
  <c r="G203" i="13"/>
  <c r="F203" i="13"/>
  <c r="E203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V199" i="13"/>
  <c r="U199" i="13"/>
  <c r="T199" i="13"/>
  <c r="S199" i="13"/>
  <c r="R199" i="13"/>
  <c r="Q199" i="13"/>
  <c r="P199" i="13"/>
  <c r="O199" i="13"/>
  <c r="N199" i="13"/>
  <c r="M199" i="13"/>
  <c r="L199" i="13"/>
  <c r="K199" i="13"/>
  <c r="J199" i="13"/>
  <c r="I199" i="13"/>
  <c r="H199" i="13"/>
  <c r="G199" i="13"/>
  <c r="F199" i="13"/>
  <c r="E199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216" i="13"/>
  <c r="D215" i="13"/>
  <c r="D214" i="13"/>
  <c r="D213" i="13"/>
  <c r="D212" i="13"/>
  <c r="D211" i="13"/>
  <c r="D210" i="13"/>
  <c r="D209" i="13"/>
  <c r="D208" i="13"/>
  <c r="D207" i="13"/>
  <c r="D206" i="13"/>
  <c r="D205" i="13"/>
  <c r="D204" i="13"/>
  <c r="D203" i="13"/>
  <c r="D202" i="13"/>
  <c r="D201" i="13"/>
  <c r="D200" i="13"/>
  <c r="D199" i="13"/>
  <c r="D198" i="13"/>
  <c r="C216" i="13"/>
  <c r="C215" i="13"/>
  <c r="C214" i="13"/>
  <c r="C213" i="13"/>
  <c r="C212" i="13"/>
  <c r="C211" i="13"/>
  <c r="C210" i="13"/>
  <c r="C209" i="13"/>
  <c r="C208" i="13"/>
  <c r="C207" i="13"/>
  <c r="C206" i="13"/>
  <c r="C205" i="13"/>
  <c r="C204" i="13"/>
  <c r="C203" i="13"/>
  <c r="C202" i="13"/>
  <c r="C201" i="13"/>
  <c r="C200" i="13"/>
  <c r="C199" i="13"/>
  <c r="C198" i="13"/>
  <c r="B216" i="13"/>
  <c r="B215" i="13"/>
  <c r="B214" i="13"/>
  <c r="B213" i="13"/>
  <c r="B212" i="13"/>
  <c r="B211" i="13"/>
  <c r="A216" i="13"/>
  <c r="A215" i="13"/>
  <c r="A214" i="13"/>
  <c r="A213" i="13"/>
  <c r="A210" i="13"/>
  <c r="A206" i="13"/>
  <c r="A202" i="13"/>
  <c r="A198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V191" i="13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G191" i="13"/>
  <c r="F191" i="13"/>
  <c r="E191" i="13"/>
  <c r="V190" i="13"/>
  <c r="U190" i="13"/>
  <c r="T190" i="13"/>
  <c r="S190" i="13"/>
  <c r="R190" i="13"/>
  <c r="Q190" i="13"/>
  <c r="P190" i="13"/>
  <c r="O190" i="13"/>
  <c r="N190" i="13"/>
  <c r="M190" i="13"/>
  <c r="L190" i="13"/>
  <c r="K190" i="13"/>
  <c r="J190" i="13"/>
  <c r="I190" i="13"/>
  <c r="H190" i="13"/>
  <c r="G190" i="13"/>
  <c r="F190" i="13"/>
  <c r="E190" i="13"/>
  <c r="V189" i="13"/>
  <c r="U189" i="13"/>
  <c r="T189" i="13"/>
  <c r="S189" i="13"/>
  <c r="R189" i="13"/>
  <c r="Q189" i="13"/>
  <c r="P189" i="13"/>
  <c r="O189" i="13"/>
  <c r="N189" i="13"/>
  <c r="M189" i="13"/>
  <c r="L189" i="13"/>
  <c r="K189" i="13"/>
  <c r="J189" i="13"/>
  <c r="I189" i="13"/>
  <c r="H189" i="13"/>
  <c r="G189" i="13"/>
  <c r="F189" i="13"/>
  <c r="E189" i="13"/>
  <c r="V188" i="13"/>
  <c r="U188" i="13"/>
  <c r="T188" i="13"/>
  <c r="S188" i="13"/>
  <c r="R188" i="13"/>
  <c r="Q188" i="13"/>
  <c r="P188" i="13"/>
  <c r="O188" i="13"/>
  <c r="N188" i="13"/>
  <c r="M188" i="13"/>
  <c r="L188" i="13"/>
  <c r="K188" i="13"/>
  <c r="J188" i="13"/>
  <c r="I188" i="13"/>
  <c r="H188" i="13"/>
  <c r="G188" i="13"/>
  <c r="F188" i="13"/>
  <c r="E188" i="13"/>
  <c r="V187" i="13"/>
  <c r="U187" i="13"/>
  <c r="T187" i="13"/>
  <c r="S187" i="13"/>
  <c r="R187" i="13"/>
  <c r="Q187" i="13"/>
  <c r="P187" i="13"/>
  <c r="O187" i="13"/>
  <c r="N187" i="13"/>
  <c r="M187" i="13"/>
  <c r="L187" i="13"/>
  <c r="K187" i="13"/>
  <c r="J187" i="13"/>
  <c r="I187" i="13"/>
  <c r="H187" i="13"/>
  <c r="G187" i="13"/>
  <c r="F187" i="13"/>
  <c r="E187" i="13"/>
  <c r="V186" i="13"/>
  <c r="U186" i="13"/>
  <c r="T186" i="13"/>
  <c r="S186" i="13"/>
  <c r="R186" i="13"/>
  <c r="Q186" i="13"/>
  <c r="P186" i="13"/>
  <c r="O186" i="13"/>
  <c r="N186" i="13"/>
  <c r="M186" i="13"/>
  <c r="L186" i="13"/>
  <c r="K186" i="13"/>
  <c r="J186" i="13"/>
  <c r="I186" i="13"/>
  <c r="H186" i="13"/>
  <c r="G186" i="13"/>
  <c r="F186" i="13"/>
  <c r="E186" i="13"/>
  <c r="V185" i="13"/>
  <c r="U185" i="13"/>
  <c r="T185" i="13"/>
  <c r="S185" i="13"/>
  <c r="R185" i="13"/>
  <c r="Q185" i="13"/>
  <c r="P185" i="13"/>
  <c r="O185" i="13"/>
  <c r="N185" i="13"/>
  <c r="M185" i="13"/>
  <c r="L185" i="13"/>
  <c r="K185" i="13"/>
  <c r="J185" i="13"/>
  <c r="I185" i="13"/>
  <c r="H185" i="13"/>
  <c r="G185" i="13"/>
  <c r="F185" i="13"/>
  <c r="E185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V181" i="13"/>
  <c r="U181" i="13"/>
  <c r="T181" i="13"/>
  <c r="S181" i="13"/>
  <c r="R181" i="13"/>
  <c r="Q181" i="13"/>
  <c r="P181" i="13"/>
  <c r="O181" i="13"/>
  <c r="N181" i="13"/>
  <c r="M181" i="13"/>
  <c r="L181" i="13"/>
  <c r="K181" i="13"/>
  <c r="J181" i="13"/>
  <c r="I181" i="13"/>
  <c r="H181" i="13"/>
  <c r="G181" i="13"/>
  <c r="F181" i="13"/>
  <c r="E181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97" i="13"/>
  <c r="D196" i="13"/>
  <c r="D195" i="13"/>
  <c r="D194" i="13"/>
  <c r="D193" i="13"/>
  <c r="D192" i="13"/>
  <c r="D191" i="13"/>
  <c r="D190" i="13"/>
  <c r="D189" i="13"/>
  <c r="D188" i="13"/>
  <c r="D187" i="13"/>
  <c r="D186" i="13"/>
  <c r="D185" i="13"/>
  <c r="D184" i="13"/>
  <c r="D183" i="13"/>
  <c r="D182" i="13"/>
  <c r="D181" i="13"/>
  <c r="D180" i="13"/>
  <c r="D179" i="13"/>
  <c r="C197" i="13"/>
  <c r="C196" i="13"/>
  <c r="C195" i="13"/>
  <c r="C194" i="13"/>
  <c r="C193" i="13"/>
  <c r="C192" i="13"/>
  <c r="C191" i="13"/>
  <c r="C190" i="13"/>
  <c r="C189" i="13"/>
  <c r="C188" i="13"/>
  <c r="C187" i="13"/>
  <c r="C186" i="13"/>
  <c r="C185" i="13"/>
  <c r="C184" i="13"/>
  <c r="C183" i="13"/>
  <c r="C182" i="13"/>
  <c r="C181" i="13"/>
  <c r="C180" i="13"/>
  <c r="C179" i="13"/>
  <c r="B197" i="13"/>
  <c r="B196" i="13"/>
  <c r="B195" i="13"/>
  <c r="B194" i="13"/>
  <c r="B191" i="13"/>
  <c r="A197" i="13"/>
  <c r="A196" i="13"/>
  <c r="A195" i="13"/>
  <c r="A194" i="13"/>
  <c r="A193" i="13"/>
  <c r="A192" i="13"/>
  <c r="A189" i="13"/>
  <c r="A181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V174" i="13"/>
  <c r="U174" i="13"/>
  <c r="T174" i="13"/>
  <c r="S174" i="13"/>
  <c r="R174" i="13"/>
  <c r="Q174" i="13"/>
  <c r="P174" i="13"/>
  <c r="O174" i="13"/>
  <c r="N174" i="13"/>
  <c r="M174" i="13"/>
  <c r="L174" i="13"/>
  <c r="K174" i="13"/>
  <c r="J174" i="13"/>
  <c r="I174" i="13"/>
  <c r="H174" i="13"/>
  <c r="G174" i="13"/>
  <c r="F174" i="13"/>
  <c r="E174" i="13"/>
  <c r="V173" i="13"/>
  <c r="U173" i="13"/>
  <c r="T173" i="13"/>
  <c r="S173" i="13"/>
  <c r="R173" i="13"/>
  <c r="Q173" i="13"/>
  <c r="P173" i="13"/>
  <c r="O173" i="13"/>
  <c r="N173" i="13"/>
  <c r="M173" i="13"/>
  <c r="L173" i="13"/>
  <c r="K173" i="13"/>
  <c r="J173" i="13"/>
  <c r="I173" i="13"/>
  <c r="H173" i="13"/>
  <c r="G173" i="13"/>
  <c r="F173" i="13"/>
  <c r="E173" i="13"/>
  <c r="V172" i="13"/>
  <c r="U172" i="13"/>
  <c r="T172" i="13"/>
  <c r="S172" i="13"/>
  <c r="R172" i="13"/>
  <c r="Q172" i="13"/>
  <c r="P172" i="13"/>
  <c r="O172" i="13"/>
  <c r="N172" i="13"/>
  <c r="M172" i="13"/>
  <c r="L172" i="13"/>
  <c r="K172" i="13"/>
  <c r="J172" i="13"/>
  <c r="I172" i="13"/>
  <c r="H172" i="13"/>
  <c r="G172" i="13"/>
  <c r="F172" i="13"/>
  <c r="E172" i="13"/>
  <c r="V171" i="13"/>
  <c r="U171" i="13"/>
  <c r="T171" i="13"/>
  <c r="S171" i="13"/>
  <c r="R171" i="13"/>
  <c r="Q171" i="13"/>
  <c r="P171" i="13"/>
  <c r="O171" i="13"/>
  <c r="N171" i="13"/>
  <c r="M171" i="13"/>
  <c r="L171" i="13"/>
  <c r="K171" i="13"/>
  <c r="J171" i="13"/>
  <c r="I171" i="13"/>
  <c r="H171" i="13"/>
  <c r="G171" i="13"/>
  <c r="F171" i="13"/>
  <c r="E171" i="13"/>
  <c r="V170" i="13"/>
  <c r="U170" i="13"/>
  <c r="T170" i="13"/>
  <c r="S170" i="13"/>
  <c r="R170" i="13"/>
  <c r="Q170" i="13"/>
  <c r="P170" i="13"/>
  <c r="O170" i="13"/>
  <c r="N170" i="13"/>
  <c r="M170" i="13"/>
  <c r="L170" i="13"/>
  <c r="K170" i="13"/>
  <c r="J170" i="13"/>
  <c r="I170" i="13"/>
  <c r="H170" i="13"/>
  <c r="G170" i="13"/>
  <c r="F170" i="13"/>
  <c r="E170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V166" i="13"/>
  <c r="U166" i="13"/>
  <c r="T166" i="13"/>
  <c r="S166" i="13"/>
  <c r="R166" i="13"/>
  <c r="Q166" i="13"/>
  <c r="P166" i="13"/>
  <c r="O166" i="13"/>
  <c r="N166" i="13"/>
  <c r="M166" i="13"/>
  <c r="L166" i="13"/>
  <c r="K166" i="13"/>
  <c r="J166" i="13"/>
  <c r="I166" i="13"/>
  <c r="H166" i="13"/>
  <c r="G166" i="13"/>
  <c r="F166" i="13"/>
  <c r="E166" i="13"/>
  <c r="V165" i="13"/>
  <c r="U165" i="13"/>
  <c r="T165" i="13"/>
  <c r="S165" i="13"/>
  <c r="R165" i="13"/>
  <c r="Q165" i="13"/>
  <c r="P165" i="13"/>
  <c r="O165" i="13"/>
  <c r="N165" i="13"/>
  <c r="M165" i="13"/>
  <c r="L165" i="13"/>
  <c r="K165" i="13"/>
  <c r="J165" i="13"/>
  <c r="I165" i="13"/>
  <c r="H165" i="13"/>
  <c r="G165" i="13"/>
  <c r="F165" i="13"/>
  <c r="E165" i="13"/>
  <c r="V164" i="13"/>
  <c r="U164" i="13"/>
  <c r="T164" i="13"/>
  <c r="S164" i="13"/>
  <c r="R164" i="13"/>
  <c r="Q164" i="13"/>
  <c r="P164" i="13"/>
  <c r="O164" i="13"/>
  <c r="N164" i="13"/>
  <c r="M164" i="13"/>
  <c r="L164" i="13"/>
  <c r="K164" i="13"/>
  <c r="J164" i="13"/>
  <c r="I164" i="13"/>
  <c r="H164" i="13"/>
  <c r="G164" i="13"/>
  <c r="F164" i="13"/>
  <c r="E164" i="13"/>
  <c r="V163" i="13"/>
  <c r="U163" i="13"/>
  <c r="T163" i="13"/>
  <c r="S163" i="13"/>
  <c r="R163" i="13"/>
  <c r="Q163" i="13"/>
  <c r="P163" i="13"/>
  <c r="O163" i="13"/>
  <c r="N163" i="13"/>
  <c r="M163" i="13"/>
  <c r="L163" i="13"/>
  <c r="K163" i="13"/>
  <c r="J163" i="13"/>
  <c r="I163" i="13"/>
  <c r="H163" i="13"/>
  <c r="G163" i="13"/>
  <c r="F163" i="13"/>
  <c r="E163" i="13"/>
  <c r="V162" i="13"/>
  <c r="U162" i="13"/>
  <c r="T162" i="13"/>
  <c r="S162" i="13"/>
  <c r="R162" i="13"/>
  <c r="Q162" i="13"/>
  <c r="P162" i="13"/>
  <c r="O162" i="13"/>
  <c r="N162" i="13"/>
  <c r="M162" i="13"/>
  <c r="L162" i="13"/>
  <c r="K162" i="13"/>
  <c r="J162" i="13"/>
  <c r="I162" i="13"/>
  <c r="H162" i="13"/>
  <c r="G162" i="13"/>
  <c r="F162" i="13"/>
  <c r="E162" i="13"/>
  <c r="V161" i="13"/>
  <c r="U161" i="13"/>
  <c r="T161" i="13"/>
  <c r="S161" i="13"/>
  <c r="R161" i="13"/>
  <c r="Q161" i="13"/>
  <c r="P161" i="13"/>
  <c r="O161" i="13"/>
  <c r="N161" i="13"/>
  <c r="M161" i="13"/>
  <c r="L161" i="13"/>
  <c r="K161" i="13"/>
  <c r="J161" i="13"/>
  <c r="I161" i="13"/>
  <c r="H161" i="13"/>
  <c r="G161" i="13"/>
  <c r="F161" i="13"/>
  <c r="E161" i="13"/>
  <c r="V160" i="13"/>
  <c r="U160" i="13"/>
  <c r="T160" i="13"/>
  <c r="S160" i="13"/>
  <c r="R160" i="13"/>
  <c r="Q160" i="13"/>
  <c r="P160" i="13"/>
  <c r="O160" i="13"/>
  <c r="N160" i="13"/>
  <c r="M160" i="13"/>
  <c r="L160" i="13"/>
  <c r="K160" i="13"/>
  <c r="J160" i="13"/>
  <c r="I160" i="13"/>
  <c r="H160" i="13"/>
  <c r="G160" i="13"/>
  <c r="F160" i="13"/>
  <c r="E160" i="13"/>
  <c r="D178" i="13"/>
  <c r="D177" i="13"/>
  <c r="D176" i="13"/>
  <c r="D175" i="13"/>
  <c r="D174" i="13"/>
  <c r="D173" i="13"/>
  <c r="D172" i="13"/>
  <c r="D171" i="13"/>
  <c r="D170" i="13"/>
  <c r="D169" i="13"/>
  <c r="D168" i="13"/>
  <c r="D167" i="13"/>
  <c r="D166" i="13"/>
  <c r="D165" i="13"/>
  <c r="D164" i="13"/>
  <c r="D163" i="13"/>
  <c r="D162" i="13"/>
  <c r="D161" i="13"/>
  <c r="D160" i="13"/>
  <c r="C178" i="13"/>
  <c r="C177" i="13"/>
  <c r="C176" i="13"/>
  <c r="C175" i="13"/>
  <c r="C174" i="13"/>
  <c r="C173" i="13"/>
  <c r="C172" i="13"/>
  <c r="C171" i="13"/>
  <c r="C170" i="13"/>
  <c r="C169" i="13"/>
  <c r="C168" i="13"/>
  <c r="C167" i="13"/>
  <c r="C166" i="13"/>
  <c r="C165" i="13"/>
  <c r="C164" i="13"/>
  <c r="C163" i="13"/>
  <c r="C162" i="13"/>
  <c r="C161" i="13"/>
  <c r="C160" i="13"/>
  <c r="B178" i="13"/>
  <c r="B177" i="13"/>
  <c r="B161" i="13"/>
  <c r="A178" i="13"/>
  <c r="A177" i="13"/>
  <c r="A176" i="13"/>
  <c r="A175" i="13"/>
  <c r="A172" i="13"/>
  <c r="A168" i="13"/>
  <c r="A164" i="13"/>
  <c r="A160" i="13"/>
  <c r="A159" i="13"/>
  <c r="V159" i="13"/>
  <c r="U159" i="13"/>
  <c r="T159" i="13"/>
  <c r="S159" i="13"/>
  <c r="R159" i="13"/>
  <c r="Q159" i="13"/>
  <c r="P159" i="13"/>
  <c r="O159" i="13"/>
  <c r="N159" i="13"/>
  <c r="M159" i="13"/>
  <c r="L159" i="13"/>
  <c r="K159" i="13"/>
  <c r="J159" i="13"/>
  <c r="I159" i="13"/>
  <c r="H159" i="13"/>
  <c r="G159" i="13"/>
  <c r="F159" i="13"/>
  <c r="E159" i="13"/>
  <c r="V158" i="13"/>
  <c r="U158" i="13"/>
  <c r="T158" i="13"/>
  <c r="S158" i="13"/>
  <c r="R158" i="13"/>
  <c r="Q158" i="13"/>
  <c r="P158" i="13"/>
  <c r="O158" i="13"/>
  <c r="N158" i="13"/>
  <c r="M158" i="13"/>
  <c r="L158" i="13"/>
  <c r="K158" i="13"/>
  <c r="J158" i="13"/>
  <c r="I158" i="13"/>
  <c r="H158" i="13"/>
  <c r="G158" i="13"/>
  <c r="F158" i="13"/>
  <c r="E158" i="13"/>
  <c r="V157" i="13"/>
  <c r="U157" i="13"/>
  <c r="T157" i="13"/>
  <c r="S157" i="13"/>
  <c r="R157" i="13"/>
  <c r="Q157" i="13"/>
  <c r="P157" i="13"/>
  <c r="O157" i="13"/>
  <c r="N157" i="13"/>
  <c r="M157" i="13"/>
  <c r="L157" i="13"/>
  <c r="K157" i="13"/>
  <c r="J157" i="13"/>
  <c r="I157" i="13"/>
  <c r="H157" i="13"/>
  <c r="G157" i="13"/>
  <c r="F157" i="13"/>
  <c r="E157" i="13"/>
  <c r="V156" i="13"/>
  <c r="U156" i="13"/>
  <c r="T156" i="13"/>
  <c r="S156" i="13"/>
  <c r="R156" i="13"/>
  <c r="Q156" i="13"/>
  <c r="P156" i="13"/>
  <c r="O156" i="13"/>
  <c r="N156" i="13"/>
  <c r="M156" i="13"/>
  <c r="L156" i="13"/>
  <c r="K156" i="13"/>
  <c r="J156" i="13"/>
  <c r="I156" i="13"/>
  <c r="H156" i="13"/>
  <c r="G156" i="13"/>
  <c r="F156" i="13"/>
  <c r="E156" i="13"/>
  <c r="V155" i="13"/>
  <c r="U155" i="13"/>
  <c r="T155" i="13"/>
  <c r="S155" i="13"/>
  <c r="R155" i="13"/>
  <c r="Q155" i="13"/>
  <c r="P155" i="13"/>
  <c r="O155" i="13"/>
  <c r="N155" i="13"/>
  <c r="M155" i="13"/>
  <c r="L155" i="13"/>
  <c r="K155" i="13"/>
  <c r="J155" i="13"/>
  <c r="I155" i="13"/>
  <c r="H155" i="13"/>
  <c r="G155" i="13"/>
  <c r="F155" i="13"/>
  <c r="E155" i="13"/>
  <c r="V154" i="13"/>
  <c r="U154" i="13"/>
  <c r="T154" i="13"/>
  <c r="S154" i="13"/>
  <c r="R154" i="13"/>
  <c r="Q154" i="13"/>
  <c r="P154" i="13"/>
  <c r="O154" i="13"/>
  <c r="N154" i="13"/>
  <c r="M154" i="13"/>
  <c r="L154" i="13"/>
  <c r="K154" i="13"/>
  <c r="J154" i="13"/>
  <c r="I154" i="13"/>
  <c r="H154" i="13"/>
  <c r="G154" i="13"/>
  <c r="F154" i="13"/>
  <c r="E154" i="13"/>
  <c r="V153" i="13"/>
  <c r="U153" i="13"/>
  <c r="T153" i="13"/>
  <c r="S153" i="13"/>
  <c r="R153" i="13"/>
  <c r="Q153" i="13"/>
  <c r="P153" i="13"/>
  <c r="O153" i="13"/>
  <c r="N153" i="13"/>
  <c r="M153" i="13"/>
  <c r="L153" i="13"/>
  <c r="K153" i="13"/>
  <c r="J153" i="13"/>
  <c r="I153" i="13"/>
  <c r="H153" i="13"/>
  <c r="G153" i="13"/>
  <c r="F153" i="13"/>
  <c r="E153" i="13"/>
  <c r="V152" i="13"/>
  <c r="U152" i="13"/>
  <c r="T152" i="13"/>
  <c r="S152" i="13"/>
  <c r="R152" i="13"/>
  <c r="Q152" i="13"/>
  <c r="P152" i="13"/>
  <c r="O152" i="13"/>
  <c r="N152" i="13"/>
  <c r="M152" i="13"/>
  <c r="L152" i="13"/>
  <c r="K152" i="13"/>
  <c r="J152" i="13"/>
  <c r="I152" i="13"/>
  <c r="H152" i="13"/>
  <c r="G152" i="13"/>
  <c r="F152" i="13"/>
  <c r="E152" i="13"/>
  <c r="V151" i="13"/>
  <c r="U151" i="13"/>
  <c r="T151" i="13"/>
  <c r="S151" i="13"/>
  <c r="R151" i="13"/>
  <c r="Q151" i="13"/>
  <c r="P151" i="13"/>
  <c r="O151" i="13"/>
  <c r="N151" i="13"/>
  <c r="M151" i="13"/>
  <c r="L151" i="13"/>
  <c r="K151" i="13"/>
  <c r="J151" i="13"/>
  <c r="I151" i="13"/>
  <c r="H151" i="13"/>
  <c r="G151" i="13"/>
  <c r="F151" i="13"/>
  <c r="E151" i="13"/>
  <c r="V150" i="13"/>
  <c r="U150" i="13"/>
  <c r="T150" i="13"/>
  <c r="S150" i="13"/>
  <c r="R150" i="13"/>
  <c r="Q150" i="13"/>
  <c r="P150" i="13"/>
  <c r="O150" i="13"/>
  <c r="N150" i="13"/>
  <c r="M150" i="13"/>
  <c r="L150" i="13"/>
  <c r="K150" i="13"/>
  <c r="J150" i="13"/>
  <c r="I150" i="13"/>
  <c r="H150" i="13"/>
  <c r="G150" i="13"/>
  <c r="F150" i="13"/>
  <c r="E150" i="13"/>
  <c r="V149" i="13"/>
  <c r="U149" i="13"/>
  <c r="T149" i="13"/>
  <c r="S149" i="13"/>
  <c r="R149" i="13"/>
  <c r="Q149" i="13"/>
  <c r="P149" i="13"/>
  <c r="O149" i="13"/>
  <c r="N149" i="13"/>
  <c r="M149" i="13"/>
  <c r="L149" i="13"/>
  <c r="K149" i="13"/>
  <c r="J149" i="13"/>
  <c r="I149" i="13"/>
  <c r="H149" i="13"/>
  <c r="G149" i="13"/>
  <c r="F149" i="13"/>
  <c r="E149" i="13"/>
  <c r="V148" i="13"/>
  <c r="U148" i="13"/>
  <c r="T148" i="13"/>
  <c r="S148" i="13"/>
  <c r="R148" i="13"/>
  <c r="Q148" i="13"/>
  <c r="P148" i="13"/>
  <c r="O148" i="13"/>
  <c r="N148" i="13"/>
  <c r="M148" i="13"/>
  <c r="L148" i="13"/>
  <c r="K148" i="13"/>
  <c r="J148" i="13"/>
  <c r="I148" i="13"/>
  <c r="H148" i="13"/>
  <c r="G148" i="13"/>
  <c r="F148" i="13"/>
  <c r="E148" i="13"/>
  <c r="V147" i="13"/>
  <c r="U147" i="13"/>
  <c r="T147" i="13"/>
  <c r="S147" i="13"/>
  <c r="R147" i="13"/>
  <c r="Q147" i="13"/>
  <c r="P147" i="13"/>
  <c r="O147" i="13"/>
  <c r="N147" i="13"/>
  <c r="M147" i="13"/>
  <c r="L147" i="13"/>
  <c r="K147" i="13"/>
  <c r="J147" i="13"/>
  <c r="I147" i="13"/>
  <c r="H147" i="13"/>
  <c r="G147" i="13"/>
  <c r="F147" i="13"/>
  <c r="E147" i="13"/>
  <c r="V146" i="13"/>
  <c r="U146" i="13"/>
  <c r="T146" i="13"/>
  <c r="S146" i="13"/>
  <c r="R146" i="13"/>
  <c r="Q146" i="13"/>
  <c r="P146" i="13"/>
  <c r="O146" i="13"/>
  <c r="N146" i="13"/>
  <c r="M146" i="13"/>
  <c r="L146" i="13"/>
  <c r="K146" i="13"/>
  <c r="J146" i="13"/>
  <c r="I146" i="13"/>
  <c r="H146" i="13"/>
  <c r="G146" i="13"/>
  <c r="F146" i="13"/>
  <c r="E146" i="13"/>
  <c r="V145" i="13"/>
  <c r="U145" i="13"/>
  <c r="T145" i="13"/>
  <c r="S145" i="13"/>
  <c r="R145" i="13"/>
  <c r="Q145" i="13"/>
  <c r="P145" i="13"/>
  <c r="O145" i="13"/>
  <c r="N145" i="13"/>
  <c r="M145" i="13"/>
  <c r="L145" i="13"/>
  <c r="K145" i="13"/>
  <c r="J145" i="13"/>
  <c r="I145" i="13"/>
  <c r="H145" i="13"/>
  <c r="G145" i="13"/>
  <c r="F145" i="13"/>
  <c r="E145" i="13"/>
  <c r="V144" i="13"/>
  <c r="U144" i="13"/>
  <c r="T144" i="13"/>
  <c r="S144" i="13"/>
  <c r="R144" i="13"/>
  <c r="Q144" i="13"/>
  <c r="P144" i="13"/>
  <c r="O144" i="13"/>
  <c r="N144" i="13"/>
  <c r="M144" i="13"/>
  <c r="L144" i="13"/>
  <c r="K144" i="13"/>
  <c r="J144" i="13"/>
  <c r="I144" i="13"/>
  <c r="H144" i="13"/>
  <c r="G144" i="13"/>
  <c r="F144" i="13"/>
  <c r="E144" i="13"/>
  <c r="V143" i="13"/>
  <c r="U143" i="13"/>
  <c r="T143" i="13"/>
  <c r="S143" i="13"/>
  <c r="R143" i="13"/>
  <c r="Q143" i="13"/>
  <c r="P143" i="13"/>
  <c r="O143" i="13"/>
  <c r="N143" i="13"/>
  <c r="M143" i="13"/>
  <c r="L143" i="13"/>
  <c r="K143" i="13"/>
  <c r="J143" i="13"/>
  <c r="I143" i="13"/>
  <c r="H143" i="13"/>
  <c r="G143" i="13"/>
  <c r="F143" i="13"/>
  <c r="E143" i="13"/>
  <c r="V142" i="13"/>
  <c r="U142" i="13"/>
  <c r="T142" i="13"/>
  <c r="S142" i="13"/>
  <c r="R142" i="13"/>
  <c r="Q142" i="13"/>
  <c r="P142" i="13"/>
  <c r="O142" i="13"/>
  <c r="N142" i="13"/>
  <c r="M142" i="13"/>
  <c r="L142" i="13"/>
  <c r="K142" i="13"/>
  <c r="J142" i="13"/>
  <c r="I142" i="13"/>
  <c r="H142" i="13"/>
  <c r="G142" i="13"/>
  <c r="F142" i="13"/>
  <c r="E142" i="13"/>
  <c r="V141" i="13"/>
  <c r="U141" i="13"/>
  <c r="T141" i="13"/>
  <c r="S141" i="13"/>
  <c r="R141" i="13"/>
  <c r="Q141" i="13"/>
  <c r="P141" i="13"/>
  <c r="O141" i="13"/>
  <c r="N141" i="13"/>
  <c r="M141" i="13"/>
  <c r="L141" i="13"/>
  <c r="K141" i="13"/>
  <c r="J141" i="13"/>
  <c r="I141" i="13"/>
  <c r="H141" i="13"/>
  <c r="G141" i="13"/>
  <c r="F141" i="13"/>
  <c r="E141" i="13"/>
  <c r="D159" i="13"/>
  <c r="D158" i="13"/>
  <c r="D157" i="13"/>
  <c r="D156" i="13"/>
  <c r="D155" i="13"/>
  <c r="D154" i="13"/>
  <c r="D153" i="13"/>
  <c r="D152" i="13"/>
  <c r="D151" i="13"/>
  <c r="D150" i="13"/>
  <c r="D149" i="13"/>
  <c r="D148" i="13"/>
  <c r="D147" i="13"/>
  <c r="D146" i="13"/>
  <c r="D145" i="13"/>
  <c r="D144" i="13"/>
  <c r="D143" i="13"/>
  <c r="D142" i="13"/>
  <c r="D141" i="13"/>
  <c r="C159" i="13"/>
  <c r="C158" i="13"/>
  <c r="C157" i="13"/>
  <c r="C156" i="13"/>
  <c r="C155" i="13"/>
  <c r="C154" i="13"/>
  <c r="C153" i="13"/>
  <c r="C152" i="13"/>
  <c r="C151" i="13"/>
  <c r="C150" i="13"/>
  <c r="C149" i="13"/>
  <c r="C148" i="13"/>
  <c r="C147" i="13"/>
  <c r="C146" i="13"/>
  <c r="C145" i="13"/>
  <c r="C144" i="13"/>
  <c r="C143" i="13"/>
  <c r="C142" i="13"/>
  <c r="C141" i="13"/>
  <c r="B159" i="13"/>
  <c r="B158" i="13"/>
  <c r="B146" i="13"/>
  <c r="B145" i="13"/>
  <c r="A158" i="13"/>
  <c r="A157" i="13"/>
  <c r="A156" i="13"/>
  <c r="A155" i="13"/>
  <c r="A151" i="13"/>
  <c r="A147" i="13"/>
  <c r="A143" i="13"/>
  <c r="V140" i="13"/>
  <c r="U140" i="13"/>
  <c r="T140" i="13"/>
  <c r="S140" i="13"/>
  <c r="R140" i="13"/>
  <c r="Q140" i="13"/>
  <c r="P140" i="13"/>
  <c r="O140" i="13"/>
  <c r="N140" i="13"/>
  <c r="M140" i="13"/>
  <c r="L140" i="13"/>
  <c r="K140" i="13"/>
  <c r="J140" i="13"/>
  <c r="I140" i="13"/>
  <c r="H140" i="13"/>
  <c r="G140" i="13"/>
  <c r="F140" i="13"/>
  <c r="E140" i="13"/>
  <c r="V139" i="13"/>
  <c r="U139" i="13"/>
  <c r="T139" i="13"/>
  <c r="S139" i="13"/>
  <c r="R139" i="13"/>
  <c r="Q139" i="13"/>
  <c r="P139" i="13"/>
  <c r="O139" i="13"/>
  <c r="N139" i="13"/>
  <c r="M139" i="13"/>
  <c r="L139" i="13"/>
  <c r="K139" i="13"/>
  <c r="J139" i="13"/>
  <c r="I139" i="13"/>
  <c r="H139" i="13"/>
  <c r="G139" i="13"/>
  <c r="F139" i="13"/>
  <c r="E139" i="13"/>
  <c r="V138" i="13"/>
  <c r="U138" i="13"/>
  <c r="T138" i="13"/>
  <c r="S138" i="13"/>
  <c r="R138" i="13"/>
  <c r="Q138" i="13"/>
  <c r="P138" i="13"/>
  <c r="O138" i="13"/>
  <c r="N138" i="13"/>
  <c r="M138" i="13"/>
  <c r="L138" i="13"/>
  <c r="K138" i="13"/>
  <c r="J138" i="13"/>
  <c r="I138" i="13"/>
  <c r="H138" i="13"/>
  <c r="G138" i="13"/>
  <c r="F138" i="13"/>
  <c r="E138" i="13"/>
  <c r="V137" i="13"/>
  <c r="U137" i="13"/>
  <c r="T137" i="13"/>
  <c r="S137" i="13"/>
  <c r="R137" i="13"/>
  <c r="Q137" i="13"/>
  <c r="P137" i="13"/>
  <c r="O137" i="13"/>
  <c r="N137" i="13"/>
  <c r="M137" i="13"/>
  <c r="L137" i="13"/>
  <c r="K137" i="13"/>
  <c r="J137" i="13"/>
  <c r="I137" i="13"/>
  <c r="H137" i="13"/>
  <c r="G137" i="13"/>
  <c r="F137" i="13"/>
  <c r="E137" i="13"/>
  <c r="V136" i="13"/>
  <c r="U136" i="13"/>
  <c r="T136" i="13"/>
  <c r="S136" i="13"/>
  <c r="R136" i="13"/>
  <c r="Q136" i="13"/>
  <c r="P136" i="13"/>
  <c r="O136" i="13"/>
  <c r="N136" i="13"/>
  <c r="M136" i="13"/>
  <c r="L136" i="13"/>
  <c r="K136" i="13"/>
  <c r="J136" i="13"/>
  <c r="I136" i="13"/>
  <c r="H136" i="13"/>
  <c r="G136" i="13"/>
  <c r="F136" i="13"/>
  <c r="E136" i="13"/>
  <c r="V135" i="13"/>
  <c r="U135" i="13"/>
  <c r="T135" i="13"/>
  <c r="S135" i="13"/>
  <c r="R135" i="13"/>
  <c r="Q135" i="13"/>
  <c r="P135" i="13"/>
  <c r="O135" i="13"/>
  <c r="N135" i="13"/>
  <c r="M135" i="13"/>
  <c r="L135" i="13"/>
  <c r="K135" i="13"/>
  <c r="J135" i="13"/>
  <c r="I135" i="13"/>
  <c r="H135" i="13"/>
  <c r="G135" i="13"/>
  <c r="F135" i="13"/>
  <c r="E135" i="13"/>
  <c r="V134" i="13"/>
  <c r="U134" i="13"/>
  <c r="T134" i="13"/>
  <c r="S134" i="13"/>
  <c r="R134" i="13"/>
  <c r="Q134" i="13"/>
  <c r="P134" i="13"/>
  <c r="O134" i="13"/>
  <c r="N134" i="13"/>
  <c r="M134" i="13"/>
  <c r="L134" i="13"/>
  <c r="K134" i="13"/>
  <c r="J134" i="13"/>
  <c r="I134" i="13"/>
  <c r="H134" i="13"/>
  <c r="G134" i="13"/>
  <c r="F134" i="13"/>
  <c r="E134" i="13"/>
  <c r="V133" i="13"/>
  <c r="U133" i="13"/>
  <c r="T133" i="13"/>
  <c r="S133" i="13"/>
  <c r="R133" i="13"/>
  <c r="Q133" i="13"/>
  <c r="P133" i="13"/>
  <c r="O133" i="13"/>
  <c r="N133" i="13"/>
  <c r="M133" i="13"/>
  <c r="L133" i="13"/>
  <c r="K133" i="13"/>
  <c r="J133" i="13"/>
  <c r="I133" i="13"/>
  <c r="H133" i="13"/>
  <c r="G133" i="13"/>
  <c r="F133" i="13"/>
  <c r="E133" i="13"/>
  <c r="V132" i="13"/>
  <c r="U132" i="13"/>
  <c r="T132" i="13"/>
  <c r="S132" i="13"/>
  <c r="R132" i="13"/>
  <c r="Q132" i="13"/>
  <c r="P132" i="13"/>
  <c r="O132" i="13"/>
  <c r="N132" i="13"/>
  <c r="M132" i="13"/>
  <c r="L132" i="13"/>
  <c r="K132" i="13"/>
  <c r="J132" i="13"/>
  <c r="I132" i="13"/>
  <c r="H132" i="13"/>
  <c r="G132" i="13"/>
  <c r="F132" i="13"/>
  <c r="E132" i="13"/>
  <c r="V131" i="13"/>
  <c r="U131" i="13"/>
  <c r="T131" i="13"/>
  <c r="S131" i="13"/>
  <c r="R131" i="13"/>
  <c r="Q131" i="13"/>
  <c r="P131" i="13"/>
  <c r="O131" i="13"/>
  <c r="N131" i="13"/>
  <c r="M131" i="13"/>
  <c r="L131" i="13"/>
  <c r="K131" i="13"/>
  <c r="J131" i="13"/>
  <c r="I131" i="13"/>
  <c r="H131" i="13"/>
  <c r="G131" i="13"/>
  <c r="F131" i="13"/>
  <c r="E131" i="13"/>
  <c r="V130" i="13"/>
  <c r="U130" i="13"/>
  <c r="T130" i="13"/>
  <c r="S130" i="13"/>
  <c r="R130" i="13"/>
  <c r="Q130" i="13"/>
  <c r="P130" i="13"/>
  <c r="O130" i="13"/>
  <c r="N130" i="13"/>
  <c r="M130" i="13"/>
  <c r="L130" i="13"/>
  <c r="K130" i="13"/>
  <c r="J130" i="13"/>
  <c r="I130" i="13"/>
  <c r="H130" i="13"/>
  <c r="G130" i="13"/>
  <c r="F130" i="13"/>
  <c r="E130" i="13"/>
  <c r="V129" i="13"/>
  <c r="U129" i="13"/>
  <c r="T129" i="13"/>
  <c r="S129" i="13"/>
  <c r="R129" i="13"/>
  <c r="Q129" i="13"/>
  <c r="P129" i="13"/>
  <c r="O129" i="13"/>
  <c r="N129" i="13"/>
  <c r="M129" i="13"/>
  <c r="L129" i="13"/>
  <c r="K129" i="13"/>
  <c r="J129" i="13"/>
  <c r="I129" i="13"/>
  <c r="H129" i="13"/>
  <c r="G129" i="13"/>
  <c r="F129" i="13"/>
  <c r="E129" i="13"/>
  <c r="V128" i="13"/>
  <c r="U128" i="13"/>
  <c r="T128" i="13"/>
  <c r="S128" i="13"/>
  <c r="R128" i="13"/>
  <c r="Q128" i="13"/>
  <c r="P128" i="13"/>
  <c r="O128" i="13"/>
  <c r="N128" i="13"/>
  <c r="M128" i="13"/>
  <c r="L128" i="13"/>
  <c r="K128" i="13"/>
  <c r="J128" i="13"/>
  <c r="I128" i="13"/>
  <c r="H128" i="13"/>
  <c r="G128" i="13"/>
  <c r="F128" i="13"/>
  <c r="E128" i="13"/>
  <c r="V127" i="13"/>
  <c r="U127" i="13"/>
  <c r="T127" i="13"/>
  <c r="S127" i="13"/>
  <c r="R127" i="13"/>
  <c r="Q127" i="13"/>
  <c r="P127" i="13"/>
  <c r="O127" i="13"/>
  <c r="N127" i="13"/>
  <c r="M127" i="13"/>
  <c r="L127" i="13"/>
  <c r="K127" i="13"/>
  <c r="J127" i="13"/>
  <c r="I127" i="13"/>
  <c r="H127" i="13"/>
  <c r="G127" i="13"/>
  <c r="F127" i="13"/>
  <c r="E127" i="13"/>
  <c r="V126" i="13"/>
  <c r="U126" i="13"/>
  <c r="T126" i="13"/>
  <c r="S126" i="13"/>
  <c r="R126" i="13"/>
  <c r="Q126" i="13"/>
  <c r="P126" i="13"/>
  <c r="O126" i="13"/>
  <c r="N126" i="13"/>
  <c r="M126" i="13"/>
  <c r="L126" i="13"/>
  <c r="K126" i="13"/>
  <c r="J126" i="13"/>
  <c r="I126" i="13"/>
  <c r="H126" i="13"/>
  <c r="G126" i="13"/>
  <c r="F126" i="13"/>
  <c r="E126" i="13"/>
  <c r="V125" i="13"/>
  <c r="U125" i="13"/>
  <c r="T125" i="13"/>
  <c r="S125" i="13"/>
  <c r="R125" i="13"/>
  <c r="Q125" i="13"/>
  <c r="P125" i="13"/>
  <c r="O125" i="13"/>
  <c r="N125" i="13"/>
  <c r="M125" i="13"/>
  <c r="L125" i="13"/>
  <c r="K125" i="13"/>
  <c r="J125" i="13"/>
  <c r="I125" i="13"/>
  <c r="H125" i="13"/>
  <c r="G125" i="13"/>
  <c r="F125" i="13"/>
  <c r="E125" i="13"/>
  <c r="V124" i="13"/>
  <c r="U124" i="13"/>
  <c r="T124" i="13"/>
  <c r="S124" i="13"/>
  <c r="R124" i="13"/>
  <c r="Q124" i="13"/>
  <c r="P124" i="13"/>
  <c r="O124" i="13"/>
  <c r="N124" i="13"/>
  <c r="M124" i="13"/>
  <c r="L124" i="13"/>
  <c r="K124" i="13"/>
  <c r="J124" i="13"/>
  <c r="I124" i="13"/>
  <c r="H124" i="13"/>
  <c r="G124" i="13"/>
  <c r="F124" i="13"/>
  <c r="E124" i="13"/>
  <c r="V123" i="13"/>
  <c r="U123" i="13"/>
  <c r="T123" i="13"/>
  <c r="S123" i="13"/>
  <c r="R123" i="13"/>
  <c r="Q123" i="13"/>
  <c r="P123" i="13"/>
  <c r="O123" i="13"/>
  <c r="N123" i="13"/>
  <c r="M123" i="13"/>
  <c r="L123" i="13"/>
  <c r="K123" i="13"/>
  <c r="J123" i="13"/>
  <c r="I123" i="13"/>
  <c r="H123" i="13"/>
  <c r="G123" i="13"/>
  <c r="F123" i="13"/>
  <c r="E123" i="13"/>
  <c r="V122" i="13"/>
  <c r="U122" i="13"/>
  <c r="T122" i="13"/>
  <c r="S122" i="13"/>
  <c r="R122" i="13"/>
  <c r="Q122" i="13"/>
  <c r="P122" i="13"/>
  <c r="O122" i="13"/>
  <c r="N122" i="13"/>
  <c r="M122" i="13"/>
  <c r="L122" i="13"/>
  <c r="K122" i="13"/>
  <c r="J122" i="13"/>
  <c r="I122" i="13"/>
  <c r="H122" i="13"/>
  <c r="G122" i="13"/>
  <c r="F122" i="13"/>
  <c r="E122" i="13"/>
  <c r="D140" i="13"/>
  <c r="D139" i="13"/>
  <c r="D138" i="13"/>
  <c r="D137" i="13"/>
  <c r="D136" i="13"/>
  <c r="D135" i="13"/>
  <c r="D134" i="13"/>
  <c r="D133" i="13"/>
  <c r="D132" i="13"/>
  <c r="D131" i="13"/>
  <c r="D130" i="13"/>
  <c r="D129" i="13"/>
  <c r="D128" i="13"/>
  <c r="D127" i="13"/>
  <c r="D126" i="13"/>
  <c r="D125" i="13"/>
  <c r="D124" i="13"/>
  <c r="D123" i="13"/>
  <c r="D122" i="13"/>
  <c r="C140" i="13"/>
  <c r="C139" i="13"/>
  <c r="C138" i="13"/>
  <c r="C137" i="13"/>
  <c r="C136" i="13"/>
  <c r="C135" i="13"/>
  <c r="C134" i="13"/>
  <c r="C133" i="13"/>
  <c r="C132" i="13"/>
  <c r="C131" i="13"/>
  <c r="C130" i="13"/>
  <c r="C129" i="13"/>
  <c r="C128" i="13"/>
  <c r="C127" i="13"/>
  <c r="C126" i="13"/>
  <c r="C125" i="13"/>
  <c r="C124" i="13"/>
  <c r="C123" i="13"/>
  <c r="C122" i="13"/>
  <c r="B140" i="13"/>
  <c r="B139" i="13"/>
  <c r="B138" i="13"/>
  <c r="B137" i="13"/>
  <c r="B136" i="13"/>
  <c r="B135" i="13"/>
  <c r="B134" i="13"/>
  <c r="B131" i="13"/>
  <c r="B127" i="13"/>
  <c r="A140" i="13"/>
  <c r="A139" i="13"/>
  <c r="A138" i="13"/>
  <c r="A134" i="13"/>
  <c r="A126" i="13"/>
  <c r="V121" i="13"/>
  <c r="U121" i="13"/>
  <c r="T121" i="13"/>
  <c r="S121" i="13"/>
  <c r="R121" i="13"/>
  <c r="Q121" i="13"/>
  <c r="P121" i="13"/>
  <c r="O121" i="13"/>
  <c r="N121" i="13"/>
  <c r="M121" i="13"/>
  <c r="L121" i="13"/>
  <c r="K121" i="13"/>
  <c r="J121" i="13"/>
  <c r="I121" i="13"/>
  <c r="H121" i="13"/>
  <c r="G121" i="13"/>
  <c r="F121" i="13"/>
  <c r="E121" i="13"/>
  <c r="V120" i="13"/>
  <c r="U120" i="13"/>
  <c r="T120" i="13"/>
  <c r="S120" i="13"/>
  <c r="R120" i="13"/>
  <c r="Q120" i="13"/>
  <c r="P120" i="13"/>
  <c r="O120" i="13"/>
  <c r="N120" i="13"/>
  <c r="M120" i="13"/>
  <c r="L120" i="13"/>
  <c r="K120" i="13"/>
  <c r="J120" i="13"/>
  <c r="I120" i="13"/>
  <c r="H120" i="13"/>
  <c r="G120" i="13"/>
  <c r="F120" i="13"/>
  <c r="E120" i="13"/>
  <c r="V119" i="13"/>
  <c r="U119" i="13"/>
  <c r="T119" i="13"/>
  <c r="S119" i="13"/>
  <c r="R119" i="13"/>
  <c r="Q119" i="13"/>
  <c r="P119" i="13"/>
  <c r="O119" i="13"/>
  <c r="N119" i="13"/>
  <c r="M119" i="13"/>
  <c r="L119" i="13"/>
  <c r="K119" i="13"/>
  <c r="J119" i="13"/>
  <c r="I119" i="13"/>
  <c r="H119" i="13"/>
  <c r="G119" i="13"/>
  <c r="F119" i="13"/>
  <c r="E119" i="13"/>
  <c r="V118" i="13"/>
  <c r="U118" i="13"/>
  <c r="T118" i="13"/>
  <c r="S118" i="13"/>
  <c r="R118" i="13"/>
  <c r="Q118" i="13"/>
  <c r="P118" i="13"/>
  <c r="O118" i="13"/>
  <c r="N118" i="13"/>
  <c r="M118" i="13"/>
  <c r="L118" i="13"/>
  <c r="K118" i="13"/>
  <c r="J118" i="13"/>
  <c r="I118" i="13"/>
  <c r="H118" i="13"/>
  <c r="G118" i="13"/>
  <c r="F118" i="13"/>
  <c r="E118" i="13"/>
  <c r="V117" i="13"/>
  <c r="U117" i="13"/>
  <c r="T117" i="13"/>
  <c r="S117" i="13"/>
  <c r="R117" i="13"/>
  <c r="Q117" i="13"/>
  <c r="P117" i="13"/>
  <c r="O117" i="13"/>
  <c r="N117" i="13"/>
  <c r="M117" i="13"/>
  <c r="L117" i="13"/>
  <c r="K117" i="13"/>
  <c r="J117" i="13"/>
  <c r="I117" i="13"/>
  <c r="H117" i="13"/>
  <c r="G117" i="13"/>
  <c r="F117" i="13"/>
  <c r="E117" i="13"/>
  <c r="V116" i="13"/>
  <c r="U116" i="13"/>
  <c r="T116" i="13"/>
  <c r="S116" i="13"/>
  <c r="R116" i="13"/>
  <c r="Q116" i="13"/>
  <c r="P116" i="13"/>
  <c r="O116" i="13"/>
  <c r="N116" i="13"/>
  <c r="M116" i="13"/>
  <c r="L116" i="13"/>
  <c r="K116" i="13"/>
  <c r="J116" i="13"/>
  <c r="I116" i="13"/>
  <c r="H116" i="13"/>
  <c r="G116" i="13"/>
  <c r="F116" i="13"/>
  <c r="E116" i="13"/>
  <c r="V115" i="13"/>
  <c r="U115" i="13"/>
  <c r="T115" i="13"/>
  <c r="S115" i="13"/>
  <c r="R115" i="13"/>
  <c r="Q115" i="13"/>
  <c r="P115" i="13"/>
  <c r="O115" i="13"/>
  <c r="N115" i="13"/>
  <c r="M115" i="13"/>
  <c r="L115" i="13"/>
  <c r="K115" i="13"/>
  <c r="J115" i="13"/>
  <c r="I115" i="13"/>
  <c r="H115" i="13"/>
  <c r="G115" i="13"/>
  <c r="F115" i="13"/>
  <c r="E115" i="13"/>
  <c r="V114" i="13"/>
  <c r="U114" i="13"/>
  <c r="T114" i="13"/>
  <c r="S114" i="13"/>
  <c r="R114" i="13"/>
  <c r="Q114" i="13"/>
  <c r="P114" i="13"/>
  <c r="O114" i="13"/>
  <c r="N114" i="13"/>
  <c r="M114" i="13"/>
  <c r="L114" i="13"/>
  <c r="K114" i="13"/>
  <c r="J114" i="13"/>
  <c r="I114" i="13"/>
  <c r="H114" i="13"/>
  <c r="G114" i="13"/>
  <c r="F114" i="13"/>
  <c r="E114" i="13"/>
  <c r="V113" i="13"/>
  <c r="U113" i="13"/>
  <c r="T113" i="13"/>
  <c r="S113" i="13"/>
  <c r="R113" i="13"/>
  <c r="Q113" i="13"/>
  <c r="P113" i="13"/>
  <c r="O113" i="13"/>
  <c r="N113" i="13"/>
  <c r="M113" i="13"/>
  <c r="L113" i="13"/>
  <c r="K113" i="13"/>
  <c r="J113" i="13"/>
  <c r="I113" i="13"/>
  <c r="H113" i="13"/>
  <c r="G113" i="13"/>
  <c r="F113" i="13"/>
  <c r="E113" i="13"/>
  <c r="V112" i="13"/>
  <c r="U112" i="13"/>
  <c r="T112" i="13"/>
  <c r="S112" i="13"/>
  <c r="R112" i="13"/>
  <c r="Q112" i="13"/>
  <c r="P112" i="13"/>
  <c r="O112" i="13"/>
  <c r="N112" i="13"/>
  <c r="M112" i="13"/>
  <c r="L112" i="13"/>
  <c r="K112" i="13"/>
  <c r="J112" i="13"/>
  <c r="I112" i="13"/>
  <c r="H112" i="13"/>
  <c r="G112" i="13"/>
  <c r="F112" i="13"/>
  <c r="E112" i="13"/>
  <c r="V111" i="13"/>
  <c r="U111" i="13"/>
  <c r="T111" i="13"/>
  <c r="S111" i="13"/>
  <c r="R111" i="13"/>
  <c r="Q111" i="13"/>
  <c r="P111" i="13"/>
  <c r="O111" i="13"/>
  <c r="N111" i="13"/>
  <c r="M111" i="13"/>
  <c r="L111" i="13"/>
  <c r="K111" i="13"/>
  <c r="J111" i="13"/>
  <c r="I111" i="13"/>
  <c r="H111" i="13"/>
  <c r="G111" i="13"/>
  <c r="F111" i="13"/>
  <c r="E111" i="13"/>
  <c r="V110" i="13"/>
  <c r="U110" i="13"/>
  <c r="T110" i="13"/>
  <c r="S110" i="13"/>
  <c r="R110" i="13"/>
  <c r="Q110" i="13"/>
  <c r="P110" i="13"/>
  <c r="O110" i="13"/>
  <c r="N110" i="13"/>
  <c r="M110" i="13"/>
  <c r="L110" i="13"/>
  <c r="K110" i="13"/>
  <c r="J110" i="13"/>
  <c r="I110" i="13"/>
  <c r="H110" i="13"/>
  <c r="G110" i="13"/>
  <c r="F110" i="13"/>
  <c r="E110" i="13"/>
  <c r="V109" i="13"/>
  <c r="U109" i="13"/>
  <c r="T109" i="13"/>
  <c r="S109" i="13"/>
  <c r="R109" i="13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V108" i="13"/>
  <c r="U108" i="13"/>
  <c r="T108" i="13"/>
  <c r="S108" i="13"/>
  <c r="R108" i="13"/>
  <c r="Q108" i="13"/>
  <c r="P108" i="13"/>
  <c r="O108" i="13"/>
  <c r="N108" i="13"/>
  <c r="M108" i="13"/>
  <c r="L108" i="13"/>
  <c r="K108" i="13"/>
  <c r="J108" i="13"/>
  <c r="I108" i="13"/>
  <c r="H108" i="13"/>
  <c r="G108" i="13"/>
  <c r="F108" i="13"/>
  <c r="E108" i="13"/>
  <c r="V107" i="13"/>
  <c r="U107" i="13"/>
  <c r="T107" i="13"/>
  <c r="S107" i="13"/>
  <c r="R107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V106" i="13"/>
  <c r="U106" i="13"/>
  <c r="T106" i="13"/>
  <c r="S106" i="13"/>
  <c r="R106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V105" i="13"/>
  <c r="U105" i="13"/>
  <c r="T105" i="13"/>
  <c r="S105" i="13"/>
  <c r="R105" i="13"/>
  <c r="Q105" i="13"/>
  <c r="P105" i="13"/>
  <c r="O105" i="13"/>
  <c r="N105" i="13"/>
  <c r="M105" i="13"/>
  <c r="L105" i="13"/>
  <c r="K105" i="13"/>
  <c r="J105" i="13"/>
  <c r="I105" i="13"/>
  <c r="H105" i="13"/>
  <c r="G105" i="13"/>
  <c r="F105" i="13"/>
  <c r="E105" i="13"/>
  <c r="V104" i="13"/>
  <c r="U104" i="13"/>
  <c r="T104" i="13"/>
  <c r="S104" i="13"/>
  <c r="R104" i="13"/>
  <c r="Q104" i="13"/>
  <c r="P104" i="13"/>
  <c r="O104" i="13"/>
  <c r="N104" i="13"/>
  <c r="M104" i="13"/>
  <c r="L104" i="13"/>
  <c r="K104" i="13"/>
  <c r="J104" i="13"/>
  <c r="I104" i="13"/>
  <c r="H104" i="13"/>
  <c r="G104" i="13"/>
  <c r="F104" i="13"/>
  <c r="E104" i="13"/>
  <c r="V103" i="13"/>
  <c r="U103" i="13"/>
  <c r="T103" i="13"/>
  <c r="S103" i="13"/>
  <c r="R103" i="13"/>
  <c r="Q103" i="13"/>
  <c r="P103" i="13"/>
  <c r="O103" i="13"/>
  <c r="N103" i="13"/>
  <c r="M103" i="13"/>
  <c r="L103" i="13"/>
  <c r="K103" i="13"/>
  <c r="J103" i="13"/>
  <c r="I103" i="13"/>
  <c r="H103" i="13"/>
  <c r="G103" i="13"/>
  <c r="F103" i="13"/>
  <c r="E103" i="13"/>
  <c r="D121" i="13"/>
  <c r="D120" i="13"/>
  <c r="D119" i="13"/>
  <c r="D118" i="13"/>
  <c r="D117" i="13"/>
  <c r="D116" i="13"/>
  <c r="D115" i="13"/>
  <c r="D114" i="13"/>
  <c r="D113" i="13"/>
  <c r="D112" i="13"/>
  <c r="D111" i="13"/>
  <c r="D110" i="13"/>
  <c r="D109" i="13"/>
  <c r="D108" i="13"/>
  <c r="D107" i="13"/>
  <c r="D106" i="13"/>
  <c r="D105" i="13"/>
  <c r="D104" i="13"/>
  <c r="D103" i="13"/>
  <c r="C121" i="13"/>
  <c r="C120" i="13"/>
  <c r="C119" i="13"/>
  <c r="C118" i="13"/>
  <c r="C117" i="13"/>
  <c r="C116" i="13"/>
  <c r="C115" i="13"/>
  <c r="C114" i="13"/>
  <c r="C113" i="13"/>
  <c r="C112" i="13"/>
  <c r="C111" i="13"/>
  <c r="C110" i="13"/>
  <c r="C109" i="13"/>
  <c r="C108" i="13"/>
  <c r="C107" i="13"/>
  <c r="C106" i="13"/>
  <c r="C105" i="13"/>
  <c r="C104" i="13"/>
  <c r="B121" i="13"/>
  <c r="A121" i="13"/>
  <c r="B120" i="13"/>
  <c r="A120" i="13"/>
  <c r="B119" i="13"/>
  <c r="A119" i="13"/>
  <c r="B118" i="13"/>
  <c r="B117" i="13"/>
  <c r="B116" i="13"/>
  <c r="B115" i="13"/>
  <c r="B112" i="13"/>
  <c r="B108" i="13"/>
  <c r="C103" i="13"/>
  <c r="B103" i="13"/>
  <c r="V102" i="13"/>
  <c r="U102" i="13"/>
  <c r="T102" i="13"/>
  <c r="S102" i="13"/>
  <c r="R102" i="13"/>
  <c r="Q102" i="13"/>
  <c r="P102" i="13"/>
  <c r="O102" i="13"/>
  <c r="N102" i="13"/>
  <c r="M102" i="13"/>
  <c r="L102" i="13"/>
  <c r="K102" i="13"/>
  <c r="J102" i="13"/>
  <c r="I102" i="13"/>
  <c r="H102" i="13"/>
  <c r="G102" i="13"/>
  <c r="F102" i="13"/>
  <c r="E102" i="13"/>
  <c r="V101" i="13"/>
  <c r="U101" i="13"/>
  <c r="T101" i="13"/>
  <c r="S101" i="13"/>
  <c r="R101" i="13"/>
  <c r="Q101" i="13"/>
  <c r="P101" i="13"/>
  <c r="O101" i="13"/>
  <c r="N101" i="13"/>
  <c r="M101" i="13"/>
  <c r="L101" i="13"/>
  <c r="K101" i="13"/>
  <c r="J101" i="13"/>
  <c r="I101" i="13"/>
  <c r="H101" i="13"/>
  <c r="G101" i="13"/>
  <c r="F101" i="13"/>
  <c r="E101" i="13"/>
  <c r="V100" i="13"/>
  <c r="U100" i="13"/>
  <c r="T100" i="13"/>
  <c r="S100" i="13"/>
  <c r="R100" i="13"/>
  <c r="Q100" i="13"/>
  <c r="P100" i="13"/>
  <c r="O100" i="13"/>
  <c r="N100" i="13"/>
  <c r="M100" i="13"/>
  <c r="L100" i="13"/>
  <c r="K100" i="13"/>
  <c r="J100" i="13"/>
  <c r="I100" i="13"/>
  <c r="H100" i="13"/>
  <c r="G100" i="13"/>
  <c r="F100" i="13"/>
  <c r="E100" i="13"/>
  <c r="V99" i="13"/>
  <c r="U99" i="13"/>
  <c r="T99" i="13"/>
  <c r="S99" i="13"/>
  <c r="R99" i="13"/>
  <c r="Q99" i="13"/>
  <c r="P99" i="13"/>
  <c r="O99" i="13"/>
  <c r="N99" i="13"/>
  <c r="M99" i="13"/>
  <c r="L99" i="13"/>
  <c r="K99" i="13"/>
  <c r="J99" i="13"/>
  <c r="I99" i="13"/>
  <c r="H99" i="13"/>
  <c r="G99" i="13"/>
  <c r="F99" i="13"/>
  <c r="E99" i="13"/>
  <c r="V98" i="13"/>
  <c r="U98" i="13"/>
  <c r="T98" i="13"/>
  <c r="S98" i="13"/>
  <c r="R98" i="13"/>
  <c r="Q98" i="13"/>
  <c r="P98" i="13"/>
  <c r="O98" i="13"/>
  <c r="N98" i="13"/>
  <c r="M98" i="13"/>
  <c r="L98" i="13"/>
  <c r="K98" i="13"/>
  <c r="J98" i="13"/>
  <c r="I98" i="13"/>
  <c r="H98" i="13"/>
  <c r="G98" i="13"/>
  <c r="F98" i="13"/>
  <c r="E98" i="13"/>
  <c r="V97" i="13"/>
  <c r="U97" i="13"/>
  <c r="T97" i="13"/>
  <c r="S97" i="13"/>
  <c r="R97" i="13"/>
  <c r="Q97" i="13"/>
  <c r="P97" i="13"/>
  <c r="O97" i="13"/>
  <c r="N97" i="13"/>
  <c r="M97" i="13"/>
  <c r="L97" i="13"/>
  <c r="K97" i="13"/>
  <c r="J97" i="13"/>
  <c r="I97" i="13"/>
  <c r="H97" i="13"/>
  <c r="G97" i="13"/>
  <c r="F97" i="13"/>
  <c r="E97" i="13"/>
  <c r="V96" i="13"/>
  <c r="U96" i="13"/>
  <c r="T96" i="13"/>
  <c r="S96" i="13"/>
  <c r="R96" i="13"/>
  <c r="Q96" i="13"/>
  <c r="P96" i="13"/>
  <c r="O96" i="13"/>
  <c r="N96" i="13"/>
  <c r="M96" i="13"/>
  <c r="L96" i="13"/>
  <c r="K96" i="13"/>
  <c r="J96" i="13"/>
  <c r="I96" i="13"/>
  <c r="H96" i="13"/>
  <c r="G96" i="13"/>
  <c r="F96" i="13"/>
  <c r="E96" i="13"/>
  <c r="V95" i="13"/>
  <c r="U95" i="13"/>
  <c r="T95" i="13"/>
  <c r="S95" i="13"/>
  <c r="R95" i="13"/>
  <c r="Q95" i="13"/>
  <c r="P95" i="13"/>
  <c r="O95" i="13"/>
  <c r="N95" i="13"/>
  <c r="M95" i="13"/>
  <c r="L95" i="13"/>
  <c r="K95" i="13"/>
  <c r="J95" i="13"/>
  <c r="I95" i="13"/>
  <c r="H95" i="13"/>
  <c r="G95" i="13"/>
  <c r="F95" i="13"/>
  <c r="E95" i="13"/>
  <c r="V94" i="13"/>
  <c r="U94" i="13"/>
  <c r="T94" i="13"/>
  <c r="S94" i="13"/>
  <c r="R94" i="13"/>
  <c r="Q94" i="13"/>
  <c r="P94" i="13"/>
  <c r="O94" i="13"/>
  <c r="N94" i="13"/>
  <c r="M94" i="13"/>
  <c r="L94" i="13"/>
  <c r="K94" i="13"/>
  <c r="J94" i="13"/>
  <c r="I94" i="13"/>
  <c r="H94" i="13"/>
  <c r="G94" i="13"/>
  <c r="F94" i="13"/>
  <c r="E94" i="13"/>
  <c r="V93" i="13"/>
  <c r="U93" i="13"/>
  <c r="T93" i="13"/>
  <c r="S93" i="13"/>
  <c r="R93" i="13"/>
  <c r="Q93" i="13"/>
  <c r="P93" i="13"/>
  <c r="O93" i="13"/>
  <c r="N93" i="13"/>
  <c r="M93" i="13"/>
  <c r="L93" i="13"/>
  <c r="K93" i="13"/>
  <c r="J93" i="13"/>
  <c r="I93" i="13"/>
  <c r="H93" i="13"/>
  <c r="G93" i="13"/>
  <c r="F93" i="13"/>
  <c r="E93" i="13"/>
  <c r="V92" i="13"/>
  <c r="U92" i="13"/>
  <c r="T92" i="13"/>
  <c r="S92" i="13"/>
  <c r="R92" i="13"/>
  <c r="Q92" i="13"/>
  <c r="P92" i="13"/>
  <c r="O92" i="13"/>
  <c r="N92" i="13"/>
  <c r="M92" i="13"/>
  <c r="L92" i="13"/>
  <c r="K92" i="13"/>
  <c r="J92" i="13"/>
  <c r="I92" i="13"/>
  <c r="H92" i="13"/>
  <c r="G92" i="13"/>
  <c r="F92" i="13"/>
  <c r="E92" i="13"/>
  <c r="V91" i="13"/>
  <c r="U91" i="13"/>
  <c r="T91" i="13"/>
  <c r="S91" i="13"/>
  <c r="R91" i="13"/>
  <c r="Q91" i="13"/>
  <c r="P91" i="13"/>
  <c r="O91" i="13"/>
  <c r="N91" i="13"/>
  <c r="M91" i="13"/>
  <c r="L91" i="13"/>
  <c r="K91" i="13"/>
  <c r="J91" i="13"/>
  <c r="I91" i="13"/>
  <c r="H91" i="13"/>
  <c r="G91" i="13"/>
  <c r="F91" i="13"/>
  <c r="E91" i="13"/>
  <c r="V90" i="13"/>
  <c r="U90" i="13"/>
  <c r="T90" i="13"/>
  <c r="S90" i="13"/>
  <c r="R90" i="13"/>
  <c r="Q90" i="13"/>
  <c r="P90" i="13"/>
  <c r="O90" i="13"/>
  <c r="N90" i="13"/>
  <c r="M90" i="13"/>
  <c r="L90" i="13"/>
  <c r="K90" i="13"/>
  <c r="J90" i="13"/>
  <c r="I90" i="13"/>
  <c r="H90" i="13"/>
  <c r="G90" i="13"/>
  <c r="F90" i="13"/>
  <c r="E90" i="13"/>
  <c r="V89" i="13"/>
  <c r="U89" i="13"/>
  <c r="T89" i="13"/>
  <c r="S89" i="13"/>
  <c r="R89" i="13"/>
  <c r="Q89" i="13"/>
  <c r="P89" i="13"/>
  <c r="O89" i="13"/>
  <c r="N89" i="13"/>
  <c r="M89" i="13"/>
  <c r="L89" i="13"/>
  <c r="K89" i="13"/>
  <c r="J89" i="13"/>
  <c r="I89" i="13"/>
  <c r="H89" i="13"/>
  <c r="G89" i="13"/>
  <c r="F89" i="13"/>
  <c r="E89" i="13"/>
  <c r="V88" i="13"/>
  <c r="U88" i="13"/>
  <c r="T88" i="13"/>
  <c r="S88" i="13"/>
  <c r="R88" i="13"/>
  <c r="Q88" i="13"/>
  <c r="P88" i="13"/>
  <c r="O88" i="13"/>
  <c r="N88" i="13"/>
  <c r="M88" i="13"/>
  <c r="L88" i="13"/>
  <c r="K88" i="13"/>
  <c r="J88" i="13"/>
  <c r="I88" i="13"/>
  <c r="H88" i="13"/>
  <c r="G88" i="13"/>
  <c r="F88" i="13"/>
  <c r="E88" i="13"/>
  <c r="V87" i="13"/>
  <c r="U87" i="13"/>
  <c r="T87" i="13"/>
  <c r="S87" i="13"/>
  <c r="R87" i="13"/>
  <c r="Q87" i="13"/>
  <c r="P87" i="13"/>
  <c r="O87" i="13"/>
  <c r="N87" i="13"/>
  <c r="M87" i="13"/>
  <c r="L87" i="13"/>
  <c r="K87" i="13"/>
  <c r="J87" i="13"/>
  <c r="I87" i="13"/>
  <c r="H87" i="13"/>
  <c r="G87" i="13"/>
  <c r="F87" i="13"/>
  <c r="E87" i="13"/>
  <c r="V86" i="13"/>
  <c r="U86" i="13"/>
  <c r="T86" i="13"/>
  <c r="S86" i="13"/>
  <c r="R86" i="13"/>
  <c r="Q86" i="13"/>
  <c r="P86" i="13"/>
  <c r="O86" i="13"/>
  <c r="N86" i="13"/>
  <c r="M86" i="13"/>
  <c r="L86" i="13"/>
  <c r="K86" i="13"/>
  <c r="J86" i="13"/>
  <c r="I86" i="13"/>
  <c r="H86" i="13"/>
  <c r="G86" i="13"/>
  <c r="F86" i="13"/>
  <c r="E86" i="13"/>
  <c r="V85" i="13"/>
  <c r="U85" i="13"/>
  <c r="T85" i="13"/>
  <c r="S85" i="13"/>
  <c r="R85" i="13"/>
  <c r="Q85" i="13"/>
  <c r="P85" i="13"/>
  <c r="O85" i="13"/>
  <c r="N85" i="13"/>
  <c r="M85" i="13"/>
  <c r="L85" i="13"/>
  <c r="K85" i="13"/>
  <c r="J85" i="13"/>
  <c r="I85" i="13"/>
  <c r="H85" i="13"/>
  <c r="G85" i="13"/>
  <c r="F85" i="13"/>
  <c r="E85" i="13"/>
  <c r="V84" i="13"/>
  <c r="U84" i="13"/>
  <c r="T84" i="13"/>
  <c r="S84" i="13"/>
  <c r="R84" i="13"/>
  <c r="Q84" i="13"/>
  <c r="P84" i="13"/>
  <c r="O84" i="13"/>
  <c r="N84" i="13"/>
  <c r="M84" i="13"/>
  <c r="L84" i="13"/>
  <c r="K84" i="13"/>
  <c r="J84" i="13"/>
  <c r="I84" i="13"/>
  <c r="H84" i="13"/>
  <c r="G84" i="13"/>
  <c r="F84" i="13"/>
  <c r="E84" i="13"/>
  <c r="D102" i="13"/>
  <c r="D101" i="13"/>
  <c r="D100" i="13"/>
  <c r="D99" i="13"/>
  <c r="D98" i="13"/>
  <c r="D97" i="13"/>
  <c r="D96" i="13"/>
  <c r="D95" i="13"/>
  <c r="D94" i="13"/>
  <c r="D93" i="13"/>
  <c r="D92" i="13"/>
  <c r="D91" i="13"/>
  <c r="D90" i="13"/>
  <c r="D89" i="13"/>
  <c r="D88" i="13"/>
  <c r="D87" i="13"/>
  <c r="D86" i="13"/>
  <c r="D85" i="13"/>
  <c r="D84" i="13"/>
  <c r="C102" i="13"/>
  <c r="C101" i="13"/>
  <c r="C100" i="13"/>
  <c r="C99" i="13"/>
  <c r="C98" i="13"/>
  <c r="C97" i="13"/>
  <c r="C96" i="13"/>
  <c r="C95" i="13"/>
  <c r="C94" i="13"/>
  <c r="C93" i="13"/>
  <c r="C92" i="13"/>
  <c r="C91" i="13"/>
  <c r="C90" i="13"/>
  <c r="C89" i="13"/>
  <c r="C88" i="13"/>
  <c r="C87" i="13"/>
  <c r="C86" i="13"/>
  <c r="C85" i="13"/>
  <c r="C84" i="13"/>
  <c r="B102" i="13"/>
  <c r="B101" i="13"/>
  <c r="B100" i="13"/>
  <c r="B99" i="13"/>
  <c r="B95" i="13"/>
  <c r="A102" i="13"/>
  <c r="A101" i="13"/>
  <c r="A100" i="13"/>
  <c r="A99" i="13"/>
  <c r="A96" i="13"/>
  <c r="A92" i="13"/>
  <c r="A88" i="13"/>
  <c r="A84" i="13"/>
  <c r="V83" i="13"/>
  <c r="U83" i="13"/>
  <c r="T83" i="13"/>
  <c r="S83" i="13"/>
  <c r="R83" i="13"/>
  <c r="Q83" i="13"/>
  <c r="P83" i="13"/>
  <c r="O83" i="13"/>
  <c r="N83" i="13"/>
  <c r="M83" i="13"/>
  <c r="L83" i="13"/>
  <c r="K83" i="13"/>
  <c r="J83" i="13"/>
  <c r="I83" i="13"/>
  <c r="H83" i="13"/>
  <c r="G83" i="13"/>
  <c r="F83" i="13"/>
  <c r="V82" i="13"/>
  <c r="U82" i="13"/>
  <c r="T82" i="13"/>
  <c r="S82" i="13"/>
  <c r="R82" i="13"/>
  <c r="Q82" i="13"/>
  <c r="P82" i="13"/>
  <c r="O82" i="13"/>
  <c r="N82" i="13"/>
  <c r="M82" i="13"/>
  <c r="L82" i="13"/>
  <c r="K82" i="13"/>
  <c r="J82" i="13"/>
  <c r="I82" i="13"/>
  <c r="H82" i="13"/>
  <c r="G82" i="13"/>
  <c r="F82" i="13"/>
  <c r="V81" i="13"/>
  <c r="U81" i="13"/>
  <c r="T81" i="13"/>
  <c r="S81" i="13"/>
  <c r="R81" i="13"/>
  <c r="Q81" i="13"/>
  <c r="P81" i="13"/>
  <c r="O81" i="13"/>
  <c r="N81" i="13"/>
  <c r="M81" i="13"/>
  <c r="L81" i="13"/>
  <c r="K81" i="13"/>
  <c r="J81" i="13"/>
  <c r="I81" i="13"/>
  <c r="H81" i="13"/>
  <c r="G81" i="13"/>
  <c r="F81" i="13"/>
  <c r="V80" i="13"/>
  <c r="U80" i="13"/>
  <c r="T80" i="13"/>
  <c r="S80" i="13"/>
  <c r="R80" i="13"/>
  <c r="Q80" i="13"/>
  <c r="P80" i="13"/>
  <c r="O80" i="13"/>
  <c r="N80" i="13"/>
  <c r="M80" i="13"/>
  <c r="L80" i="13"/>
  <c r="K80" i="13"/>
  <c r="J80" i="13"/>
  <c r="I80" i="13"/>
  <c r="H80" i="13"/>
  <c r="G80" i="13"/>
  <c r="F80" i="13"/>
  <c r="V79" i="13"/>
  <c r="U79" i="13"/>
  <c r="T79" i="13"/>
  <c r="S79" i="13"/>
  <c r="R79" i="13"/>
  <c r="Q79" i="13"/>
  <c r="P79" i="13"/>
  <c r="O79" i="13"/>
  <c r="N79" i="13"/>
  <c r="M79" i="13"/>
  <c r="L79" i="13"/>
  <c r="K79" i="13"/>
  <c r="J79" i="13"/>
  <c r="I79" i="13"/>
  <c r="H79" i="13"/>
  <c r="G79" i="13"/>
  <c r="F79" i="13"/>
  <c r="V78" i="13"/>
  <c r="U78" i="13"/>
  <c r="T78" i="13"/>
  <c r="S78" i="13"/>
  <c r="R78" i="13"/>
  <c r="Q78" i="13"/>
  <c r="P78" i="13"/>
  <c r="O78" i="13"/>
  <c r="N78" i="13"/>
  <c r="M78" i="13"/>
  <c r="L78" i="13"/>
  <c r="K78" i="13"/>
  <c r="J78" i="13"/>
  <c r="I78" i="13"/>
  <c r="H78" i="13"/>
  <c r="G78" i="13"/>
  <c r="F78" i="13"/>
  <c r="V77" i="13"/>
  <c r="U77" i="13"/>
  <c r="T77" i="13"/>
  <c r="S77" i="13"/>
  <c r="R77" i="13"/>
  <c r="Q77" i="13"/>
  <c r="P77" i="13"/>
  <c r="O77" i="13"/>
  <c r="N77" i="13"/>
  <c r="M77" i="13"/>
  <c r="L77" i="13"/>
  <c r="K77" i="13"/>
  <c r="J77" i="13"/>
  <c r="I77" i="13"/>
  <c r="H77" i="13"/>
  <c r="G77" i="13"/>
  <c r="F77" i="13"/>
  <c r="V76" i="13"/>
  <c r="U76" i="13"/>
  <c r="T76" i="13"/>
  <c r="S76" i="13"/>
  <c r="R76" i="13"/>
  <c r="Q76" i="13"/>
  <c r="P76" i="13"/>
  <c r="O76" i="13"/>
  <c r="N76" i="13"/>
  <c r="M76" i="13"/>
  <c r="L76" i="13"/>
  <c r="K76" i="13"/>
  <c r="J76" i="13"/>
  <c r="I76" i="13"/>
  <c r="H76" i="13"/>
  <c r="G76" i="13"/>
  <c r="F76" i="13"/>
  <c r="V75" i="13"/>
  <c r="U75" i="13"/>
  <c r="T75" i="13"/>
  <c r="S75" i="13"/>
  <c r="R75" i="13"/>
  <c r="Q75" i="13"/>
  <c r="P75" i="13"/>
  <c r="O75" i="13"/>
  <c r="N75" i="13"/>
  <c r="M75" i="13"/>
  <c r="L75" i="13"/>
  <c r="K75" i="13"/>
  <c r="J75" i="13"/>
  <c r="I75" i="13"/>
  <c r="H75" i="13"/>
  <c r="G75" i="13"/>
  <c r="F75" i="13"/>
  <c r="V74" i="13"/>
  <c r="U74" i="13"/>
  <c r="T74" i="13"/>
  <c r="S74" i="13"/>
  <c r="R74" i="13"/>
  <c r="Q74" i="13"/>
  <c r="P74" i="13"/>
  <c r="O74" i="13"/>
  <c r="N74" i="13"/>
  <c r="M74" i="13"/>
  <c r="L74" i="13"/>
  <c r="K74" i="13"/>
  <c r="J74" i="13"/>
  <c r="I74" i="13"/>
  <c r="H74" i="13"/>
  <c r="G74" i="13"/>
  <c r="F74" i="13"/>
  <c r="V73" i="13"/>
  <c r="U73" i="13"/>
  <c r="T73" i="13"/>
  <c r="S73" i="13"/>
  <c r="R73" i="13"/>
  <c r="Q73" i="13"/>
  <c r="P73" i="13"/>
  <c r="O73" i="13"/>
  <c r="N73" i="13"/>
  <c r="M73" i="13"/>
  <c r="L73" i="13"/>
  <c r="K73" i="13"/>
  <c r="J73" i="13"/>
  <c r="I73" i="13"/>
  <c r="H73" i="13"/>
  <c r="G73" i="13"/>
  <c r="F73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J72" i="13"/>
  <c r="I72" i="13"/>
  <c r="H72" i="13"/>
  <c r="G72" i="13"/>
  <c r="F72" i="13"/>
  <c r="V71" i="13"/>
  <c r="U71" i="13"/>
  <c r="T71" i="13"/>
  <c r="S71" i="13"/>
  <c r="R71" i="13"/>
  <c r="Q71" i="13"/>
  <c r="P71" i="13"/>
  <c r="O71" i="13"/>
  <c r="N71" i="13"/>
  <c r="M71" i="13"/>
  <c r="L71" i="13"/>
  <c r="K71" i="13"/>
  <c r="J71" i="13"/>
  <c r="I71" i="13"/>
  <c r="H71" i="13"/>
  <c r="G71" i="13"/>
  <c r="F71" i="13"/>
  <c r="V70" i="13"/>
  <c r="U70" i="13"/>
  <c r="T70" i="13"/>
  <c r="S70" i="13"/>
  <c r="R70" i="13"/>
  <c r="Q70" i="13"/>
  <c r="P70" i="13"/>
  <c r="O70" i="13"/>
  <c r="N70" i="13"/>
  <c r="M70" i="13"/>
  <c r="L70" i="13"/>
  <c r="K70" i="13"/>
  <c r="J70" i="13"/>
  <c r="I70" i="13"/>
  <c r="H70" i="13"/>
  <c r="G70" i="13"/>
  <c r="F70" i="13"/>
  <c r="V69" i="13"/>
  <c r="U69" i="13"/>
  <c r="T69" i="13"/>
  <c r="S69" i="13"/>
  <c r="R69" i="13"/>
  <c r="Q69" i="13"/>
  <c r="P69" i="13"/>
  <c r="O69" i="13"/>
  <c r="N69" i="13"/>
  <c r="M69" i="13"/>
  <c r="L69" i="13"/>
  <c r="K69" i="13"/>
  <c r="J69" i="13"/>
  <c r="I69" i="13"/>
  <c r="H69" i="13"/>
  <c r="G69" i="13"/>
  <c r="F69" i="13"/>
  <c r="V68" i="13"/>
  <c r="U68" i="13"/>
  <c r="T68" i="13"/>
  <c r="S68" i="13"/>
  <c r="R68" i="13"/>
  <c r="Q68" i="13"/>
  <c r="P68" i="13"/>
  <c r="O68" i="13"/>
  <c r="N68" i="13"/>
  <c r="M68" i="13"/>
  <c r="L68" i="13"/>
  <c r="K68" i="13"/>
  <c r="J68" i="13"/>
  <c r="I68" i="13"/>
  <c r="H68" i="13"/>
  <c r="G68" i="13"/>
  <c r="F68" i="13"/>
  <c r="V67" i="13"/>
  <c r="U67" i="13"/>
  <c r="T67" i="13"/>
  <c r="S67" i="13"/>
  <c r="R67" i="13"/>
  <c r="Q67" i="13"/>
  <c r="P67" i="13"/>
  <c r="O67" i="13"/>
  <c r="N67" i="13"/>
  <c r="M67" i="13"/>
  <c r="L67" i="13"/>
  <c r="K67" i="13"/>
  <c r="J67" i="13"/>
  <c r="I67" i="13"/>
  <c r="H67" i="13"/>
  <c r="G67" i="13"/>
  <c r="F67" i="13"/>
  <c r="V66" i="13"/>
  <c r="U66" i="13"/>
  <c r="T66" i="13"/>
  <c r="S66" i="13"/>
  <c r="R66" i="13"/>
  <c r="Q66" i="13"/>
  <c r="P66" i="13"/>
  <c r="O66" i="13"/>
  <c r="N66" i="13"/>
  <c r="M66" i="13"/>
  <c r="L66" i="13"/>
  <c r="K66" i="13"/>
  <c r="J66" i="13"/>
  <c r="I66" i="13"/>
  <c r="H66" i="13"/>
  <c r="G66" i="13"/>
  <c r="F66" i="13"/>
  <c r="V65" i="13"/>
  <c r="U65" i="13"/>
  <c r="T65" i="13"/>
  <c r="S65" i="13"/>
  <c r="R65" i="13"/>
  <c r="Q65" i="13"/>
  <c r="P65" i="13"/>
  <c r="O65" i="13"/>
  <c r="N65" i="13"/>
  <c r="M65" i="13"/>
  <c r="L65" i="13"/>
  <c r="K65" i="13"/>
  <c r="J65" i="13"/>
  <c r="I65" i="13"/>
  <c r="H65" i="13"/>
  <c r="G65" i="13"/>
  <c r="F65" i="13"/>
  <c r="E83" i="13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E66" i="13"/>
  <c r="E65" i="13"/>
  <c r="D83" i="13"/>
  <c r="D82" i="13"/>
  <c r="D81" i="13"/>
  <c r="D80" i="13"/>
  <c r="D79" i="13"/>
  <c r="D78" i="13"/>
  <c r="D77" i="13"/>
  <c r="D76" i="13"/>
  <c r="D75" i="13"/>
  <c r="D74" i="13"/>
  <c r="D73" i="13"/>
  <c r="D72" i="13"/>
  <c r="D71" i="13"/>
  <c r="D70" i="13"/>
  <c r="D69" i="13"/>
  <c r="D68" i="13"/>
  <c r="D67" i="13"/>
  <c r="D66" i="13"/>
  <c r="D65" i="13"/>
  <c r="C83" i="13"/>
  <c r="C82" i="13"/>
  <c r="C81" i="13"/>
  <c r="C80" i="13"/>
  <c r="C79" i="13"/>
  <c r="C78" i="13"/>
  <c r="C77" i="13"/>
  <c r="C76" i="13"/>
  <c r="C75" i="13"/>
  <c r="C74" i="13"/>
  <c r="C73" i="13"/>
  <c r="C72" i="13"/>
  <c r="C71" i="13"/>
  <c r="C70" i="13"/>
  <c r="C69" i="13"/>
  <c r="C68" i="13"/>
  <c r="C67" i="13"/>
  <c r="C66" i="13"/>
  <c r="C65" i="13"/>
  <c r="B83" i="13"/>
  <c r="B82" i="13"/>
  <c r="B81" i="13"/>
  <c r="B80" i="13"/>
  <c r="B73" i="13"/>
  <c r="B72" i="13"/>
  <c r="B69" i="13"/>
  <c r="B68" i="13"/>
  <c r="A83" i="13"/>
  <c r="A82" i="13"/>
  <c r="A81" i="13"/>
  <c r="A80" i="13"/>
  <c r="A79" i="13"/>
  <c r="A75" i="13"/>
  <c r="A71" i="13"/>
  <c r="A67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48" i="13"/>
  <c r="E47" i="13"/>
  <c r="E46" i="13"/>
  <c r="D64" i="13"/>
  <c r="D63" i="13"/>
  <c r="D62" i="13"/>
  <c r="D61" i="13"/>
  <c r="D60" i="13"/>
  <c r="D59" i="13"/>
  <c r="D58" i="13"/>
  <c r="D57" i="13"/>
  <c r="D56" i="13"/>
  <c r="D55" i="13"/>
  <c r="D54" i="13"/>
  <c r="D53" i="13"/>
  <c r="D52" i="13"/>
  <c r="D51" i="13"/>
  <c r="D50" i="13"/>
  <c r="D49" i="13"/>
  <c r="D48" i="13"/>
  <c r="D47" i="13"/>
  <c r="D46" i="13"/>
  <c r="V64" i="13"/>
  <c r="U64" i="13"/>
  <c r="T64" i="13"/>
  <c r="S64" i="13"/>
  <c r="R64" i="13"/>
  <c r="Q64" i="13"/>
  <c r="P64" i="13"/>
  <c r="O64" i="13"/>
  <c r="N64" i="13"/>
  <c r="M64" i="13"/>
  <c r="L64" i="13"/>
  <c r="K64" i="13"/>
  <c r="J64" i="13"/>
  <c r="I64" i="13"/>
  <c r="H64" i="13"/>
  <c r="G64" i="13"/>
  <c r="F64" i="13"/>
  <c r="V63" i="13"/>
  <c r="U63" i="13"/>
  <c r="T63" i="13"/>
  <c r="S63" i="13"/>
  <c r="R63" i="13"/>
  <c r="Q63" i="13"/>
  <c r="P63" i="13"/>
  <c r="O63" i="13"/>
  <c r="N63" i="13"/>
  <c r="M63" i="13"/>
  <c r="L63" i="13"/>
  <c r="K63" i="13"/>
  <c r="J63" i="13"/>
  <c r="I63" i="13"/>
  <c r="H63" i="13"/>
  <c r="G63" i="13"/>
  <c r="F63" i="13"/>
  <c r="V62" i="13"/>
  <c r="U62" i="13"/>
  <c r="T62" i="13"/>
  <c r="S62" i="13"/>
  <c r="R62" i="13"/>
  <c r="Q62" i="13"/>
  <c r="P62" i="13"/>
  <c r="O62" i="13"/>
  <c r="N62" i="13"/>
  <c r="M62" i="13"/>
  <c r="L62" i="13"/>
  <c r="K62" i="13"/>
  <c r="J62" i="13"/>
  <c r="I62" i="13"/>
  <c r="H62" i="13"/>
  <c r="G62" i="13"/>
  <c r="F62" i="13"/>
  <c r="V61" i="13"/>
  <c r="U61" i="13"/>
  <c r="T61" i="13"/>
  <c r="S61" i="13"/>
  <c r="R61" i="13"/>
  <c r="Q61" i="13"/>
  <c r="P61" i="13"/>
  <c r="O61" i="13"/>
  <c r="N61" i="13"/>
  <c r="M61" i="13"/>
  <c r="L61" i="13"/>
  <c r="K61" i="13"/>
  <c r="J61" i="13"/>
  <c r="I61" i="13"/>
  <c r="H61" i="13"/>
  <c r="G61" i="13"/>
  <c r="F61" i="13"/>
  <c r="V60" i="13"/>
  <c r="U60" i="13"/>
  <c r="T60" i="13"/>
  <c r="S60" i="13"/>
  <c r="R60" i="13"/>
  <c r="Q60" i="13"/>
  <c r="P60" i="13"/>
  <c r="O60" i="13"/>
  <c r="N60" i="13"/>
  <c r="M60" i="13"/>
  <c r="L60" i="13"/>
  <c r="K60" i="13"/>
  <c r="J60" i="13"/>
  <c r="I60" i="13"/>
  <c r="H60" i="13"/>
  <c r="G60" i="13"/>
  <c r="F60" i="13"/>
  <c r="V59" i="13"/>
  <c r="U59" i="13"/>
  <c r="T59" i="13"/>
  <c r="S59" i="13"/>
  <c r="R59" i="13"/>
  <c r="Q59" i="13"/>
  <c r="P59" i="13"/>
  <c r="O59" i="13"/>
  <c r="N59" i="13"/>
  <c r="M59" i="13"/>
  <c r="L59" i="13"/>
  <c r="K59" i="13"/>
  <c r="J59" i="13"/>
  <c r="I59" i="13"/>
  <c r="H59" i="13"/>
  <c r="G59" i="13"/>
  <c r="F59" i="13"/>
  <c r="V58" i="13"/>
  <c r="U58" i="13"/>
  <c r="T58" i="13"/>
  <c r="S58" i="13"/>
  <c r="R58" i="13"/>
  <c r="Q58" i="13"/>
  <c r="P58" i="13"/>
  <c r="O58" i="13"/>
  <c r="N58" i="13"/>
  <c r="M58" i="13"/>
  <c r="L58" i="13"/>
  <c r="K58" i="13"/>
  <c r="J58" i="13"/>
  <c r="I58" i="13"/>
  <c r="H58" i="13"/>
  <c r="G58" i="13"/>
  <c r="F58" i="13"/>
  <c r="V57" i="13"/>
  <c r="U57" i="13"/>
  <c r="T57" i="13"/>
  <c r="S57" i="13"/>
  <c r="R57" i="13"/>
  <c r="Q57" i="13"/>
  <c r="P57" i="13"/>
  <c r="O57" i="13"/>
  <c r="N57" i="13"/>
  <c r="M57" i="13"/>
  <c r="L57" i="13"/>
  <c r="K57" i="13"/>
  <c r="J57" i="13"/>
  <c r="I57" i="13"/>
  <c r="H57" i="13"/>
  <c r="G57" i="13"/>
  <c r="F57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F56" i="13"/>
  <c r="V55" i="13"/>
  <c r="U55" i="13"/>
  <c r="T55" i="13"/>
  <c r="S55" i="13"/>
  <c r="R55" i="13"/>
  <c r="Q55" i="13"/>
  <c r="P55" i="13"/>
  <c r="O55" i="13"/>
  <c r="N55" i="13"/>
  <c r="M55" i="13"/>
  <c r="L55" i="13"/>
  <c r="K55" i="13"/>
  <c r="J55" i="13"/>
  <c r="I55" i="13"/>
  <c r="H55" i="13"/>
  <c r="G55" i="13"/>
  <c r="F55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V53" i="13"/>
  <c r="U53" i="13"/>
  <c r="T53" i="13"/>
  <c r="S53" i="13"/>
  <c r="R53" i="13"/>
  <c r="Q53" i="13"/>
  <c r="P53" i="13"/>
  <c r="O53" i="13"/>
  <c r="N53" i="13"/>
  <c r="M53" i="13"/>
  <c r="L53" i="13"/>
  <c r="K53" i="13"/>
  <c r="J53" i="13"/>
  <c r="I53" i="13"/>
  <c r="H53" i="13"/>
  <c r="G53" i="13"/>
  <c r="F53" i="13"/>
  <c r="V52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V51" i="13"/>
  <c r="U51" i="13"/>
  <c r="T51" i="13"/>
  <c r="S51" i="13"/>
  <c r="R51" i="13"/>
  <c r="Q51" i="13"/>
  <c r="P51" i="13"/>
  <c r="O51" i="13"/>
  <c r="N51" i="13"/>
  <c r="M51" i="13"/>
  <c r="L51" i="13"/>
  <c r="K51" i="13"/>
  <c r="J51" i="13"/>
  <c r="I51" i="13"/>
  <c r="H51" i="13"/>
  <c r="G51" i="13"/>
  <c r="F51" i="13"/>
  <c r="V50" i="13"/>
  <c r="U50" i="13"/>
  <c r="T50" i="13"/>
  <c r="S50" i="13"/>
  <c r="R50" i="13"/>
  <c r="Q50" i="13"/>
  <c r="P50" i="13"/>
  <c r="O50" i="13"/>
  <c r="N50" i="13"/>
  <c r="M50" i="13"/>
  <c r="L50" i="13"/>
  <c r="K50" i="13"/>
  <c r="J50" i="13"/>
  <c r="I50" i="13"/>
  <c r="H50" i="13"/>
  <c r="G50" i="13"/>
  <c r="F50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V48" i="13"/>
  <c r="U48" i="13"/>
  <c r="T48" i="13"/>
  <c r="S48" i="13"/>
  <c r="R48" i="13"/>
  <c r="Q48" i="13"/>
  <c r="P48" i="13"/>
  <c r="O48" i="13"/>
  <c r="N48" i="13"/>
  <c r="M48" i="13"/>
  <c r="L48" i="13"/>
  <c r="K48" i="13"/>
  <c r="J48" i="13"/>
  <c r="I48" i="13"/>
  <c r="H48" i="13"/>
  <c r="G48" i="13"/>
  <c r="F48" i="13"/>
  <c r="V47" i="13"/>
  <c r="U47" i="13"/>
  <c r="T47" i="13"/>
  <c r="S47" i="13"/>
  <c r="R47" i="13"/>
  <c r="Q47" i="13"/>
  <c r="P47" i="13"/>
  <c r="O47" i="13"/>
  <c r="N47" i="13"/>
  <c r="M47" i="13"/>
  <c r="L47" i="13"/>
  <c r="K47" i="13"/>
  <c r="J47" i="13"/>
  <c r="I47" i="13"/>
  <c r="H47" i="13"/>
  <c r="G47" i="13"/>
  <c r="F47" i="13"/>
  <c r="V46" i="13"/>
  <c r="U46" i="13"/>
  <c r="T46" i="13"/>
  <c r="S46" i="13"/>
  <c r="R46" i="13"/>
  <c r="Q46" i="13"/>
  <c r="P46" i="13"/>
  <c r="O46" i="13"/>
  <c r="N46" i="13"/>
  <c r="M46" i="13"/>
  <c r="L46" i="13"/>
  <c r="K46" i="13"/>
  <c r="J46" i="13"/>
  <c r="I46" i="13"/>
  <c r="H46" i="13"/>
  <c r="G46" i="13"/>
  <c r="F46" i="13"/>
  <c r="C64" i="1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B64" i="13"/>
  <c r="B63" i="13"/>
  <c r="B59" i="13"/>
  <c r="A64" i="13"/>
  <c r="A63" i="13"/>
  <c r="A62" i="13"/>
  <c r="A61" i="13"/>
  <c r="A60" i="13"/>
  <c r="A58" i="13"/>
  <c r="A54" i="13"/>
  <c r="A50" i="13"/>
  <c r="A46" i="13"/>
  <c r="V45" i="13"/>
  <c r="U45" i="13"/>
  <c r="T45" i="13"/>
  <c r="S45" i="13"/>
  <c r="V44" i="13"/>
  <c r="U44" i="13"/>
  <c r="T44" i="13"/>
  <c r="S44" i="13"/>
  <c r="V43" i="13"/>
  <c r="U43" i="13"/>
  <c r="T43" i="13"/>
  <c r="S43" i="13"/>
  <c r="V42" i="13"/>
  <c r="U42" i="13"/>
  <c r="T42" i="13"/>
  <c r="S42" i="13"/>
  <c r="V41" i="13"/>
  <c r="U41" i="13"/>
  <c r="T41" i="13"/>
  <c r="S41" i="13"/>
  <c r="V40" i="13"/>
  <c r="U40" i="13"/>
  <c r="T40" i="13"/>
  <c r="S40" i="13"/>
  <c r="V39" i="13"/>
  <c r="U39" i="13"/>
  <c r="T39" i="13"/>
  <c r="S39" i="13"/>
  <c r="V38" i="13"/>
  <c r="U38" i="13"/>
  <c r="T38" i="13"/>
  <c r="S38" i="13"/>
  <c r="V37" i="13"/>
  <c r="U37" i="13"/>
  <c r="T37" i="13"/>
  <c r="S37" i="13"/>
  <c r="V36" i="13"/>
  <c r="U36" i="13"/>
  <c r="T36" i="13"/>
  <c r="S36" i="13"/>
  <c r="V35" i="13"/>
  <c r="U35" i="13"/>
  <c r="T35" i="13"/>
  <c r="S35" i="13"/>
  <c r="V34" i="13"/>
  <c r="U34" i="13"/>
  <c r="T34" i="13"/>
  <c r="S34" i="13"/>
  <c r="V33" i="13"/>
  <c r="U33" i="13"/>
  <c r="T33" i="13"/>
  <c r="S33" i="13"/>
  <c r="V32" i="13"/>
  <c r="U32" i="13"/>
  <c r="T32" i="13"/>
  <c r="S32" i="13"/>
  <c r="V31" i="13"/>
  <c r="U31" i="13"/>
  <c r="T31" i="13"/>
  <c r="S31" i="13"/>
  <c r="V30" i="13"/>
  <c r="U30" i="13"/>
  <c r="T30" i="13"/>
  <c r="S30" i="13"/>
  <c r="V29" i="13"/>
  <c r="U29" i="13"/>
  <c r="T29" i="13"/>
  <c r="S29" i="13"/>
  <c r="V28" i="13"/>
  <c r="U28" i="13"/>
  <c r="T28" i="13"/>
  <c r="S28" i="13"/>
  <c r="V27" i="13"/>
  <c r="U27" i="13"/>
  <c r="T27" i="13"/>
  <c r="S27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R36" i="13"/>
  <c r="Q36" i="13"/>
  <c r="P36" i="13"/>
  <c r="O36" i="13"/>
  <c r="N36" i="13"/>
  <c r="M36" i="13"/>
  <c r="L36" i="13"/>
  <c r="K36" i="13"/>
  <c r="J36" i="13"/>
  <c r="I36" i="13"/>
  <c r="H36" i="13"/>
  <c r="G36" i="13"/>
  <c r="R35" i="13"/>
  <c r="Q35" i="13"/>
  <c r="P35" i="13"/>
  <c r="O35" i="13"/>
  <c r="N35" i="13"/>
  <c r="M35" i="13"/>
  <c r="L35" i="13"/>
  <c r="K35" i="13"/>
  <c r="J35" i="13"/>
  <c r="I35" i="13"/>
  <c r="H35" i="13"/>
  <c r="G35" i="13"/>
  <c r="R34" i="13"/>
  <c r="Q34" i="13"/>
  <c r="P34" i="13"/>
  <c r="O34" i="13"/>
  <c r="N34" i="13"/>
  <c r="M34" i="13"/>
  <c r="L34" i="13"/>
  <c r="K34" i="13"/>
  <c r="J34" i="13"/>
  <c r="I34" i="13"/>
  <c r="H34" i="13"/>
  <c r="G34" i="13"/>
  <c r="R33" i="13"/>
  <c r="Q33" i="13"/>
  <c r="P33" i="13"/>
  <c r="O33" i="13"/>
  <c r="N33" i="13"/>
  <c r="M33" i="13"/>
  <c r="L33" i="13"/>
  <c r="K33" i="13"/>
  <c r="J33" i="13"/>
  <c r="I33" i="13"/>
  <c r="H33" i="13"/>
  <c r="G33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45" i="13"/>
  <c r="F44" i="13"/>
  <c r="F43" i="13"/>
  <c r="F42" i="13"/>
  <c r="F41" i="13"/>
  <c r="F40" i="13"/>
  <c r="F39" i="13"/>
  <c r="F38" i="13"/>
  <c r="F37" i="13"/>
  <c r="F36" i="13"/>
  <c r="F35" i="13"/>
  <c r="F34" i="13"/>
  <c r="F33" i="13"/>
  <c r="F32" i="13"/>
  <c r="F31" i="13"/>
  <c r="F30" i="13"/>
  <c r="F29" i="13"/>
  <c r="F28" i="13"/>
  <c r="F27" i="13"/>
  <c r="E45" i="13"/>
  <c r="E44" i="13"/>
  <c r="E43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D45" i="13"/>
  <c r="D44" i="13"/>
  <c r="D43" i="13"/>
  <c r="D42" i="13"/>
  <c r="D41" i="13"/>
  <c r="D40" i="13"/>
  <c r="D39" i="13"/>
  <c r="D38" i="13"/>
  <c r="D37" i="13"/>
  <c r="D36" i="13"/>
  <c r="D35" i="13"/>
  <c r="D34" i="13"/>
  <c r="D33" i="13"/>
  <c r="D32" i="13"/>
  <c r="D31" i="13"/>
  <c r="D30" i="13"/>
  <c r="D29" i="13"/>
  <c r="D28" i="13"/>
  <c r="D27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A43" i="13"/>
  <c r="A39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T50" i="12"/>
  <c r="B50" i="12"/>
  <c r="A50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T49" i="12"/>
  <c r="B49" i="12"/>
  <c r="A49" i="12"/>
  <c r="U48" i="12"/>
  <c r="P48" i="12"/>
  <c r="O48" i="12"/>
  <c r="N48" i="12"/>
  <c r="M48" i="12"/>
  <c r="L48" i="12"/>
  <c r="K48" i="12"/>
  <c r="J48" i="12"/>
  <c r="I48" i="12"/>
  <c r="H48" i="12"/>
  <c r="G48" i="12"/>
  <c r="F48" i="12"/>
  <c r="E48" i="12"/>
  <c r="D48" i="12"/>
  <c r="C48" i="12"/>
  <c r="T48" i="12"/>
  <c r="B48" i="12"/>
  <c r="A48" i="12"/>
  <c r="P47" i="12"/>
  <c r="O47" i="12"/>
  <c r="N47" i="12"/>
  <c r="M47" i="12"/>
  <c r="L47" i="12"/>
  <c r="K47" i="12"/>
  <c r="J47" i="12"/>
  <c r="I47" i="12"/>
  <c r="H47" i="12"/>
  <c r="G47" i="12"/>
  <c r="F47" i="12"/>
  <c r="E47" i="12"/>
  <c r="D47" i="12"/>
  <c r="C47" i="12"/>
  <c r="T47" i="12"/>
  <c r="B47" i="12"/>
  <c r="A47" i="12"/>
  <c r="P46" i="12"/>
  <c r="O46" i="12"/>
  <c r="N46" i="12"/>
  <c r="M46" i="12"/>
  <c r="L46" i="12"/>
  <c r="K46" i="12"/>
  <c r="J46" i="12"/>
  <c r="I46" i="12"/>
  <c r="H46" i="12"/>
  <c r="G46" i="12"/>
  <c r="F46" i="12"/>
  <c r="E46" i="12"/>
  <c r="D46" i="12"/>
  <c r="C46" i="12"/>
  <c r="T46" i="12"/>
  <c r="B46" i="12"/>
  <c r="A46" i="12"/>
  <c r="A212" i="13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T45" i="12"/>
  <c r="B45" i="12"/>
  <c r="A45" i="12"/>
  <c r="A211" i="13"/>
  <c r="U44" i="12"/>
  <c r="P44" i="12"/>
  <c r="O44" i="12"/>
  <c r="N44" i="12"/>
  <c r="M44" i="12"/>
  <c r="L44" i="12"/>
  <c r="K44" i="12"/>
  <c r="J44" i="12"/>
  <c r="I44" i="12"/>
  <c r="H44" i="12"/>
  <c r="G44" i="12"/>
  <c r="F44" i="12"/>
  <c r="E44" i="12"/>
  <c r="D44" i="12"/>
  <c r="C44" i="12"/>
  <c r="T44" i="12"/>
  <c r="B44" i="12"/>
  <c r="B210" i="13"/>
  <c r="A44" i="12"/>
  <c r="P43" i="12"/>
  <c r="O43" i="12"/>
  <c r="N43" i="12"/>
  <c r="M43" i="12"/>
  <c r="L43" i="12"/>
  <c r="K43" i="12"/>
  <c r="J43" i="12"/>
  <c r="I43" i="12"/>
  <c r="H43" i="12"/>
  <c r="G43" i="12"/>
  <c r="F43" i="12"/>
  <c r="E43" i="12"/>
  <c r="D43" i="12"/>
  <c r="C43" i="12"/>
  <c r="T43" i="12"/>
  <c r="B43" i="12"/>
  <c r="B209" i="13"/>
  <c r="A43" i="12"/>
  <c r="A209" i="13"/>
  <c r="P42" i="12"/>
  <c r="O42" i="12"/>
  <c r="N42" i="12"/>
  <c r="M42" i="12"/>
  <c r="L42" i="12"/>
  <c r="K42" i="12"/>
  <c r="J42" i="12"/>
  <c r="I42" i="12"/>
  <c r="H42" i="12"/>
  <c r="G42" i="12"/>
  <c r="F42" i="12"/>
  <c r="E42" i="12"/>
  <c r="D42" i="12"/>
  <c r="C42" i="12"/>
  <c r="T42" i="12"/>
  <c r="B42" i="12"/>
  <c r="B208" i="13"/>
  <c r="A42" i="12"/>
  <c r="A208" i="13"/>
  <c r="P41" i="12"/>
  <c r="O41" i="12"/>
  <c r="N41" i="12"/>
  <c r="M41" i="12"/>
  <c r="L41" i="12"/>
  <c r="K41" i="12"/>
  <c r="J41" i="12"/>
  <c r="I41" i="12"/>
  <c r="H41" i="12"/>
  <c r="G41" i="12"/>
  <c r="F41" i="12"/>
  <c r="E41" i="12"/>
  <c r="D41" i="12"/>
  <c r="C41" i="12"/>
  <c r="B41" i="12"/>
  <c r="B207" i="13"/>
  <c r="A41" i="12"/>
  <c r="A207" i="13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T40" i="12"/>
  <c r="B40" i="12"/>
  <c r="B206" i="13"/>
  <c r="A40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T39" i="12"/>
  <c r="B39" i="12"/>
  <c r="B205" i="13"/>
  <c r="A39" i="12"/>
  <c r="A205" i="13"/>
  <c r="P38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C38" i="12"/>
  <c r="T38" i="12"/>
  <c r="B38" i="12"/>
  <c r="B204" i="13"/>
  <c r="A38" i="12"/>
  <c r="A204" i="13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T37" i="12"/>
  <c r="B37" i="12"/>
  <c r="B203" i="13"/>
  <c r="A37" i="12"/>
  <c r="A203" i="13"/>
  <c r="P36" i="12"/>
  <c r="O36" i="12"/>
  <c r="O51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T36" i="12"/>
  <c r="B36" i="12"/>
  <c r="B202" i="13"/>
  <c r="A36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T35" i="12"/>
  <c r="B35" i="12"/>
  <c r="B201" i="13"/>
  <c r="A35" i="12"/>
  <c r="A201" i="13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T34" i="12"/>
  <c r="B34" i="12"/>
  <c r="B200" i="13"/>
  <c r="A34" i="12"/>
  <c r="A200" i="13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T33" i="12"/>
  <c r="B33" i="12"/>
  <c r="B199" i="13"/>
  <c r="A33" i="12"/>
  <c r="A199" i="13"/>
  <c r="P32" i="12"/>
  <c r="P51" i="12"/>
  <c r="O32" i="12"/>
  <c r="N32" i="12"/>
  <c r="M32" i="12"/>
  <c r="L32" i="12"/>
  <c r="L51" i="12"/>
  <c r="K32" i="12"/>
  <c r="J32" i="12"/>
  <c r="I32" i="12"/>
  <c r="H32" i="12"/>
  <c r="H51" i="12"/>
  <c r="G32" i="12"/>
  <c r="F32" i="12"/>
  <c r="E32" i="12"/>
  <c r="D32" i="12"/>
  <c r="D51" i="12"/>
  <c r="C32" i="12"/>
  <c r="T32" i="12"/>
  <c r="B32" i="12"/>
  <c r="B198" i="13"/>
  <c r="A32" i="12"/>
  <c r="IT27" i="12"/>
  <c r="IS27" i="12"/>
  <c r="IR27" i="12"/>
  <c r="IQ27" i="12"/>
  <c r="IP27" i="12"/>
  <c r="IO27" i="12"/>
  <c r="IN27" i="12"/>
  <c r="IM27" i="12"/>
  <c r="IL27" i="12"/>
  <c r="IK27" i="12"/>
  <c r="IJ27" i="12"/>
  <c r="II27" i="12"/>
  <c r="IH27" i="12"/>
  <c r="IG27" i="12"/>
  <c r="IC27" i="12"/>
  <c r="IB27" i="12"/>
  <c r="IA27" i="12"/>
  <c r="HZ27" i="12"/>
  <c r="HY27" i="12"/>
  <c r="HX27" i="12"/>
  <c r="HW27" i="12"/>
  <c r="HV27" i="12"/>
  <c r="HU27" i="12"/>
  <c r="HT27" i="12"/>
  <c r="HS27" i="12"/>
  <c r="HR27" i="12"/>
  <c r="HQ27" i="12"/>
  <c r="HP27" i="12"/>
  <c r="HL27" i="12"/>
  <c r="HK27" i="12"/>
  <c r="HJ27" i="12"/>
  <c r="HI27" i="12"/>
  <c r="HH27" i="12"/>
  <c r="HG27" i="12"/>
  <c r="HF27" i="12"/>
  <c r="HE27" i="12"/>
  <c r="HD27" i="12"/>
  <c r="HC27" i="12"/>
  <c r="HB27" i="12"/>
  <c r="HA27" i="12"/>
  <c r="GZ27" i="12"/>
  <c r="GY27" i="12"/>
  <c r="GU27" i="12"/>
  <c r="GT27" i="12"/>
  <c r="GS27" i="12"/>
  <c r="GR27" i="12"/>
  <c r="GQ27" i="12"/>
  <c r="GP27" i="12"/>
  <c r="GO27" i="12"/>
  <c r="GN27" i="12"/>
  <c r="GM27" i="12"/>
  <c r="GL27" i="12"/>
  <c r="GK27" i="12"/>
  <c r="GJ27" i="12"/>
  <c r="GI27" i="12"/>
  <c r="GH27" i="12"/>
  <c r="GD27" i="12"/>
  <c r="GC27" i="12"/>
  <c r="GB27" i="12"/>
  <c r="GA27" i="12"/>
  <c r="FZ27" i="12"/>
  <c r="FY27" i="12"/>
  <c r="FX27" i="12"/>
  <c r="FW27" i="12"/>
  <c r="FV27" i="12"/>
  <c r="FU27" i="12"/>
  <c r="FT27" i="12"/>
  <c r="FS27" i="12"/>
  <c r="FR27" i="12"/>
  <c r="FQ27" i="12"/>
  <c r="FM27" i="12"/>
  <c r="FL27" i="12"/>
  <c r="FK27" i="12"/>
  <c r="FJ27" i="12"/>
  <c r="FI27" i="12"/>
  <c r="FH27" i="12"/>
  <c r="FG27" i="12"/>
  <c r="FF27" i="12"/>
  <c r="FE27" i="12"/>
  <c r="FD27" i="12"/>
  <c r="FC27" i="12"/>
  <c r="FB27" i="12"/>
  <c r="FA27" i="12"/>
  <c r="EZ27" i="12"/>
  <c r="EV27" i="12"/>
  <c r="EU27" i="12"/>
  <c r="ET27" i="12"/>
  <c r="ES27" i="12"/>
  <c r="ER27" i="12"/>
  <c r="EQ27" i="12"/>
  <c r="EP27" i="12"/>
  <c r="EO27" i="12"/>
  <c r="EN27" i="12"/>
  <c r="EM27" i="12"/>
  <c r="EL27" i="12"/>
  <c r="EK27" i="12"/>
  <c r="EJ27" i="12"/>
  <c r="EI27" i="12"/>
  <c r="EE27" i="12"/>
  <c r="ED27" i="12"/>
  <c r="EC27" i="12"/>
  <c r="EB27" i="12"/>
  <c r="EA27" i="12"/>
  <c r="DZ27" i="12"/>
  <c r="DY27" i="12"/>
  <c r="DX27" i="12"/>
  <c r="DW27" i="12"/>
  <c r="DV27" i="12"/>
  <c r="DU27" i="12"/>
  <c r="DT27" i="12"/>
  <c r="DS27" i="12"/>
  <c r="DR27" i="12"/>
  <c r="DN27" i="12"/>
  <c r="DM27" i="12"/>
  <c r="DL27" i="12"/>
  <c r="DK27" i="12"/>
  <c r="DJ27" i="12"/>
  <c r="DI27" i="12"/>
  <c r="DH27" i="12"/>
  <c r="DG27" i="12"/>
  <c r="DF27" i="12"/>
  <c r="DE27" i="12"/>
  <c r="DD27" i="12"/>
  <c r="DC27" i="12"/>
  <c r="DB27" i="12"/>
  <c r="DA27" i="12"/>
  <c r="CW27" i="12"/>
  <c r="CV27" i="12"/>
  <c r="CU27" i="12"/>
  <c r="CT27" i="12"/>
  <c r="CS27" i="12"/>
  <c r="CR27" i="12"/>
  <c r="CQ27" i="12"/>
  <c r="CP27" i="12"/>
  <c r="CO27" i="12"/>
  <c r="CN27" i="12"/>
  <c r="CM27" i="12"/>
  <c r="CL27" i="12"/>
  <c r="CK27" i="12"/>
  <c r="CJ27" i="12"/>
  <c r="CF27" i="12"/>
  <c r="CE27" i="12"/>
  <c r="CD27" i="12"/>
  <c r="CC27" i="12"/>
  <c r="CB27" i="12"/>
  <c r="CA27" i="12"/>
  <c r="BZ27" i="12"/>
  <c r="BY27" i="12"/>
  <c r="BX27" i="12"/>
  <c r="BW27" i="12"/>
  <c r="BV27" i="12"/>
  <c r="BU27" i="12"/>
  <c r="BT27" i="12"/>
  <c r="BS27" i="12"/>
  <c r="BO27" i="12"/>
  <c r="BN27" i="12"/>
  <c r="BM27" i="12"/>
  <c r="BL27" i="12"/>
  <c r="BK27" i="12"/>
  <c r="BJ27" i="12"/>
  <c r="BI27" i="12"/>
  <c r="BH27" i="12"/>
  <c r="BG27" i="12"/>
  <c r="BF27" i="12"/>
  <c r="BE27" i="12"/>
  <c r="BD27" i="12"/>
  <c r="BC27" i="12"/>
  <c r="BB27" i="12"/>
  <c r="AX27" i="12"/>
  <c r="AW27" i="12"/>
  <c r="AV27" i="12"/>
  <c r="AU27" i="12"/>
  <c r="AT27" i="12"/>
  <c r="AS27" i="12"/>
  <c r="AR27" i="12"/>
  <c r="AQ27" i="12"/>
  <c r="AP27" i="12"/>
  <c r="AO27" i="12"/>
  <c r="AN27" i="12"/>
  <c r="AM27" i="12"/>
  <c r="AL27" i="12"/>
  <c r="AK27" i="12"/>
  <c r="AG27" i="12"/>
  <c r="AF27" i="12"/>
  <c r="AE27" i="12"/>
  <c r="AD27" i="12"/>
  <c r="AC27" i="12"/>
  <c r="AB27" i="12"/>
  <c r="AA27" i="12"/>
  <c r="Z27" i="12"/>
  <c r="Y27" i="12"/>
  <c r="X27" i="12"/>
  <c r="W27" i="12"/>
  <c r="V27" i="12"/>
  <c r="U27" i="12"/>
  <c r="T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IV26" i="12"/>
  <c r="IU26" i="12"/>
  <c r="IE26" i="12"/>
  <c r="ID26" i="12"/>
  <c r="HN26" i="12"/>
  <c r="HM26" i="12"/>
  <c r="GW26" i="12"/>
  <c r="GV26" i="12"/>
  <c r="GF26" i="12"/>
  <c r="GE26" i="12"/>
  <c r="FO26" i="12"/>
  <c r="FN26" i="12"/>
  <c r="EX26" i="12"/>
  <c r="EW26" i="12"/>
  <c r="EG26" i="12"/>
  <c r="EF26" i="12"/>
  <c r="DP26" i="12"/>
  <c r="DO26" i="12"/>
  <c r="CY26" i="12"/>
  <c r="CX26" i="12"/>
  <c r="CH26" i="12"/>
  <c r="CG26" i="12"/>
  <c r="BQ26" i="12"/>
  <c r="BP26" i="12"/>
  <c r="AZ26" i="12"/>
  <c r="AY26" i="12"/>
  <c r="AI26" i="12"/>
  <c r="AH26" i="12"/>
  <c r="R26" i="12"/>
  <c r="Q26" i="12"/>
  <c r="Q50" i="12"/>
  <c r="IV25" i="12"/>
  <c r="IU25" i="12"/>
  <c r="IE25" i="12"/>
  <c r="ID25" i="12"/>
  <c r="HN25" i="12"/>
  <c r="HM25" i="12"/>
  <c r="GW25" i="12"/>
  <c r="GV25" i="12"/>
  <c r="GF25" i="12"/>
  <c r="GE25" i="12"/>
  <c r="FO25" i="12"/>
  <c r="FN25" i="12"/>
  <c r="EX25" i="12"/>
  <c r="EW25" i="12"/>
  <c r="EG25" i="12"/>
  <c r="EF25" i="12"/>
  <c r="DP25" i="12"/>
  <c r="DO25" i="12"/>
  <c r="CY25" i="12"/>
  <c r="CX25" i="12"/>
  <c r="CH25" i="12"/>
  <c r="CG25" i="12"/>
  <c r="BQ25" i="12"/>
  <c r="BP25" i="12"/>
  <c r="AZ25" i="12"/>
  <c r="AY25" i="12"/>
  <c r="AI25" i="12"/>
  <c r="AH25" i="12"/>
  <c r="R25" i="12"/>
  <c r="Q25" i="12"/>
  <c r="IV24" i="12"/>
  <c r="IU24" i="12"/>
  <c r="IE24" i="12"/>
  <c r="ID24" i="12"/>
  <c r="HN24" i="12"/>
  <c r="HM24" i="12"/>
  <c r="GW24" i="12"/>
  <c r="GV24" i="12"/>
  <c r="GF24" i="12"/>
  <c r="GE24" i="12"/>
  <c r="FO24" i="12"/>
  <c r="FN24" i="12"/>
  <c r="EX24" i="12"/>
  <c r="EW24" i="12"/>
  <c r="EG24" i="12"/>
  <c r="EF24" i="12"/>
  <c r="DP24" i="12"/>
  <c r="DO24" i="12"/>
  <c r="CY24" i="12"/>
  <c r="CX24" i="12"/>
  <c r="CH24" i="12"/>
  <c r="CG24" i="12"/>
  <c r="BQ24" i="12"/>
  <c r="BP24" i="12"/>
  <c r="AZ24" i="12"/>
  <c r="AY24" i="12"/>
  <c r="AI24" i="12"/>
  <c r="AH24" i="12"/>
  <c r="R24" i="12"/>
  <c r="Q24" i="12"/>
  <c r="Q48" i="12"/>
  <c r="IV23" i="12"/>
  <c r="IU23" i="12"/>
  <c r="IE23" i="12"/>
  <c r="ID23" i="12"/>
  <c r="HN23" i="12"/>
  <c r="HM23" i="12"/>
  <c r="GW23" i="12"/>
  <c r="GV23" i="12"/>
  <c r="GF23" i="12"/>
  <c r="GE23" i="12"/>
  <c r="FO23" i="12"/>
  <c r="FN23" i="12"/>
  <c r="EX23" i="12"/>
  <c r="EW23" i="12"/>
  <c r="EG23" i="12"/>
  <c r="EF23" i="12"/>
  <c r="DP23" i="12"/>
  <c r="DO23" i="12"/>
  <c r="CY23" i="12"/>
  <c r="CX23" i="12"/>
  <c r="CH23" i="12"/>
  <c r="CG23" i="12"/>
  <c r="BQ23" i="12"/>
  <c r="BP23" i="12"/>
  <c r="AZ23" i="12"/>
  <c r="AY23" i="12"/>
  <c r="AI23" i="12"/>
  <c r="AH23" i="12"/>
  <c r="R23" i="12"/>
  <c r="Q23" i="12"/>
  <c r="IV22" i="12"/>
  <c r="IU22" i="12"/>
  <c r="IE22" i="12"/>
  <c r="ID22" i="12"/>
  <c r="HN22" i="12"/>
  <c r="HM22" i="12"/>
  <c r="GW22" i="12"/>
  <c r="GV22" i="12"/>
  <c r="GF22" i="12"/>
  <c r="GE22" i="12"/>
  <c r="FO22" i="12"/>
  <c r="FN22" i="12"/>
  <c r="EX22" i="12"/>
  <c r="EW22" i="12"/>
  <c r="EG22" i="12"/>
  <c r="EF22" i="12"/>
  <c r="DP22" i="12"/>
  <c r="DO22" i="12"/>
  <c r="CY22" i="12"/>
  <c r="CX22" i="12"/>
  <c r="CH22" i="12"/>
  <c r="CG22" i="12"/>
  <c r="BQ22" i="12"/>
  <c r="BP22" i="12"/>
  <c r="AZ22" i="12"/>
  <c r="AY22" i="12"/>
  <c r="AI22" i="12"/>
  <c r="AH22" i="12"/>
  <c r="R22" i="12"/>
  <c r="Q22" i="12"/>
  <c r="Q46" i="12"/>
  <c r="IV21" i="12"/>
  <c r="IU21" i="12"/>
  <c r="IE21" i="12"/>
  <c r="ID21" i="12"/>
  <c r="HN21" i="12"/>
  <c r="HM21" i="12"/>
  <c r="GW21" i="12"/>
  <c r="GV21" i="12"/>
  <c r="GF21" i="12"/>
  <c r="GE21" i="12"/>
  <c r="FO21" i="12"/>
  <c r="FN21" i="12"/>
  <c r="EX21" i="12"/>
  <c r="EW21" i="12"/>
  <c r="EG21" i="12"/>
  <c r="EF21" i="12"/>
  <c r="DP21" i="12"/>
  <c r="DO21" i="12"/>
  <c r="CY21" i="12"/>
  <c r="CX21" i="12"/>
  <c r="CH21" i="12"/>
  <c r="CG21" i="12"/>
  <c r="BQ21" i="12"/>
  <c r="BP21" i="12"/>
  <c r="AZ21" i="12"/>
  <c r="AY21" i="12"/>
  <c r="AI21" i="12"/>
  <c r="AH21" i="12"/>
  <c r="R21" i="12"/>
  <c r="Q21" i="12"/>
  <c r="IV20" i="12"/>
  <c r="IU20" i="12"/>
  <c r="IE20" i="12"/>
  <c r="ID20" i="12"/>
  <c r="HN20" i="12"/>
  <c r="HM20" i="12"/>
  <c r="GW20" i="12"/>
  <c r="GV20" i="12"/>
  <c r="GF20" i="12"/>
  <c r="GE20" i="12"/>
  <c r="FO20" i="12"/>
  <c r="FN20" i="12"/>
  <c r="EX20" i="12"/>
  <c r="EW20" i="12"/>
  <c r="EG20" i="12"/>
  <c r="EF20" i="12"/>
  <c r="DP20" i="12"/>
  <c r="DO20" i="12"/>
  <c r="CY20" i="12"/>
  <c r="CX20" i="12"/>
  <c r="CH20" i="12"/>
  <c r="CG20" i="12"/>
  <c r="BQ20" i="12"/>
  <c r="BP20" i="12"/>
  <c r="AZ20" i="12"/>
  <c r="AY20" i="12"/>
  <c r="AI20" i="12"/>
  <c r="AH20" i="12"/>
  <c r="R20" i="12"/>
  <c r="Q20" i="12"/>
  <c r="Q44" i="12"/>
  <c r="IV19" i="12"/>
  <c r="IU19" i="12"/>
  <c r="IE19" i="12"/>
  <c r="ID19" i="12"/>
  <c r="HN19" i="12"/>
  <c r="HM19" i="12"/>
  <c r="GW19" i="12"/>
  <c r="GV19" i="12"/>
  <c r="GF19" i="12"/>
  <c r="GE19" i="12"/>
  <c r="FO19" i="12"/>
  <c r="FN19" i="12"/>
  <c r="EX19" i="12"/>
  <c r="EW19" i="12"/>
  <c r="EG19" i="12"/>
  <c r="EF19" i="12"/>
  <c r="DP19" i="12"/>
  <c r="DO19" i="12"/>
  <c r="CY19" i="12"/>
  <c r="CX19" i="12"/>
  <c r="CH19" i="12"/>
  <c r="CG19" i="12"/>
  <c r="BQ19" i="12"/>
  <c r="BP19" i="12"/>
  <c r="AZ19" i="12"/>
  <c r="AY19" i="12"/>
  <c r="AI19" i="12"/>
  <c r="AH19" i="12"/>
  <c r="R19" i="12"/>
  <c r="Q19" i="12"/>
  <c r="IV18" i="12"/>
  <c r="IU18" i="12"/>
  <c r="IE18" i="12"/>
  <c r="ID18" i="12"/>
  <c r="HN18" i="12"/>
  <c r="HM18" i="12"/>
  <c r="GW18" i="12"/>
  <c r="GV18" i="12"/>
  <c r="GF18" i="12"/>
  <c r="GE18" i="12"/>
  <c r="FO18" i="12"/>
  <c r="FN18" i="12"/>
  <c r="EX18" i="12"/>
  <c r="EW18" i="12"/>
  <c r="EG18" i="12"/>
  <c r="EF18" i="12"/>
  <c r="DP18" i="12"/>
  <c r="DO18" i="12"/>
  <c r="CY18" i="12"/>
  <c r="CX18" i="12"/>
  <c r="CH18" i="12"/>
  <c r="CG18" i="12"/>
  <c r="BQ18" i="12"/>
  <c r="BP18" i="12"/>
  <c r="AZ18" i="12"/>
  <c r="AY18" i="12"/>
  <c r="AI18" i="12"/>
  <c r="AH18" i="12"/>
  <c r="R18" i="12"/>
  <c r="Q18" i="12"/>
  <c r="Q42" i="12"/>
  <c r="IV17" i="12"/>
  <c r="IU17" i="12"/>
  <c r="IE17" i="12"/>
  <c r="ID17" i="12"/>
  <c r="HN17" i="12"/>
  <c r="HM17" i="12"/>
  <c r="GW17" i="12"/>
  <c r="GV17" i="12"/>
  <c r="GF17" i="12"/>
  <c r="GE17" i="12"/>
  <c r="FO17" i="12"/>
  <c r="FN17" i="12"/>
  <c r="EX17" i="12"/>
  <c r="EW17" i="12"/>
  <c r="EG17" i="12"/>
  <c r="EF17" i="12"/>
  <c r="DP17" i="12"/>
  <c r="DO17" i="12"/>
  <c r="CY17" i="12"/>
  <c r="CX17" i="12"/>
  <c r="CH17" i="12"/>
  <c r="CG17" i="12"/>
  <c r="BQ17" i="12"/>
  <c r="BP17" i="12"/>
  <c r="AZ17" i="12"/>
  <c r="AY17" i="12"/>
  <c r="AI17" i="12"/>
  <c r="AH17" i="12"/>
  <c r="R17" i="12"/>
  <c r="Q17" i="12"/>
  <c r="IV16" i="12"/>
  <c r="IU16" i="12"/>
  <c r="IE16" i="12"/>
  <c r="ID16" i="12"/>
  <c r="HN16" i="12"/>
  <c r="HM16" i="12"/>
  <c r="GW16" i="12"/>
  <c r="GV16" i="12"/>
  <c r="GF16" i="12"/>
  <c r="GE16" i="12"/>
  <c r="FO16" i="12"/>
  <c r="FN16" i="12"/>
  <c r="EX16" i="12"/>
  <c r="EW16" i="12"/>
  <c r="EG16" i="12"/>
  <c r="EF16" i="12"/>
  <c r="DP16" i="12"/>
  <c r="DO16" i="12"/>
  <c r="CY16" i="12"/>
  <c r="CX16" i="12"/>
  <c r="CH16" i="12"/>
  <c r="CG16" i="12"/>
  <c r="BQ16" i="12"/>
  <c r="BP16" i="12"/>
  <c r="AZ16" i="12"/>
  <c r="AY16" i="12"/>
  <c r="AI16" i="12"/>
  <c r="AH16" i="12"/>
  <c r="R16" i="12"/>
  <c r="Q16" i="12"/>
  <c r="IV15" i="12"/>
  <c r="IU15" i="12"/>
  <c r="IE15" i="12"/>
  <c r="ID15" i="12"/>
  <c r="HN15" i="12"/>
  <c r="HM15" i="12"/>
  <c r="GW15" i="12"/>
  <c r="GV15" i="12"/>
  <c r="GF15" i="12"/>
  <c r="GE15" i="12"/>
  <c r="FO15" i="12"/>
  <c r="FN15" i="12"/>
  <c r="EX15" i="12"/>
  <c r="EW15" i="12"/>
  <c r="EG15" i="12"/>
  <c r="EF15" i="12"/>
  <c r="DP15" i="12"/>
  <c r="DO15" i="12"/>
  <c r="CY15" i="12"/>
  <c r="CX15" i="12"/>
  <c r="CH15" i="12"/>
  <c r="CG15" i="12"/>
  <c r="BQ15" i="12"/>
  <c r="BP15" i="12"/>
  <c r="AZ15" i="12"/>
  <c r="AY15" i="12"/>
  <c r="AI15" i="12"/>
  <c r="AH15" i="12"/>
  <c r="R15" i="12"/>
  <c r="R39" i="12"/>
  <c r="Q15" i="12"/>
  <c r="IV14" i="12"/>
  <c r="IU14" i="12"/>
  <c r="IE14" i="12"/>
  <c r="ID14" i="12"/>
  <c r="HN14" i="12"/>
  <c r="HM14" i="12"/>
  <c r="GW14" i="12"/>
  <c r="GV14" i="12"/>
  <c r="GF14" i="12"/>
  <c r="GE14" i="12"/>
  <c r="FO14" i="12"/>
  <c r="FN14" i="12"/>
  <c r="EX14" i="12"/>
  <c r="EW14" i="12"/>
  <c r="EG14" i="12"/>
  <c r="EF14" i="12"/>
  <c r="DP14" i="12"/>
  <c r="DO14" i="12"/>
  <c r="CY14" i="12"/>
  <c r="CX14" i="12"/>
  <c r="CH14" i="12"/>
  <c r="CG14" i="12"/>
  <c r="BQ14" i="12"/>
  <c r="BP14" i="12"/>
  <c r="AZ14" i="12"/>
  <c r="AY14" i="12"/>
  <c r="AI14" i="12"/>
  <c r="AH14" i="12"/>
  <c r="R14" i="12"/>
  <c r="Q14" i="12"/>
  <c r="IV13" i="12"/>
  <c r="IU13" i="12"/>
  <c r="IE13" i="12"/>
  <c r="ID13" i="12"/>
  <c r="HN13" i="12"/>
  <c r="HM13" i="12"/>
  <c r="GW13" i="12"/>
  <c r="GV13" i="12"/>
  <c r="GF13" i="12"/>
  <c r="GE13" i="12"/>
  <c r="FO13" i="12"/>
  <c r="FN13" i="12"/>
  <c r="EX13" i="12"/>
  <c r="EW13" i="12"/>
  <c r="EG13" i="12"/>
  <c r="EF13" i="12"/>
  <c r="DP13" i="12"/>
  <c r="DO13" i="12"/>
  <c r="CY13" i="12"/>
  <c r="CX13" i="12"/>
  <c r="CH13" i="12"/>
  <c r="CG13" i="12"/>
  <c r="BQ13" i="12"/>
  <c r="BP13" i="12"/>
  <c r="AZ13" i="12"/>
  <c r="AY13" i="12"/>
  <c r="AI13" i="12"/>
  <c r="AH13" i="12"/>
  <c r="R13" i="12"/>
  <c r="R37" i="12"/>
  <c r="Q13" i="12"/>
  <c r="IV12" i="12"/>
  <c r="IU12" i="12"/>
  <c r="IE12" i="12"/>
  <c r="ID12" i="12"/>
  <c r="HN12" i="12"/>
  <c r="HM12" i="12"/>
  <c r="GW12" i="12"/>
  <c r="GV12" i="12"/>
  <c r="GF12" i="12"/>
  <c r="GE12" i="12"/>
  <c r="FO12" i="12"/>
  <c r="FN12" i="12"/>
  <c r="EX12" i="12"/>
  <c r="EW12" i="12"/>
  <c r="EG12" i="12"/>
  <c r="EF12" i="12"/>
  <c r="DP12" i="12"/>
  <c r="DO12" i="12"/>
  <c r="CY12" i="12"/>
  <c r="CX12" i="12"/>
  <c r="CH12" i="12"/>
  <c r="CG12" i="12"/>
  <c r="BQ12" i="12"/>
  <c r="BP12" i="12"/>
  <c r="AZ12" i="12"/>
  <c r="AY12" i="12"/>
  <c r="AI12" i="12"/>
  <c r="AH12" i="12"/>
  <c r="R12" i="12"/>
  <c r="Q12" i="12"/>
  <c r="IV11" i="12"/>
  <c r="IU11" i="12"/>
  <c r="IE11" i="12"/>
  <c r="ID11" i="12"/>
  <c r="HN11" i="12"/>
  <c r="HM11" i="12"/>
  <c r="GW11" i="12"/>
  <c r="GV11" i="12"/>
  <c r="GF11" i="12"/>
  <c r="GE11" i="12"/>
  <c r="FO11" i="12"/>
  <c r="FN11" i="12"/>
  <c r="EX11" i="12"/>
  <c r="EW11" i="12"/>
  <c r="EG11" i="12"/>
  <c r="EF11" i="12"/>
  <c r="DP11" i="12"/>
  <c r="DO11" i="12"/>
  <c r="CY11" i="12"/>
  <c r="CX11" i="12"/>
  <c r="CH11" i="12"/>
  <c r="CG11" i="12"/>
  <c r="BQ11" i="12"/>
  <c r="BP11" i="12"/>
  <c r="AZ11" i="12"/>
  <c r="AY11" i="12"/>
  <c r="AI11" i="12"/>
  <c r="AH11" i="12"/>
  <c r="R11" i="12"/>
  <c r="R35" i="12"/>
  <c r="Q11" i="12"/>
  <c r="IV10" i="12"/>
  <c r="IU10" i="12"/>
  <c r="IE10" i="12"/>
  <c r="ID10" i="12"/>
  <c r="HN10" i="12"/>
  <c r="HM10" i="12"/>
  <c r="GW10" i="12"/>
  <c r="GV10" i="12"/>
  <c r="GF10" i="12"/>
  <c r="GE10" i="12"/>
  <c r="FO10" i="12"/>
  <c r="FN10" i="12"/>
  <c r="EX10" i="12"/>
  <c r="EW10" i="12"/>
  <c r="EG10" i="12"/>
  <c r="EF10" i="12"/>
  <c r="DP10" i="12"/>
  <c r="DO10" i="12"/>
  <c r="CY10" i="12"/>
  <c r="CX10" i="12"/>
  <c r="CH10" i="12"/>
  <c r="CG10" i="12"/>
  <c r="BQ10" i="12"/>
  <c r="BP10" i="12"/>
  <c r="AZ10" i="12"/>
  <c r="AY10" i="12"/>
  <c r="AI10" i="12"/>
  <c r="AH10" i="12"/>
  <c r="R10" i="12"/>
  <c r="Q10" i="12"/>
  <c r="IV9" i="12"/>
  <c r="IU9" i="12"/>
  <c r="IE9" i="12"/>
  <c r="ID9" i="12"/>
  <c r="HN9" i="12"/>
  <c r="HM9" i="12"/>
  <c r="GW9" i="12"/>
  <c r="GV9" i="12"/>
  <c r="GF9" i="12"/>
  <c r="GE9" i="12"/>
  <c r="FO9" i="12"/>
  <c r="FN9" i="12"/>
  <c r="EX9" i="12"/>
  <c r="EW9" i="12"/>
  <c r="EG9" i="12"/>
  <c r="EF9" i="12"/>
  <c r="DP9" i="12"/>
  <c r="DO9" i="12"/>
  <c r="CY9" i="12"/>
  <c r="CX9" i="12"/>
  <c r="CH9" i="12"/>
  <c r="CG9" i="12"/>
  <c r="BQ9" i="12"/>
  <c r="BP9" i="12"/>
  <c r="AZ9" i="12"/>
  <c r="AY9" i="12"/>
  <c r="AI9" i="12"/>
  <c r="AH9" i="12"/>
  <c r="R9" i="12"/>
  <c r="R33" i="12"/>
  <c r="Q9" i="12"/>
  <c r="IV8" i="12"/>
  <c r="IU8" i="12"/>
  <c r="IU27" i="12"/>
  <c r="IE8" i="12"/>
  <c r="ID8" i="12"/>
  <c r="HN8" i="12"/>
  <c r="HM8" i="12"/>
  <c r="HM27" i="12"/>
  <c r="GW8" i="12"/>
  <c r="GV8" i="12"/>
  <c r="GF8" i="12"/>
  <c r="GE8" i="12"/>
  <c r="GE27" i="12"/>
  <c r="FO8" i="12"/>
  <c r="FN8" i="12"/>
  <c r="EX8" i="12"/>
  <c r="EW8" i="12"/>
  <c r="EW27" i="12"/>
  <c r="EG8" i="12"/>
  <c r="EF8" i="12"/>
  <c r="DP8" i="12"/>
  <c r="DO8" i="12"/>
  <c r="DO27" i="12"/>
  <c r="CY8" i="12"/>
  <c r="CX8" i="12"/>
  <c r="CH8" i="12"/>
  <c r="CG8" i="12"/>
  <c r="CG27" i="12"/>
  <c r="BQ8" i="12"/>
  <c r="BP8" i="12"/>
  <c r="AZ8" i="12"/>
  <c r="AY8" i="12"/>
  <c r="AY27" i="12"/>
  <c r="AI8" i="12"/>
  <c r="AH8" i="12"/>
  <c r="R8" i="12"/>
  <c r="Q8" i="12"/>
  <c r="Q27" i="12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T50" i="11"/>
  <c r="B50" i="11"/>
  <c r="A50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T49" i="11"/>
  <c r="B49" i="11"/>
  <c r="A49" i="11"/>
  <c r="U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T48" i="11"/>
  <c r="B48" i="11"/>
  <c r="A48" i="11"/>
  <c r="U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T47" i="11"/>
  <c r="B47" i="11"/>
  <c r="A47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T46" i="11"/>
  <c r="B46" i="11"/>
  <c r="B193" i="13"/>
  <c r="A46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T45" i="11"/>
  <c r="B45" i="11"/>
  <c r="B192" i="13"/>
  <c r="A45" i="11"/>
  <c r="U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T44" i="11"/>
  <c r="B44" i="11"/>
  <c r="A44" i="11"/>
  <c r="A191" i="13"/>
  <c r="U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T43" i="11"/>
  <c r="B43" i="11"/>
  <c r="B190" i="13"/>
  <c r="A43" i="11"/>
  <c r="A190" i="13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T42" i="11"/>
  <c r="B42" i="11"/>
  <c r="B189" i="13"/>
  <c r="A42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B188" i="13"/>
  <c r="A41" i="11"/>
  <c r="A188" i="13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T40" i="11"/>
  <c r="B40" i="11"/>
  <c r="B187" i="13"/>
  <c r="A40" i="11"/>
  <c r="A187" i="13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T39" i="11"/>
  <c r="B39" i="11"/>
  <c r="B186" i="13"/>
  <c r="A39" i="11"/>
  <c r="A186" i="13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T38" i="11"/>
  <c r="B38" i="11"/>
  <c r="B185" i="13"/>
  <c r="A38" i="11"/>
  <c r="A185" i="13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T37" i="11"/>
  <c r="B37" i="11"/>
  <c r="B184" i="13"/>
  <c r="A37" i="11"/>
  <c r="A184" i="13"/>
  <c r="P36" i="11"/>
  <c r="O36" i="11"/>
  <c r="O51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T36" i="11"/>
  <c r="B36" i="11"/>
  <c r="B183" i="13"/>
  <c r="A36" i="11"/>
  <c r="A183" i="13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T35" i="11"/>
  <c r="B35" i="11"/>
  <c r="B182" i="13"/>
  <c r="A35" i="11"/>
  <c r="A182" i="13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T34" i="11"/>
  <c r="B34" i="11"/>
  <c r="B181" i="13"/>
  <c r="A34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T33" i="11"/>
  <c r="B33" i="11"/>
  <c r="B180" i="13"/>
  <c r="A33" i="11"/>
  <c r="A180" i="13"/>
  <c r="P32" i="11"/>
  <c r="P51" i="11"/>
  <c r="O32" i="11"/>
  <c r="N32" i="11"/>
  <c r="M32" i="11"/>
  <c r="L32" i="11"/>
  <c r="L51" i="11"/>
  <c r="K32" i="11"/>
  <c r="J32" i="11"/>
  <c r="I32" i="11"/>
  <c r="H32" i="11"/>
  <c r="H51" i="11"/>
  <c r="G32" i="11"/>
  <c r="F32" i="11"/>
  <c r="E32" i="11"/>
  <c r="D32" i="11"/>
  <c r="D51" i="11"/>
  <c r="C32" i="11"/>
  <c r="T32" i="11"/>
  <c r="B32" i="11"/>
  <c r="B179" i="13"/>
  <c r="A32" i="11"/>
  <c r="A179" i="13"/>
  <c r="IT27" i="11"/>
  <c r="IS27" i="11"/>
  <c r="IR27" i="11"/>
  <c r="IQ27" i="11"/>
  <c r="IP27" i="11"/>
  <c r="IO27" i="11"/>
  <c r="IN27" i="11"/>
  <c r="IM27" i="11"/>
  <c r="IL27" i="11"/>
  <c r="IK27" i="11"/>
  <c r="IJ27" i="11"/>
  <c r="II27" i="11"/>
  <c r="IH27" i="11"/>
  <c r="IG27" i="11"/>
  <c r="IC27" i="11"/>
  <c r="IB27" i="11"/>
  <c r="IA27" i="11"/>
  <c r="HZ27" i="11"/>
  <c r="HY27" i="11"/>
  <c r="HX27" i="11"/>
  <c r="HW27" i="11"/>
  <c r="HV27" i="11"/>
  <c r="HU27" i="11"/>
  <c r="HT27" i="11"/>
  <c r="HS27" i="11"/>
  <c r="HR27" i="11"/>
  <c r="HQ27" i="11"/>
  <c r="HP27" i="11"/>
  <c r="HL27" i="11"/>
  <c r="HK27" i="11"/>
  <c r="HJ27" i="11"/>
  <c r="HI27" i="11"/>
  <c r="HH27" i="11"/>
  <c r="HG27" i="11"/>
  <c r="HF27" i="11"/>
  <c r="HE27" i="11"/>
  <c r="HD27" i="11"/>
  <c r="HC27" i="11"/>
  <c r="HB27" i="11"/>
  <c r="HA27" i="11"/>
  <c r="GZ27" i="11"/>
  <c r="GY27" i="11"/>
  <c r="GU27" i="11"/>
  <c r="GT27" i="11"/>
  <c r="GS27" i="11"/>
  <c r="GR27" i="11"/>
  <c r="GQ27" i="11"/>
  <c r="GP27" i="11"/>
  <c r="GO27" i="11"/>
  <c r="GN27" i="11"/>
  <c r="GM27" i="11"/>
  <c r="GL27" i="11"/>
  <c r="GK27" i="11"/>
  <c r="GJ27" i="11"/>
  <c r="GI27" i="11"/>
  <c r="GH27" i="11"/>
  <c r="GD27" i="11"/>
  <c r="GC27" i="11"/>
  <c r="GB27" i="11"/>
  <c r="GA27" i="11"/>
  <c r="FZ27" i="11"/>
  <c r="FY27" i="11"/>
  <c r="FX27" i="11"/>
  <c r="FW27" i="11"/>
  <c r="FV27" i="11"/>
  <c r="FU27" i="11"/>
  <c r="FT27" i="11"/>
  <c r="FS27" i="11"/>
  <c r="FR27" i="11"/>
  <c r="FQ27" i="11"/>
  <c r="FM27" i="11"/>
  <c r="FL27" i="11"/>
  <c r="FK27" i="11"/>
  <c r="FJ27" i="11"/>
  <c r="FI27" i="11"/>
  <c r="FH27" i="11"/>
  <c r="FG27" i="11"/>
  <c r="FF27" i="11"/>
  <c r="FE27" i="11"/>
  <c r="FD27" i="11"/>
  <c r="FC27" i="11"/>
  <c r="FB27" i="11"/>
  <c r="FA27" i="11"/>
  <c r="EZ27" i="11"/>
  <c r="EV27" i="11"/>
  <c r="EU27" i="11"/>
  <c r="ET27" i="11"/>
  <c r="ES27" i="11"/>
  <c r="ER27" i="11"/>
  <c r="EQ27" i="11"/>
  <c r="EP27" i="11"/>
  <c r="EO27" i="11"/>
  <c r="EN27" i="11"/>
  <c r="EM27" i="11"/>
  <c r="EL27" i="11"/>
  <c r="EK27" i="11"/>
  <c r="EJ27" i="11"/>
  <c r="EI27" i="11"/>
  <c r="EE27" i="11"/>
  <c r="ED27" i="11"/>
  <c r="EC27" i="11"/>
  <c r="EB27" i="11"/>
  <c r="EA27" i="11"/>
  <c r="DZ27" i="11"/>
  <c r="DY27" i="11"/>
  <c r="DX27" i="11"/>
  <c r="DW27" i="11"/>
  <c r="DV27" i="11"/>
  <c r="DU27" i="11"/>
  <c r="DT27" i="11"/>
  <c r="DS27" i="11"/>
  <c r="DR27" i="11"/>
  <c r="DN27" i="11"/>
  <c r="DM27" i="11"/>
  <c r="DL27" i="11"/>
  <c r="DK27" i="11"/>
  <c r="DJ27" i="11"/>
  <c r="DI27" i="11"/>
  <c r="DH27" i="11"/>
  <c r="DG27" i="11"/>
  <c r="DF27" i="11"/>
  <c r="DE27" i="11"/>
  <c r="DD27" i="11"/>
  <c r="DC27" i="11"/>
  <c r="DB27" i="11"/>
  <c r="DA27" i="11"/>
  <c r="CW27" i="11"/>
  <c r="CV27" i="11"/>
  <c r="CU27" i="11"/>
  <c r="CT27" i="11"/>
  <c r="CS27" i="11"/>
  <c r="CR27" i="11"/>
  <c r="CQ27" i="11"/>
  <c r="CP27" i="11"/>
  <c r="CO27" i="11"/>
  <c r="CN27" i="11"/>
  <c r="CM27" i="11"/>
  <c r="CL27" i="11"/>
  <c r="CK27" i="11"/>
  <c r="CJ27" i="11"/>
  <c r="CF27" i="11"/>
  <c r="CE27" i="11"/>
  <c r="CD27" i="11"/>
  <c r="CC27" i="11"/>
  <c r="CB27" i="11"/>
  <c r="CA27" i="11"/>
  <c r="BZ27" i="11"/>
  <c r="BY27" i="11"/>
  <c r="BX27" i="11"/>
  <c r="BW27" i="11"/>
  <c r="BV27" i="11"/>
  <c r="BU27" i="11"/>
  <c r="BT27" i="11"/>
  <c r="BS27" i="11"/>
  <c r="BO27" i="11"/>
  <c r="BN27" i="11"/>
  <c r="BM27" i="11"/>
  <c r="BL27" i="11"/>
  <c r="BK27" i="11"/>
  <c r="BJ27" i="11"/>
  <c r="BI27" i="11"/>
  <c r="BH27" i="11"/>
  <c r="BG27" i="11"/>
  <c r="BF27" i="11"/>
  <c r="BE27" i="11"/>
  <c r="BD27" i="11"/>
  <c r="BC27" i="11"/>
  <c r="BB27" i="11"/>
  <c r="AX27" i="11"/>
  <c r="AW27" i="11"/>
  <c r="AV27" i="11"/>
  <c r="AU27" i="11"/>
  <c r="AT27" i="11"/>
  <c r="AS27" i="11"/>
  <c r="AR27" i="11"/>
  <c r="AQ27" i="11"/>
  <c r="AP27" i="11"/>
  <c r="AO27" i="11"/>
  <c r="AN27" i="11"/>
  <c r="AM27" i="11"/>
  <c r="AL27" i="11"/>
  <c r="AK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IV26" i="11"/>
  <c r="IU26" i="11"/>
  <c r="IE26" i="11"/>
  <c r="ID26" i="11"/>
  <c r="HN26" i="11"/>
  <c r="HM26" i="11"/>
  <c r="GW26" i="11"/>
  <c r="GV26" i="11"/>
  <c r="GF26" i="11"/>
  <c r="GE26" i="11"/>
  <c r="FO26" i="11"/>
  <c r="FN26" i="11"/>
  <c r="EX26" i="11"/>
  <c r="EW26" i="11"/>
  <c r="EG26" i="11"/>
  <c r="EF26" i="11"/>
  <c r="DP26" i="11"/>
  <c r="DO26" i="11"/>
  <c r="CY26" i="11"/>
  <c r="CX26" i="11"/>
  <c r="CH26" i="11"/>
  <c r="CG26" i="11"/>
  <c r="BQ26" i="11"/>
  <c r="BP26" i="11"/>
  <c r="AZ26" i="11"/>
  <c r="AY26" i="11"/>
  <c r="AI26" i="11"/>
  <c r="AH26" i="11"/>
  <c r="R26" i="11"/>
  <c r="Q26" i="11"/>
  <c r="IV25" i="11"/>
  <c r="IU25" i="11"/>
  <c r="IE25" i="11"/>
  <c r="ID25" i="11"/>
  <c r="HN25" i="11"/>
  <c r="HM25" i="11"/>
  <c r="GW25" i="11"/>
  <c r="GV25" i="11"/>
  <c r="GF25" i="11"/>
  <c r="GE25" i="11"/>
  <c r="FO25" i="11"/>
  <c r="FN25" i="11"/>
  <c r="EX25" i="11"/>
  <c r="EW25" i="11"/>
  <c r="EG25" i="11"/>
  <c r="EF25" i="11"/>
  <c r="DP25" i="11"/>
  <c r="DO25" i="11"/>
  <c r="CY25" i="11"/>
  <c r="CX25" i="11"/>
  <c r="CH25" i="11"/>
  <c r="CG25" i="11"/>
  <c r="BQ25" i="11"/>
  <c r="BP25" i="11"/>
  <c r="AZ25" i="11"/>
  <c r="AY25" i="11"/>
  <c r="AI25" i="11"/>
  <c r="AH25" i="11"/>
  <c r="R25" i="11"/>
  <c r="Q25" i="11"/>
  <c r="Q49" i="11"/>
  <c r="IV24" i="11"/>
  <c r="IU24" i="11"/>
  <c r="IE24" i="11"/>
  <c r="ID24" i="11"/>
  <c r="HN24" i="11"/>
  <c r="HM24" i="11"/>
  <c r="GW24" i="11"/>
  <c r="GV24" i="11"/>
  <c r="GF24" i="11"/>
  <c r="GE24" i="11"/>
  <c r="FO24" i="11"/>
  <c r="FN24" i="11"/>
  <c r="EX24" i="11"/>
  <c r="EW24" i="11"/>
  <c r="EG24" i="11"/>
  <c r="EF24" i="11"/>
  <c r="DP24" i="11"/>
  <c r="DO24" i="11"/>
  <c r="CY24" i="11"/>
  <c r="CX24" i="11"/>
  <c r="CH24" i="11"/>
  <c r="CG24" i="11"/>
  <c r="BQ24" i="11"/>
  <c r="BP24" i="11"/>
  <c r="AZ24" i="11"/>
  <c r="AY24" i="11"/>
  <c r="AI24" i="11"/>
  <c r="AH24" i="11"/>
  <c r="R24" i="11"/>
  <c r="Q24" i="11"/>
  <c r="IV23" i="11"/>
  <c r="IU23" i="11"/>
  <c r="IE23" i="11"/>
  <c r="ID23" i="11"/>
  <c r="HN23" i="11"/>
  <c r="HM23" i="11"/>
  <c r="GW23" i="11"/>
  <c r="GV23" i="11"/>
  <c r="GF23" i="11"/>
  <c r="GE23" i="11"/>
  <c r="FO23" i="11"/>
  <c r="FN23" i="11"/>
  <c r="EX23" i="11"/>
  <c r="EW23" i="11"/>
  <c r="EG23" i="11"/>
  <c r="EF23" i="11"/>
  <c r="DP23" i="11"/>
  <c r="DO23" i="11"/>
  <c r="CY23" i="11"/>
  <c r="CX23" i="11"/>
  <c r="CH23" i="11"/>
  <c r="CG23" i="11"/>
  <c r="BQ23" i="11"/>
  <c r="BP23" i="11"/>
  <c r="AZ23" i="11"/>
  <c r="AY23" i="11"/>
  <c r="AI23" i="11"/>
  <c r="AH23" i="11"/>
  <c r="R23" i="11"/>
  <c r="Q23" i="11"/>
  <c r="Q47" i="11"/>
  <c r="IV22" i="11"/>
  <c r="IU22" i="11"/>
  <c r="IE22" i="11"/>
  <c r="ID22" i="11"/>
  <c r="HN22" i="11"/>
  <c r="HM22" i="11"/>
  <c r="GW22" i="11"/>
  <c r="GV22" i="11"/>
  <c r="GF22" i="11"/>
  <c r="GE22" i="11"/>
  <c r="FO22" i="11"/>
  <c r="FN22" i="11"/>
  <c r="EX22" i="11"/>
  <c r="EW22" i="11"/>
  <c r="EG22" i="11"/>
  <c r="EF22" i="11"/>
  <c r="DP22" i="11"/>
  <c r="DO22" i="11"/>
  <c r="CY22" i="11"/>
  <c r="CX22" i="11"/>
  <c r="CH22" i="11"/>
  <c r="CG22" i="11"/>
  <c r="BQ22" i="11"/>
  <c r="BP22" i="11"/>
  <c r="AZ22" i="11"/>
  <c r="AY22" i="11"/>
  <c r="AI22" i="11"/>
  <c r="AH22" i="11"/>
  <c r="R22" i="11"/>
  <c r="Q22" i="11"/>
  <c r="IV21" i="11"/>
  <c r="IU21" i="11"/>
  <c r="IE21" i="11"/>
  <c r="ID21" i="11"/>
  <c r="HN21" i="11"/>
  <c r="HM21" i="11"/>
  <c r="GW21" i="11"/>
  <c r="GV21" i="11"/>
  <c r="GF21" i="11"/>
  <c r="GE21" i="11"/>
  <c r="FO21" i="11"/>
  <c r="FN21" i="11"/>
  <c r="EX21" i="11"/>
  <c r="EW21" i="11"/>
  <c r="EG21" i="11"/>
  <c r="EF21" i="11"/>
  <c r="DP21" i="11"/>
  <c r="DO21" i="11"/>
  <c r="CY21" i="11"/>
  <c r="CX21" i="11"/>
  <c r="CH21" i="11"/>
  <c r="CG21" i="11"/>
  <c r="BQ21" i="11"/>
  <c r="BP21" i="11"/>
  <c r="AZ21" i="11"/>
  <c r="AY21" i="11"/>
  <c r="AI21" i="11"/>
  <c r="AH21" i="11"/>
  <c r="R21" i="11"/>
  <c r="Q21" i="11"/>
  <c r="Q45" i="11"/>
  <c r="IV20" i="11"/>
  <c r="IU20" i="11"/>
  <c r="IE20" i="11"/>
  <c r="ID20" i="11"/>
  <c r="HN20" i="11"/>
  <c r="HM20" i="11"/>
  <c r="GW20" i="11"/>
  <c r="GV20" i="11"/>
  <c r="GF20" i="11"/>
  <c r="GE20" i="11"/>
  <c r="FO20" i="11"/>
  <c r="FN20" i="11"/>
  <c r="EX20" i="11"/>
  <c r="EW20" i="11"/>
  <c r="EG20" i="11"/>
  <c r="EF20" i="11"/>
  <c r="DP20" i="11"/>
  <c r="DO20" i="11"/>
  <c r="CY20" i="11"/>
  <c r="CX20" i="11"/>
  <c r="CH20" i="11"/>
  <c r="CG20" i="11"/>
  <c r="BQ20" i="11"/>
  <c r="BP20" i="11"/>
  <c r="AZ20" i="11"/>
  <c r="AY20" i="11"/>
  <c r="AI20" i="11"/>
  <c r="AH20" i="11"/>
  <c r="R20" i="11"/>
  <c r="Q20" i="11"/>
  <c r="IV19" i="11"/>
  <c r="IU19" i="11"/>
  <c r="IE19" i="11"/>
  <c r="ID19" i="11"/>
  <c r="HN19" i="11"/>
  <c r="HM19" i="11"/>
  <c r="GW19" i="11"/>
  <c r="GV19" i="11"/>
  <c r="GF19" i="11"/>
  <c r="GE19" i="11"/>
  <c r="FO19" i="11"/>
  <c r="FN19" i="11"/>
  <c r="EX19" i="11"/>
  <c r="EW19" i="11"/>
  <c r="EG19" i="11"/>
  <c r="EF19" i="11"/>
  <c r="DP19" i="11"/>
  <c r="DO19" i="11"/>
  <c r="CY19" i="11"/>
  <c r="CX19" i="11"/>
  <c r="CH19" i="11"/>
  <c r="CG19" i="11"/>
  <c r="BQ19" i="11"/>
  <c r="BP19" i="11"/>
  <c r="AZ19" i="11"/>
  <c r="AY19" i="11"/>
  <c r="AI19" i="11"/>
  <c r="AH19" i="11"/>
  <c r="R19" i="11"/>
  <c r="Q19" i="11"/>
  <c r="Q43" i="11"/>
  <c r="IV18" i="11"/>
  <c r="IU18" i="11"/>
  <c r="IE18" i="11"/>
  <c r="ID18" i="11"/>
  <c r="HN18" i="11"/>
  <c r="HM18" i="11"/>
  <c r="GW18" i="11"/>
  <c r="GV18" i="11"/>
  <c r="GF18" i="11"/>
  <c r="GE18" i="11"/>
  <c r="FO18" i="11"/>
  <c r="FN18" i="11"/>
  <c r="EX18" i="11"/>
  <c r="EW18" i="11"/>
  <c r="EG18" i="11"/>
  <c r="EF18" i="11"/>
  <c r="DP18" i="11"/>
  <c r="DO18" i="11"/>
  <c r="CY18" i="11"/>
  <c r="CX18" i="11"/>
  <c r="CH18" i="11"/>
  <c r="CG18" i="11"/>
  <c r="BQ18" i="11"/>
  <c r="BP18" i="11"/>
  <c r="AZ18" i="11"/>
  <c r="AY18" i="11"/>
  <c r="AI18" i="11"/>
  <c r="AH18" i="11"/>
  <c r="R18" i="11"/>
  <c r="Q18" i="11"/>
  <c r="IV17" i="11"/>
  <c r="IU17" i="11"/>
  <c r="IE17" i="11"/>
  <c r="ID17" i="11"/>
  <c r="HN17" i="11"/>
  <c r="HM17" i="11"/>
  <c r="GW17" i="11"/>
  <c r="GV17" i="11"/>
  <c r="GF17" i="11"/>
  <c r="GE17" i="11"/>
  <c r="FO17" i="11"/>
  <c r="FN17" i="11"/>
  <c r="EX17" i="11"/>
  <c r="EW17" i="11"/>
  <c r="EG17" i="11"/>
  <c r="EF17" i="11"/>
  <c r="DP17" i="11"/>
  <c r="DO17" i="11"/>
  <c r="CY17" i="11"/>
  <c r="CX17" i="11"/>
  <c r="CH17" i="11"/>
  <c r="CG17" i="11"/>
  <c r="BQ17" i="11"/>
  <c r="BP17" i="11"/>
  <c r="AZ17" i="11"/>
  <c r="AY17" i="11"/>
  <c r="AI17" i="11"/>
  <c r="AH17" i="11"/>
  <c r="R17" i="11"/>
  <c r="Q17" i="11"/>
  <c r="Q41" i="11"/>
  <c r="IV16" i="11"/>
  <c r="IU16" i="11"/>
  <c r="IE16" i="11"/>
  <c r="ID16" i="11"/>
  <c r="HN16" i="11"/>
  <c r="HM16" i="11"/>
  <c r="GW16" i="11"/>
  <c r="GV16" i="11"/>
  <c r="GF16" i="11"/>
  <c r="GE16" i="11"/>
  <c r="FO16" i="11"/>
  <c r="FN16" i="11"/>
  <c r="EX16" i="11"/>
  <c r="EW16" i="11"/>
  <c r="EG16" i="11"/>
  <c r="EF16" i="11"/>
  <c r="DP16" i="11"/>
  <c r="DO16" i="11"/>
  <c r="CY16" i="11"/>
  <c r="CX16" i="11"/>
  <c r="CH16" i="11"/>
  <c r="CG16" i="11"/>
  <c r="BQ16" i="11"/>
  <c r="BP16" i="11"/>
  <c r="AZ16" i="11"/>
  <c r="AY16" i="11"/>
  <c r="AI16" i="11"/>
  <c r="AH16" i="11"/>
  <c r="Q40" i="11"/>
  <c r="R16" i="11"/>
  <c r="Q16" i="11"/>
  <c r="IV15" i="11"/>
  <c r="IU15" i="11"/>
  <c r="IE15" i="11"/>
  <c r="ID15" i="11"/>
  <c r="HN15" i="11"/>
  <c r="HM15" i="11"/>
  <c r="GW15" i="11"/>
  <c r="GV15" i="11"/>
  <c r="GF15" i="11"/>
  <c r="GE15" i="11"/>
  <c r="FO15" i="11"/>
  <c r="FN15" i="11"/>
  <c r="EX15" i="11"/>
  <c r="EW15" i="11"/>
  <c r="EG15" i="11"/>
  <c r="EF15" i="11"/>
  <c r="DP15" i="11"/>
  <c r="DO15" i="11"/>
  <c r="CY15" i="11"/>
  <c r="CX15" i="11"/>
  <c r="CH15" i="11"/>
  <c r="CG15" i="11"/>
  <c r="BQ15" i="11"/>
  <c r="BP15" i="11"/>
  <c r="AZ15" i="11"/>
  <c r="AY15" i="11"/>
  <c r="AI15" i="11"/>
  <c r="AH15" i="11"/>
  <c r="R15" i="11"/>
  <c r="R39" i="11"/>
  <c r="Q15" i="11"/>
  <c r="Q39" i="11"/>
  <c r="IV14" i="11"/>
  <c r="IU14" i="11"/>
  <c r="IE14" i="11"/>
  <c r="ID14" i="11"/>
  <c r="HN14" i="11"/>
  <c r="HM14" i="11"/>
  <c r="GW14" i="11"/>
  <c r="GV14" i="11"/>
  <c r="GF14" i="11"/>
  <c r="GE14" i="11"/>
  <c r="FO14" i="11"/>
  <c r="FN14" i="11"/>
  <c r="EX14" i="11"/>
  <c r="EW14" i="11"/>
  <c r="EG14" i="11"/>
  <c r="EF14" i="11"/>
  <c r="DP14" i="11"/>
  <c r="DO14" i="11"/>
  <c r="CY14" i="11"/>
  <c r="CX14" i="11"/>
  <c r="CH14" i="11"/>
  <c r="CG14" i="11"/>
  <c r="BQ14" i="11"/>
  <c r="BP14" i="11"/>
  <c r="AZ14" i="11"/>
  <c r="AY14" i="11"/>
  <c r="AI14" i="11"/>
  <c r="AH14" i="11"/>
  <c r="Q38" i="11"/>
  <c r="R14" i="11"/>
  <c r="Q14" i="11"/>
  <c r="IV13" i="11"/>
  <c r="IU13" i="11"/>
  <c r="IE13" i="11"/>
  <c r="ID13" i="11"/>
  <c r="HN13" i="11"/>
  <c r="HM13" i="11"/>
  <c r="GW13" i="11"/>
  <c r="GV13" i="11"/>
  <c r="GF13" i="11"/>
  <c r="GE13" i="11"/>
  <c r="FO13" i="11"/>
  <c r="FN13" i="11"/>
  <c r="EX13" i="11"/>
  <c r="EW13" i="11"/>
  <c r="EG13" i="11"/>
  <c r="EF13" i="11"/>
  <c r="DP13" i="11"/>
  <c r="DO13" i="11"/>
  <c r="CY13" i="11"/>
  <c r="CX13" i="11"/>
  <c r="CH13" i="11"/>
  <c r="CG13" i="11"/>
  <c r="BQ13" i="11"/>
  <c r="BP13" i="11"/>
  <c r="AZ13" i="11"/>
  <c r="AY13" i="11"/>
  <c r="AI13" i="11"/>
  <c r="AH13" i="11"/>
  <c r="R13" i="11"/>
  <c r="R37" i="11"/>
  <c r="Q13" i="11"/>
  <c r="Q37" i="11"/>
  <c r="IV12" i="11"/>
  <c r="IU12" i="11"/>
  <c r="IE12" i="11"/>
  <c r="ID12" i="11"/>
  <c r="HN12" i="11"/>
  <c r="HM12" i="11"/>
  <c r="GW12" i="11"/>
  <c r="GV12" i="11"/>
  <c r="GF12" i="11"/>
  <c r="GE12" i="11"/>
  <c r="FO12" i="11"/>
  <c r="FN12" i="11"/>
  <c r="EX12" i="11"/>
  <c r="EW12" i="11"/>
  <c r="EG12" i="11"/>
  <c r="EF12" i="11"/>
  <c r="DP12" i="11"/>
  <c r="DO12" i="11"/>
  <c r="CY12" i="11"/>
  <c r="CX12" i="11"/>
  <c r="CH12" i="11"/>
  <c r="CG12" i="11"/>
  <c r="BQ12" i="11"/>
  <c r="BP12" i="11"/>
  <c r="AZ12" i="11"/>
  <c r="AY12" i="11"/>
  <c r="AI12" i="11"/>
  <c r="AH12" i="11"/>
  <c r="Q36" i="11"/>
  <c r="R12" i="11"/>
  <c r="Q12" i="11"/>
  <c r="IV11" i="11"/>
  <c r="IU11" i="11"/>
  <c r="IE11" i="11"/>
  <c r="ID11" i="11"/>
  <c r="HN11" i="11"/>
  <c r="HM11" i="11"/>
  <c r="GW11" i="11"/>
  <c r="GV11" i="11"/>
  <c r="GF11" i="11"/>
  <c r="GE11" i="11"/>
  <c r="FO11" i="11"/>
  <c r="FN11" i="11"/>
  <c r="EX11" i="11"/>
  <c r="EW11" i="11"/>
  <c r="EG11" i="11"/>
  <c r="EF11" i="11"/>
  <c r="DP11" i="11"/>
  <c r="DO11" i="11"/>
  <c r="CY11" i="11"/>
  <c r="CX11" i="11"/>
  <c r="CH11" i="11"/>
  <c r="CG11" i="11"/>
  <c r="BQ11" i="11"/>
  <c r="BP11" i="11"/>
  <c r="AZ11" i="11"/>
  <c r="AY11" i="11"/>
  <c r="AI11" i="11"/>
  <c r="AH11" i="11"/>
  <c r="R11" i="11"/>
  <c r="R35" i="11"/>
  <c r="Q11" i="11"/>
  <c r="Q35" i="11"/>
  <c r="IV10" i="11"/>
  <c r="IU10" i="11"/>
  <c r="IE10" i="11"/>
  <c r="ID10" i="11"/>
  <c r="HN10" i="11"/>
  <c r="HM10" i="11"/>
  <c r="GW10" i="11"/>
  <c r="GV10" i="11"/>
  <c r="GF10" i="11"/>
  <c r="GE10" i="11"/>
  <c r="FO10" i="11"/>
  <c r="FN10" i="11"/>
  <c r="EX10" i="11"/>
  <c r="EW10" i="11"/>
  <c r="EG10" i="11"/>
  <c r="EF10" i="11"/>
  <c r="DP10" i="11"/>
  <c r="DO10" i="11"/>
  <c r="CY10" i="11"/>
  <c r="CX10" i="11"/>
  <c r="CH10" i="11"/>
  <c r="CG10" i="11"/>
  <c r="BQ10" i="11"/>
  <c r="BP10" i="11"/>
  <c r="AZ10" i="11"/>
  <c r="AY10" i="11"/>
  <c r="AI10" i="11"/>
  <c r="AH10" i="11"/>
  <c r="Q34" i="11"/>
  <c r="U34" i="11"/>
  <c r="R10" i="11"/>
  <c r="Q10" i="11"/>
  <c r="IV9" i="11"/>
  <c r="IU9" i="11"/>
  <c r="IE9" i="11"/>
  <c r="ID9" i="11"/>
  <c r="HN9" i="11"/>
  <c r="HM9" i="11"/>
  <c r="GW9" i="11"/>
  <c r="GV9" i="11"/>
  <c r="GF9" i="11"/>
  <c r="GE9" i="11"/>
  <c r="FO9" i="11"/>
  <c r="FN9" i="11"/>
  <c r="EX9" i="11"/>
  <c r="EW9" i="11"/>
  <c r="EG9" i="11"/>
  <c r="EF9" i="11"/>
  <c r="DP9" i="11"/>
  <c r="DO9" i="11"/>
  <c r="CY9" i="11"/>
  <c r="CX9" i="11"/>
  <c r="CH9" i="11"/>
  <c r="CG9" i="11"/>
  <c r="BQ9" i="11"/>
  <c r="BP9" i="11"/>
  <c r="AZ9" i="11"/>
  <c r="AY9" i="11"/>
  <c r="AI9" i="11"/>
  <c r="AH9" i="11"/>
  <c r="R9" i="11"/>
  <c r="R33" i="11"/>
  <c r="Q9" i="11"/>
  <c r="Q33" i="11"/>
  <c r="U33" i="11"/>
  <c r="IV8" i="11"/>
  <c r="IU8" i="11"/>
  <c r="IE8" i="11"/>
  <c r="ID8" i="11"/>
  <c r="ID27" i="11"/>
  <c r="HN8" i="11"/>
  <c r="HM8" i="11"/>
  <c r="GW8" i="11"/>
  <c r="GV8" i="11"/>
  <c r="GV27" i="11"/>
  <c r="GF8" i="11"/>
  <c r="GE8" i="11"/>
  <c r="FO8" i="11"/>
  <c r="FN8" i="11"/>
  <c r="FN27" i="11"/>
  <c r="EX8" i="11"/>
  <c r="EW8" i="11"/>
  <c r="EG8" i="11"/>
  <c r="EF8" i="11"/>
  <c r="EF27" i="11"/>
  <c r="DP8" i="11"/>
  <c r="DO8" i="11"/>
  <c r="CY8" i="11"/>
  <c r="CX8" i="11"/>
  <c r="CX27" i="11"/>
  <c r="CH8" i="11"/>
  <c r="CG8" i="11"/>
  <c r="BQ8" i="11"/>
  <c r="BP8" i="11"/>
  <c r="BP27" i="11"/>
  <c r="AZ8" i="11"/>
  <c r="AY8" i="11"/>
  <c r="AI8" i="11"/>
  <c r="AH8" i="11"/>
  <c r="AH27" i="11"/>
  <c r="R8" i="11"/>
  <c r="Q8" i="11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U50" i="10"/>
  <c r="B50" i="10"/>
  <c r="A50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U49" i="10"/>
  <c r="B49" i="10"/>
  <c r="A49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U48" i="10"/>
  <c r="B48" i="10"/>
  <c r="B176" i="13"/>
  <c r="A48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U47" i="10"/>
  <c r="B47" i="10"/>
  <c r="B175" i="13"/>
  <c r="A47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U46" i="10"/>
  <c r="B46" i="10"/>
  <c r="B174" i="13"/>
  <c r="A46" i="10"/>
  <c r="A174" i="13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U45" i="10"/>
  <c r="B45" i="10"/>
  <c r="B173" i="13"/>
  <c r="A45" i="10"/>
  <c r="A173" i="13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B172" i="13"/>
  <c r="A44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U43" i="10"/>
  <c r="B43" i="10"/>
  <c r="B171" i="13"/>
  <c r="A43" i="10"/>
  <c r="A171" i="13"/>
  <c r="P42" i="10"/>
  <c r="O42" i="10"/>
  <c r="O51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U42" i="10"/>
  <c r="B42" i="10"/>
  <c r="B170" i="13"/>
  <c r="A42" i="10"/>
  <c r="A170" i="13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T41" i="10"/>
  <c r="B41" i="10"/>
  <c r="B169" i="13"/>
  <c r="A41" i="10"/>
  <c r="A169" i="13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B168" i="13"/>
  <c r="A40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B167" i="13"/>
  <c r="A39" i="10"/>
  <c r="A167" i="13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B166" i="13"/>
  <c r="A38" i="10"/>
  <c r="A166" i="13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B165" i="13"/>
  <c r="A37" i="10"/>
  <c r="A165" i="13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B164" i="13"/>
  <c r="A36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U35" i="10"/>
  <c r="B35" i="10"/>
  <c r="B163" i="13"/>
  <c r="A35" i="10"/>
  <c r="A163" i="13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B162" i="13"/>
  <c r="A34" i="10"/>
  <c r="A162" i="13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33" i="10"/>
  <c r="A161" i="13"/>
  <c r="P32" i="10"/>
  <c r="P51" i="10"/>
  <c r="O32" i="10"/>
  <c r="N32" i="10"/>
  <c r="M32" i="10"/>
  <c r="L32" i="10"/>
  <c r="L51" i="10"/>
  <c r="K32" i="10"/>
  <c r="J32" i="10"/>
  <c r="I32" i="10"/>
  <c r="H32" i="10"/>
  <c r="H51" i="10"/>
  <c r="G32" i="10"/>
  <c r="F32" i="10"/>
  <c r="E32" i="10"/>
  <c r="D32" i="10"/>
  <c r="D51" i="10"/>
  <c r="C32" i="10"/>
  <c r="B32" i="10"/>
  <c r="B160" i="13"/>
  <c r="A32" i="10"/>
  <c r="IT27" i="10"/>
  <c r="IS27" i="10"/>
  <c r="IR27" i="10"/>
  <c r="IQ27" i="10"/>
  <c r="IP27" i="10"/>
  <c r="IO27" i="10"/>
  <c r="IN27" i="10"/>
  <c r="IM27" i="10"/>
  <c r="IL27" i="10"/>
  <c r="IK27" i="10"/>
  <c r="IJ27" i="10"/>
  <c r="II27" i="10"/>
  <c r="IH27" i="10"/>
  <c r="IG27" i="10"/>
  <c r="IC27" i="10"/>
  <c r="IB27" i="10"/>
  <c r="IA27" i="10"/>
  <c r="HZ27" i="10"/>
  <c r="HY27" i="10"/>
  <c r="HX27" i="10"/>
  <c r="HW27" i="10"/>
  <c r="HV27" i="10"/>
  <c r="HU27" i="10"/>
  <c r="HT27" i="10"/>
  <c r="HS27" i="10"/>
  <c r="HR27" i="10"/>
  <c r="HQ27" i="10"/>
  <c r="HP27" i="10"/>
  <c r="HL27" i="10"/>
  <c r="HK27" i="10"/>
  <c r="HJ27" i="10"/>
  <c r="HI27" i="10"/>
  <c r="HH27" i="10"/>
  <c r="HG27" i="10"/>
  <c r="HF27" i="10"/>
  <c r="HE27" i="10"/>
  <c r="HD27" i="10"/>
  <c r="HC27" i="10"/>
  <c r="HB27" i="10"/>
  <c r="HA27" i="10"/>
  <c r="GZ27" i="10"/>
  <c r="GY27" i="10"/>
  <c r="GU27" i="10"/>
  <c r="GT27" i="10"/>
  <c r="GS27" i="10"/>
  <c r="GR27" i="10"/>
  <c r="GQ27" i="10"/>
  <c r="GP27" i="10"/>
  <c r="GO27" i="10"/>
  <c r="GN27" i="10"/>
  <c r="GM27" i="10"/>
  <c r="GL27" i="10"/>
  <c r="GK27" i="10"/>
  <c r="GJ27" i="10"/>
  <c r="GI27" i="10"/>
  <c r="GH27" i="10"/>
  <c r="GD27" i="10"/>
  <c r="GC27" i="10"/>
  <c r="GB27" i="10"/>
  <c r="GA27" i="10"/>
  <c r="FZ27" i="10"/>
  <c r="FY27" i="10"/>
  <c r="FX27" i="10"/>
  <c r="FW27" i="10"/>
  <c r="FV27" i="10"/>
  <c r="FU27" i="10"/>
  <c r="FT27" i="10"/>
  <c r="FS27" i="10"/>
  <c r="FR27" i="10"/>
  <c r="FQ27" i="10"/>
  <c r="FM27" i="10"/>
  <c r="FL27" i="10"/>
  <c r="FK27" i="10"/>
  <c r="FJ27" i="10"/>
  <c r="FI27" i="10"/>
  <c r="FH27" i="10"/>
  <c r="FG27" i="10"/>
  <c r="FF27" i="10"/>
  <c r="FE27" i="10"/>
  <c r="FD27" i="10"/>
  <c r="FC27" i="10"/>
  <c r="FB27" i="10"/>
  <c r="FA27" i="10"/>
  <c r="EZ27" i="10"/>
  <c r="EV27" i="10"/>
  <c r="EU27" i="10"/>
  <c r="ET27" i="10"/>
  <c r="ES27" i="10"/>
  <c r="ER27" i="10"/>
  <c r="EQ27" i="10"/>
  <c r="EP27" i="10"/>
  <c r="EO27" i="10"/>
  <c r="EN27" i="10"/>
  <c r="EM27" i="10"/>
  <c r="EL27" i="10"/>
  <c r="EK27" i="10"/>
  <c r="EJ27" i="10"/>
  <c r="EI27" i="10"/>
  <c r="EE27" i="10"/>
  <c r="ED27" i="10"/>
  <c r="EC27" i="10"/>
  <c r="EB27" i="10"/>
  <c r="EA27" i="10"/>
  <c r="DZ27" i="10"/>
  <c r="DY27" i="10"/>
  <c r="DX27" i="10"/>
  <c r="DW27" i="10"/>
  <c r="DV27" i="10"/>
  <c r="DU27" i="10"/>
  <c r="DT27" i="10"/>
  <c r="DS27" i="10"/>
  <c r="DR27" i="10"/>
  <c r="DN27" i="10"/>
  <c r="DM27" i="10"/>
  <c r="DL27" i="10"/>
  <c r="DK27" i="10"/>
  <c r="DJ27" i="10"/>
  <c r="DI27" i="10"/>
  <c r="DH27" i="10"/>
  <c r="DG27" i="10"/>
  <c r="DF27" i="10"/>
  <c r="DE27" i="10"/>
  <c r="DD27" i="10"/>
  <c r="DC27" i="10"/>
  <c r="DB27" i="10"/>
  <c r="DA27" i="10"/>
  <c r="CW27" i="10"/>
  <c r="CV27" i="10"/>
  <c r="CU27" i="10"/>
  <c r="CT27" i="10"/>
  <c r="CS27" i="10"/>
  <c r="CR27" i="10"/>
  <c r="CQ27" i="10"/>
  <c r="CP27" i="10"/>
  <c r="CO27" i="10"/>
  <c r="CN27" i="10"/>
  <c r="CM27" i="10"/>
  <c r="CL27" i="10"/>
  <c r="CK27" i="10"/>
  <c r="CJ27" i="10"/>
  <c r="CF27" i="10"/>
  <c r="CE27" i="10"/>
  <c r="CD27" i="10"/>
  <c r="CC27" i="10"/>
  <c r="CB27" i="10"/>
  <c r="CA27" i="10"/>
  <c r="BZ27" i="10"/>
  <c r="BY27" i="10"/>
  <c r="BX27" i="10"/>
  <c r="BW27" i="10"/>
  <c r="BV27" i="10"/>
  <c r="BU27" i="10"/>
  <c r="BT27" i="10"/>
  <c r="BS27" i="10"/>
  <c r="BO27" i="10"/>
  <c r="BN27" i="10"/>
  <c r="BM27" i="10"/>
  <c r="BL27" i="10"/>
  <c r="BK27" i="10"/>
  <c r="BJ27" i="10"/>
  <c r="BI27" i="10"/>
  <c r="BH27" i="10"/>
  <c r="BG27" i="10"/>
  <c r="BF27" i="10"/>
  <c r="BE27" i="10"/>
  <c r="BD27" i="10"/>
  <c r="BC27" i="10"/>
  <c r="BB27" i="10"/>
  <c r="AX27" i="10"/>
  <c r="AW27" i="10"/>
  <c r="AV27" i="10"/>
  <c r="AU27" i="10"/>
  <c r="AT27" i="10"/>
  <c r="AS27" i="10"/>
  <c r="AR27" i="10"/>
  <c r="AQ27" i="10"/>
  <c r="AP27" i="10"/>
  <c r="AO27" i="10"/>
  <c r="AN27" i="10"/>
  <c r="AM27" i="10"/>
  <c r="AL27" i="10"/>
  <c r="AK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IV26" i="10"/>
  <c r="IU26" i="10"/>
  <c r="IE26" i="10"/>
  <c r="ID26" i="10"/>
  <c r="HN26" i="10"/>
  <c r="HM26" i="10"/>
  <c r="GW26" i="10"/>
  <c r="GV26" i="10"/>
  <c r="GF26" i="10"/>
  <c r="GE26" i="10"/>
  <c r="FO26" i="10"/>
  <c r="FN26" i="10"/>
  <c r="EX26" i="10"/>
  <c r="EW26" i="10"/>
  <c r="EG26" i="10"/>
  <c r="EF26" i="10"/>
  <c r="DP26" i="10"/>
  <c r="DO26" i="10"/>
  <c r="CY26" i="10"/>
  <c r="CX26" i="10"/>
  <c r="CH26" i="10"/>
  <c r="CG26" i="10"/>
  <c r="BQ26" i="10"/>
  <c r="BP26" i="10"/>
  <c r="AZ26" i="10"/>
  <c r="AY26" i="10"/>
  <c r="AI26" i="10"/>
  <c r="AH26" i="10"/>
  <c r="R26" i="10"/>
  <c r="Q26" i="10"/>
  <c r="IV25" i="10"/>
  <c r="IU25" i="10"/>
  <c r="IE25" i="10"/>
  <c r="ID25" i="10"/>
  <c r="HN25" i="10"/>
  <c r="HM25" i="10"/>
  <c r="GW25" i="10"/>
  <c r="GV25" i="10"/>
  <c r="GF25" i="10"/>
  <c r="GE25" i="10"/>
  <c r="FO25" i="10"/>
  <c r="FN25" i="10"/>
  <c r="EX25" i="10"/>
  <c r="EW25" i="10"/>
  <c r="EG25" i="10"/>
  <c r="EF25" i="10"/>
  <c r="DP25" i="10"/>
  <c r="DO25" i="10"/>
  <c r="CY25" i="10"/>
  <c r="CX25" i="10"/>
  <c r="CH25" i="10"/>
  <c r="CG25" i="10"/>
  <c r="BQ25" i="10"/>
  <c r="BP25" i="10"/>
  <c r="AZ25" i="10"/>
  <c r="AY25" i="10"/>
  <c r="AI25" i="10"/>
  <c r="AH25" i="10"/>
  <c r="R25" i="10"/>
  <c r="R49" i="10"/>
  <c r="Q25" i="10"/>
  <c r="IV24" i="10"/>
  <c r="IU24" i="10"/>
  <c r="IE24" i="10"/>
  <c r="ID24" i="10"/>
  <c r="HN24" i="10"/>
  <c r="HM24" i="10"/>
  <c r="GW24" i="10"/>
  <c r="GV24" i="10"/>
  <c r="GF24" i="10"/>
  <c r="GE24" i="10"/>
  <c r="FO24" i="10"/>
  <c r="FN24" i="10"/>
  <c r="EX24" i="10"/>
  <c r="EW24" i="10"/>
  <c r="EG24" i="10"/>
  <c r="EF24" i="10"/>
  <c r="DP24" i="10"/>
  <c r="DO24" i="10"/>
  <c r="CY24" i="10"/>
  <c r="CX24" i="10"/>
  <c r="CH24" i="10"/>
  <c r="CG24" i="10"/>
  <c r="BQ24" i="10"/>
  <c r="BP24" i="10"/>
  <c r="AZ24" i="10"/>
  <c r="AY24" i="10"/>
  <c r="AI24" i="10"/>
  <c r="AH24" i="10"/>
  <c r="R24" i="10"/>
  <c r="Q24" i="10"/>
  <c r="Q48" i="10"/>
  <c r="IV23" i="10"/>
  <c r="IU23" i="10"/>
  <c r="IE23" i="10"/>
  <c r="ID23" i="10"/>
  <c r="HN23" i="10"/>
  <c r="HM23" i="10"/>
  <c r="GW23" i="10"/>
  <c r="GV23" i="10"/>
  <c r="GF23" i="10"/>
  <c r="GE23" i="10"/>
  <c r="FO23" i="10"/>
  <c r="FN23" i="10"/>
  <c r="EX23" i="10"/>
  <c r="EW23" i="10"/>
  <c r="EG23" i="10"/>
  <c r="EF23" i="10"/>
  <c r="DP23" i="10"/>
  <c r="DO23" i="10"/>
  <c r="CY23" i="10"/>
  <c r="CX23" i="10"/>
  <c r="CH23" i="10"/>
  <c r="CG23" i="10"/>
  <c r="BQ23" i="10"/>
  <c r="BP23" i="10"/>
  <c r="AZ23" i="10"/>
  <c r="AY23" i="10"/>
  <c r="AI23" i="10"/>
  <c r="AH23" i="10"/>
  <c r="R23" i="10"/>
  <c r="R47" i="10"/>
  <c r="Q23" i="10"/>
  <c r="Q47" i="10"/>
  <c r="IV22" i="10"/>
  <c r="IU22" i="10"/>
  <c r="IE22" i="10"/>
  <c r="ID22" i="10"/>
  <c r="HN22" i="10"/>
  <c r="HM22" i="10"/>
  <c r="GW22" i="10"/>
  <c r="GV22" i="10"/>
  <c r="GF22" i="10"/>
  <c r="GE22" i="10"/>
  <c r="FO22" i="10"/>
  <c r="FN22" i="10"/>
  <c r="EX22" i="10"/>
  <c r="EW22" i="10"/>
  <c r="EG22" i="10"/>
  <c r="EF22" i="10"/>
  <c r="DP22" i="10"/>
  <c r="DO22" i="10"/>
  <c r="CY22" i="10"/>
  <c r="CX22" i="10"/>
  <c r="CH22" i="10"/>
  <c r="CG22" i="10"/>
  <c r="BQ22" i="10"/>
  <c r="BP22" i="10"/>
  <c r="AZ22" i="10"/>
  <c r="AY22" i="10"/>
  <c r="AI22" i="10"/>
  <c r="AH22" i="10"/>
  <c r="R22" i="10"/>
  <c r="Q22" i="10"/>
  <c r="IV21" i="10"/>
  <c r="IU21" i="10"/>
  <c r="IE21" i="10"/>
  <c r="ID21" i="10"/>
  <c r="HN21" i="10"/>
  <c r="HM21" i="10"/>
  <c r="GW21" i="10"/>
  <c r="GV21" i="10"/>
  <c r="GF21" i="10"/>
  <c r="GE21" i="10"/>
  <c r="FO21" i="10"/>
  <c r="FN21" i="10"/>
  <c r="EX21" i="10"/>
  <c r="EW21" i="10"/>
  <c r="EG21" i="10"/>
  <c r="EF21" i="10"/>
  <c r="DP21" i="10"/>
  <c r="DO21" i="10"/>
  <c r="CY21" i="10"/>
  <c r="CX21" i="10"/>
  <c r="CH21" i="10"/>
  <c r="CG21" i="10"/>
  <c r="BQ21" i="10"/>
  <c r="BP21" i="10"/>
  <c r="AZ21" i="10"/>
  <c r="AY21" i="10"/>
  <c r="AI21" i="10"/>
  <c r="AH21" i="10"/>
  <c r="R21" i="10"/>
  <c r="R45" i="10"/>
  <c r="Q21" i="10"/>
  <c r="IV20" i="10"/>
  <c r="IU20" i="10"/>
  <c r="IE20" i="10"/>
  <c r="ID20" i="10"/>
  <c r="HN20" i="10"/>
  <c r="HM20" i="10"/>
  <c r="GW20" i="10"/>
  <c r="GV20" i="10"/>
  <c r="GF20" i="10"/>
  <c r="GE20" i="10"/>
  <c r="FO20" i="10"/>
  <c r="FN20" i="10"/>
  <c r="EX20" i="10"/>
  <c r="EW20" i="10"/>
  <c r="EG20" i="10"/>
  <c r="EF20" i="10"/>
  <c r="DP20" i="10"/>
  <c r="DO20" i="10"/>
  <c r="CY20" i="10"/>
  <c r="CX20" i="10"/>
  <c r="CH20" i="10"/>
  <c r="CG20" i="10"/>
  <c r="BQ20" i="10"/>
  <c r="BP20" i="10"/>
  <c r="AZ20" i="10"/>
  <c r="AY20" i="10"/>
  <c r="AI20" i="10"/>
  <c r="AH20" i="10"/>
  <c r="R20" i="10"/>
  <c r="Q20" i="10"/>
  <c r="Q44" i="10"/>
  <c r="IV19" i="10"/>
  <c r="IU19" i="10"/>
  <c r="IE19" i="10"/>
  <c r="ID19" i="10"/>
  <c r="HN19" i="10"/>
  <c r="HM19" i="10"/>
  <c r="GW19" i="10"/>
  <c r="GV19" i="10"/>
  <c r="GF19" i="10"/>
  <c r="GE19" i="10"/>
  <c r="FO19" i="10"/>
  <c r="FN19" i="10"/>
  <c r="EX19" i="10"/>
  <c r="EW19" i="10"/>
  <c r="EG19" i="10"/>
  <c r="EF19" i="10"/>
  <c r="DP19" i="10"/>
  <c r="DO19" i="10"/>
  <c r="CY19" i="10"/>
  <c r="CX19" i="10"/>
  <c r="CH19" i="10"/>
  <c r="CG19" i="10"/>
  <c r="BQ19" i="10"/>
  <c r="BP19" i="10"/>
  <c r="AZ19" i="10"/>
  <c r="AY19" i="10"/>
  <c r="AI19" i="10"/>
  <c r="AH19" i="10"/>
  <c r="R19" i="10"/>
  <c r="R43" i="10"/>
  <c r="Q19" i="10"/>
  <c r="IV18" i="10"/>
  <c r="IU18" i="10"/>
  <c r="IE18" i="10"/>
  <c r="ID18" i="10"/>
  <c r="HN18" i="10"/>
  <c r="HM18" i="10"/>
  <c r="GW18" i="10"/>
  <c r="GV18" i="10"/>
  <c r="GF18" i="10"/>
  <c r="GE18" i="10"/>
  <c r="FO18" i="10"/>
  <c r="FN18" i="10"/>
  <c r="EX18" i="10"/>
  <c r="EW18" i="10"/>
  <c r="EG18" i="10"/>
  <c r="EF18" i="10"/>
  <c r="DP18" i="10"/>
  <c r="DO18" i="10"/>
  <c r="CY18" i="10"/>
  <c r="CX18" i="10"/>
  <c r="CH18" i="10"/>
  <c r="CG18" i="10"/>
  <c r="BQ18" i="10"/>
  <c r="BP18" i="10"/>
  <c r="AZ18" i="10"/>
  <c r="AY18" i="10"/>
  <c r="AI18" i="10"/>
  <c r="AH18" i="10"/>
  <c r="R18" i="10"/>
  <c r="Q18" i="10"/>
  <c r="Q42" i="10"/>
  <c r="IV17" i="10"/>
  <c r="IU17" i="10"/>
  <c r="IE17" i="10"/>
  <c r="ID17" i="10"/>
  <c r="HN17" i="10"/>
  <c r="HM17" i="10"/>
  <c r="GW17" i="10"/>
  <c r="GV17" i="10"/>
  <c r="GF17" i="10"/>
  <c r="GE17" i="10"/>
  <c r="FO17" i="10"/>
  <c r="FN17" i="10"/>
  <c r="EX17" i="10"/>
  <c r="EW17" i="10"/>
  <c r="EG17" i="10"/>
  <c r="EF17" i="10"/>
  <c r="DP17" i="10"/>
  <c r="DO17" i="10"/>
  <c r="CY17" i="10"/>
  <c r="CX17" i="10"/>
  <c r="CH17" i="10"/>
  <c r="CG17" i="10"/>
  <c r="BQ17" i="10"/>
  <c r="BP17" i="10"/>
  <c r="AZ17" i="10"/>
  <c r="AY17" i="10"/>
  <c r="AI17" i="10"/>
  <c r="AH17" i="10"/>
  <c r="R17" i="10"/>
  <c r="R41" i="10"/>
  <c r="Q17" i="10"/>
  <c r="IV16" i="10"/>
  <c r="IU16" i="10"/>
  <c r="IE16" i="10"/>
  <c r="ID16" i="10"/>
  <c r="HN16" i="10"/>
  <c r="HM16" i="10"/>
  <c r="GW16" i="10"/>
  <c r="GV16" i="10"/>
  <c r="GF16" i="10"/>
  <c r="GE16" i="10"/>
  <c r="FO16" i="10"/>
  <c r="FN16" i="10"/>
  <c r="EX16" i="10"/>
  <c r="EW16" i="10"/>
  <c r="EG16" i="10"/>
  <c r="EF16" i="10"/>
  <c r="DP16" i="10"/>
  <c r="DO16" i="10"/>
  <c r="CY16" i="10"/>
  <c r="CX16" i="10"/>
  <c r="CH16" i="10"/>
  <c r="CG16" i="10"/>
  <c r="BQ16" i="10"/>
  <c r="BP16" i="10"/>
  <c r="AZ16" i="10"/>
  <c r="AY16" i="10"/>
  <c r="AI16" i="10"/>
  <c r="R40" i="10"/>
  <c r="AH16" i="10"/>
  <c r="R16" i="10"/>
  <c r="Q16" i="10"/>
  <c r="IV15" i="10"/>
  <c r="IU15" i="10"/>
  <c r="IE15" i="10"/>
  <c r="ID15" i="10"/>
  <c r="HN15" i="10"/>
  <c r="HM15" i="10"/>
  <c r="GW15" i="10"/>
  <c r="GV15" i="10"/>
  <c r="GF15" i="10"/>
  <c r="GE15" i="10"/>
  <c r="FO15" i="10"/>
  <c r="FN15" i="10"/>
  <c r="EX15" i="10"/>
  <c r="EW15" i="10"/>
  <c r="EG15" i="10"/>
  <c r="EF15" i="10"/>
  <c r="DP15" i="10"/>
  <c r="DO15" i="10"/>
  <c r="CY15" i="10"/>
  <c r="CX15" i="10"/>
  <c r="CH15" i="10"/>
  <c r="CG15" i="10"/>
  <c r="BQ15" i="10"/>
  <c r="BP15" i="10"/>
  <c r="AZ15" i="10"/>
  <c r="AY15" i="10"/>
  <c r="AI15" i="10"/>
  <c r="AH15" i="10"/>
  <c r="R15" i="10"/>
  <c r="R39" i="10"/>
  <c r="Q15" i="10"/>
  <c r="IV14" i="10"/>
  <c r="IU14" i="10"/>
  <c r="IE14" i="10"/>
  <c r="ID14" i="10"/>
  <c r="HN14" i="10"/>
  <c r="HM14" i="10"/>
  <c r="GW14" i="10"/>
  <c r="GV14" i="10"/>
  <c r="GF14" i="10"/>
  <c r="GE14" i="10"/>
  <c r="FO14" i="10"/>
  <c r="FN14" i="10"/>
  <c r="EX14" i="10"/>
  <c r="EW14" i="10"/>
  <c r="EG14" i="10"/>
  <c r="EF14" i="10"/>
  <c r="DP14" i="10"/>
  <c r="DO14" i="10"/>
  <c r="CY14" i="10"/>
  <c r="CX14" i="10"/>
  <c r="CH14" i="10"/>
  <c r="CG14" i="10"/>
  <c r="BQ14" i="10"/>
  <c r="BP14" i="10"/>
  <c r="AZ14" i="10"/>
  <c r="AY14" i="10"/>
  <c r="AI14" i="10"/>
  <c r="R38" i="10"/>
  <c r="AH14" i="10"/>
  <c r="R14" i="10"/>
  <c r="Q14" i="10"/>
  <c r="IV13" i="10"/>
  <c r="IU13" i="10"/>
  <c r="IE13" i="10"/>
  <c r="ID13" i="10"/>
  <c r="HN13" i="10"/>
  <c r="HM13" i="10"/>
  <c r="GW13" i="10"/>
  <c r="GV13" i="10"/>
  <c r="GF13" i="10"/>
  <c r="GE13" i="10"/>
  <c r="FO13" i="10"/>
  <c r="FN13" i="10"/>
  <c r="EX13" i="10"/>
  <c r="EW13" i="10"/>
  <c r="EG13" i="10"/>
  <c r="EF13" i="10"/>
  <c r="DP13" i="10"/>
  <c r="DO13" i="10"/>
  <c r="CY13" i="10"/>
  <c r="CX13" i="10"/>
  <c r="CH13" i="10"/>
  <c r="CG13" i="10"/>
  <c r="BQ13" i="10"/>
  <c r="BP13" i="10"/>
  <c r="AZ13" i="10"/>
  <c r="AY13" i="10"/>
  <c r="AI13" i="10"/>
  <c r="AH13" i="10"/>
  <c r="R13" i="10"/>
  <c r="R37" i="10"/>
  <c r="Q13" i="10"/>
  <c r="IV12" i="10"/>
  <c r="IU12" i="10"/>
  <c r="IE12" i="10"/>
  <c r="ID12" i="10"/>
  <c r="HN12" i="10"/>
  <c r="HM12" i="10"/>
  <c r="GW12" i="10"/>
  <c r="GV12" i="10"/>
  <c r="GF12" i="10"/>
  <c r="GE12" i="10"/>
  <c r="FO12" i="10"/>
  <c r="FN12" i="10"/>
  <c r="EX12" i="10"/>
  <c r="EW12" i="10"/>
  <c r="EG12" i="10"/>
  <c r="EF12" i="10"/>
  <c r="DP12" i="10"/>
  <c r="DO12" i="10"/>
  <c r="CY12" i="10"/>
  <c r="CX12" i="10"/>
  <c r="CH12" i="10"/>
  <c r="CG12" i="10"/>
  <c r="BQ12" i="10"/>
  <c r="BP12" i="10"/>
  <c r="AZ12" i="10"/>
  <c r="AY12" i="10"/>
  <c r="AI12" i="10"/>
  <c r="R36" i="10"/>
  <c r="AH12" i="10"/>
  <c r="R12" i="10"/>
  <c r="Q12" i="10"/>
  <c r="IV11" i="10"/>
  <c r="IU11" i="10"/>
  <c r="IE11" i="10"/>
  <c r="ID11" i="10"/>
  <c r="HN11" i="10"/>
  <c r="HM11" i="10"/>
  <c r="GW11" i="10"/>
  <c r="GV11" i="10"/>
  <c r="GF11" i="10"/>
  <c r="GE11" i="10"/>
  <c r="FO11" i="10"/>
  <c r="FN11" i="10"/>
  <c r="EX11" i="10"/>
  <c r="EW11" i="10"/>
  <c r="EG11" i="10"/>
  <c r="EF11" i="10"/>
  <c r="DP11" i="10"/>
  <c r="DO11" i="10"/>
  <c r="CY11" i="10"/>
  <c r="CX11" i="10"/>
  <c r="CH11" i="10"/>
  <c r="CG11" i="10"/>
  <c r="BQ11" i="10"/>
  <c r="BP11" i="10"/>
  <c r="AZ11" i="10"/>
  <c r="AY11" i="10"/>
  <c r="AI11" i="10"/>
  <c r="AH11" i="10"/>
  <c r="R11" i="10"/>
  <c r="R35" i="10"/>
  <c r="Q11" i="10"/>
  <c r="IV10" i="10"/>
  <c r="IU10" i="10"/>
  <c r="IE10" i="10"/>
  <c r="ID10" i="10"/>
  <c r="HN10" i="10"/>
  <c r="HM10" i="10"/>
  <c r="GW10" i="10"/>
  <c r="GV10" i="10"/>
  <c r="GF10" i="10"/>
  <c r="GE10" i="10"/>
  <c r="FO10" i="10"/>
  <c r="FN10" i="10"/>
  <c r="EX10" i="10"/>
  <c r="EW10" i="10"/>
  <c r="EG10" i="10"/>
  <c r="EF10" i="10"/>
  <c r="DP10" i="10"/>
  <c r="DO10" i="10"/>
  <c r="CY10" i="10"/>
  <c r="CX10" i="10"/>
  <c r="CH10" i="10"/>
  <c r="CG10" i="10"/>
  <c r="BQ10" i="10"/>
  <c r="BP10" i="10"/>
  <c r="AZ10" i="10"/>
  <c r="AY10" i="10"/>
  <c r="AI10" i="10"/>
  <c r="R34" i="10"/>
  <c r="AH10" i="10"/>
  <c r="R10" i="10"/>
  <c r="Q10" i="10"/>
  <c r="IV9" i="10"/>
  <c r="IU9" i="10"/>
  <c r="IE9" i="10"/>
  <c r="ID9" i="10"/>
  <c r="HN9" i="10"/>
  <c r="HM9" i="10"/>
  <c r="GW9" i="10"/>
  <c r="GV9" i="10"/>
  <c r="GF9" i="10"/>
  <c r="GE9" i="10"/>
  <c r="FO9" i="10"/>
  <c r="FN9" i="10"/>
  <c r="EX9" i="10"/>
  <c r="EW9" i="10"/>
  <c r="EG9" i="10"/>
  <c r="EF9" i="10"/>
  <c r="DP9" i="10"/>
  <c r="DO9" i="10"/>
  <c r="CY9" i="10"/>
  <c r="CX9" i="10"/>
  <c r="CH9" i="10"/>
  <c r="CG9" i="10"/>
  <c r="BQ9" i="10"/>
  <c r="BP9" i="10"/>
  <c r="AZ9" i="10"/>
  <c r="AY9" i="10"/>
  <c r="AI9" i="10"/>
  <c r="AH9" i="10"/>
  <c r="R9" i="10"/>
  <c r="R33" i="10"/>
  <c r="Q9" i="10"/>
  <c r="IV8" i="10"/>
  <c r="IU8" i="10"/>
  <c r="IU27" i="10"/>
  <c r="IE8" i="10"/>
  <c r="IE27" i="10"/>
  <c r="ID8" i="10"/>
  <c r="HN8" i="10"/>
  <c r="HM8" i="10"/>
  <c r="HM27" i="10"/>
  <c r="GW8" i="10"/>
  <c r="GW27" i="10"/>
  <c r="GV8" i="10"/>
  <c r="GF8" i="10"/>
  <c r="GE8" i="10"/>
  <c r="GE27" i="10"/>
  <c r="FO8" i="10"/>
  <c r="FO27" i="10"/>
  <c r="FN8" i="10"/>
  <c r="EX8" i="10"/>
  <c r="EW8" i="10"/>
  <c r="EW27" i="10"/>
  <c r="EG8" i="10"/>
  <c r="EG27" i="10"/>
  <c r="EF8" i="10"/>
  <c r="DP8" i="10"/>
  <c r="DO8" i="10"/>
  <c r="DO27" i="10"/>
  <c r="CY8" i="10"/>
  <c r="CY27" i="10"/>
  <c r="CX8" i="10"/>
  <c r="CH8" i="10"/>
  <c r="CG8" i="10"/>
  <c r="CG27" i="10"/>
  <c r="BQ8" i="10"/>
  <c r="BQ27" i="10"/>
  <c r="BP8" i="10"/>
  <c r="AZ8" i="10"/>
  <c r="AY8" i="10"/>
  <c r="AY27" i="10"/>
  <c r="AI8" i="10"/>
  <c r="AI27" i="10"/>
  <c r="AH8" i="10"/>
  <c r="R8" i="10"/>
  <c r="Q8" i="10"/>
  <c r="Q27" i="10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U50" i="9"/>
  <c r="B50" i="9"/>
  <c r="A50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U49" i="9"/>
  <c r="B49" i="9"/>
  <c r="A49" i="9"/>
  <c r="P48" i="9"/>
  <c r="O48" i="9"/>
  <c r="N48" i="9"/>
  <c r="M48" i="9"/>
  <c r="L48" i="9"/>
  <c r="K48" i="9"/>
  <c r="J48" i="9"/>
  <c r="I48" i="9"/>
  <c r="H48" i="9"/>
  <c r="G48" i="9"/>
  <c r="F48" i="9"/>
  <c r="E48" i="9"/>
  <c r="D48" i="9"/>
  <c r="C48" i="9"/>
  <c r="U48" i="9"/>
  <c r="B48" i="9"/>
  <c r="B157" i="13"/>
  <c r="A48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U47" i="9"/>
  <c r="B47" i="9"/>
  <c r="B156" i="13"/>
  <c r="A47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U46" i="9"/>
  <c r="B46" i="9"/>
  <c r="B155" i="13"/>
  <c r="A46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U45" i="9"/>
  <c r="B45" i="9"/>
  <c r="B154" i="13"/>
  <c r="A45" i="9"/>
  <c r="A154" i="13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U44" i="9"/>
  <c r="B44" i="9"/>
  <c r="B153" i="13"/>
  <c r="A44" i="9"/>
  <c r="A153" i="13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U43" i="9"/>
  <c r="B43" i="9"/>
  <c r="B152" i="13"/>
  <c r="A43" i="9"/>
  <c r="A152" i="13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U42" i="9"/>
  <c r="B42" i="9"/>
  <c r="B151" i="13"/>
  <c r="A42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B41" i="9"/>
  <c r="B150" i="13"/>
  <c r="A41" i="9"/>
  <c r="A150" i="13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B40" i="9"/>
  <c r="B149" i="13"/>
  <c r="A40" i="9"/>
  <c r="A149" i="13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B39" i="9"/>
  <c r="B148" i="13"/>
  <c r="A39" i="9"/>
  <c r="A148" i="13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B38" i="9"/>
  <c r="B147" i="13"/>
  <c r="A38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A37" i="9"/>
  <c r="A146" i="13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A36" i="9"/>
  <c r="A145" i="13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U35" i="9"/>
  <c r="B35" i="9"/>
  <c r="B144" i="13"/>
  <c r="A35" i="9"/>
  <c r="A144" i="13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B143" i="13"/>
  <c r="A34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B142" i="13"/>
  <c r="A33" i="9"/>
  <c r="A142" i="13"/>
  <c r="P32" i="9"/>
  <c r="P51" i="9"/>
  <c r="O32" i="9"/>
  <c r="O51" i="9"/>
  <c r="N32" i="9"/>
  <c r="N51" i="9"/>
  <c r="M32" i="9"/>
  <c r="L32" i="9"/>
  <c r="L51" i="9"/>
  <c r="K32" i="9"/>
  <c r="K51" i="9"/>
  <c r="J32" i="9"/>
  <c r="J51" i="9"/>
  <c r="I32" i="9"/>
  <c r="H32" i="9"/>
  <c r="H51" i="9"/>
  <c r="G32" i="9"/>
  <c r="G51" i="9"/>
  <c r="F32" i="9"/>
  <c r="F51" i="9"/>
  <c r="E32" i="9"/>
  <c r="D32" i="9"/>
  <c r="D51" i="9"/>
  <c r="C32" i="9"/>
  <c r="B32" i="9"/>
  <c r="B141" i="13"/>
  <c r="A32" i="9"/>
  <c r="A141" i="13"/>
  <c r="IT27" i="9"/>
  <c r="IS27" i="9"/>
  <c r="IR27" i="9"/>
  <c r="IQ27" i="9"/>
  <c r="IP27" i="9"/>
  <c r="IO27" i="9"/>
  <c r="IN27" i="9"/>
  <c r="IM27" i="9"/>
  <c r="IL27" i="9"/>
  <c r="IK27" i="9"/>
  <c r="IJ27" i="9"/>
  <c r="II27" i="9"/>
  <c r="IH27" i="9"/>
  <c r="IG27" i="9"/>
  <c r="IC27" i="9"/>
  <c r="IB27" i="9"/>
  <c r="IA27" i="9"/>
  <c r="HZ27" i="9"/>
  <c r="HY27" i="9"/>
  <c r="HX27" i="9"/>
  <c r="HW27" i="9"/>
  <c r="HV27" i="9"/>
  <c r="HU27" i="9"/>
  <c r="HT27" i="9"/>
  <c r="HS27" i="9"/>
  <c r="HR27" i="9"/>
  <c r="HQ27" i="9"/>
  <c r="HP27" i="9"/>
  <c r="HL27" i="9"/>
  <c r="HK27" i="9"/>
  <c r="HJ27" i="9"/>
  <c r="HI27" i="9"/>
  <c r="HH27" i="9"/>
  <c r="HG27" i="9"/>
  <c r="HF27" i="9"/>
  <c r="HE27" i="9"/>
  <c r="HD27" i="9"/>
  <c r="HC27" i="9"/>
  <c r="HB27" i="9"/>
  <c r="HA27" i="9"/>
  <c r="GZ27" i="9"/>
  <c r="GY27" i="9"/>
  <c r="GU27" i="9"/>
  <c r="GT27" i="9"/>
  <c r="GS27" i="9"/>
  <c r="GR27" i="9"/>
  <c r="GQ27" i="9"/>
  <c r="GP27" i="9"/>
  <c r="GO27" i="9"/>
  <c r="GN27" i="9"/>
  <c r="GM27" i="9"/>
  <c r="GL27" i="9"/>
  <c r="GK27" i="9"/>
  <c r="GJ27" i="9"/>
  <c r="GI27" i="9"/>
  <c r="GH27" i="9"/>
  <c r="GD27" i="9"/>
  <c r="GC27" i="9"/>
  <c r="GB27" i="9"/>
  <c r="GA27" i="9"/>
  <c r="FZ27" i="9"/>
  <c r="FY27" i="9"/>
  <c r="FX27" i="9"/>
  <c r="FW27" i="9"/>
  <c r="FV27" i="9"/>
  <c r="FU27" i="9"/>
  <c r="FT27" i="9"/>
  <c r="FS27" i="9"/>
  <c r="FR27" i="9"/>
  <c r="FQ27" i="9"/>
  <c r="FM27" i="9"/>
  <c r="FL27" i="9"/>
  <c r="FK27" i="9"/>
  <c r="FJ27" i="9"/>
  <c r="FI27" i="9"/>
  <c r="FH27" i="9"/>
  <c r="FG27" i="9"/>
  <c r="FF27" i="9"/>
  <c r="FE27" i="9"/>
  <c r="FD27" i="9"/>
  <c r="FC27" i="9"/>
  <c r="FB27" i="9"/>
  <c r="FA27" i="9"/>
  <c r="EZ27" i="9"/>
  <c r="EV27" i="9"/>
  <c r="EU27" i="9"/>
  <c r="ET27" i="9"/>
  <c r="ES27" i="9"/>
  <c r="ER27" i="9"/>
  <c r="EQ27" i="9"/>
  <c r="EP27" i="9"/>
  <c r="EO27" i="9"/>
  <c r="EN27" i="9"/>
  <c r="EM27" i="9"/>
  <c r="EL27" i="9"/>
  <c r="EK27" i="9"/>
  <c r="EJ27" i="9"/>
  <c r="EI27" i="9"/>
  <c r="EE27" i="9"/>
  <c r="ED27" i="9"/>
  <c r="EC27" i="9"/>
  <c r="EB27" i="9"/>
  <c r="EA27" i="9"/>
  <c r="DZ27" i="9"/>
  <c r="DY27" i="9"/>
  <c r="DX27" i="9"/>
  <c r="DW27" i="9"/>
  <c r="DV27" i="9"/>
  <c r="DU27" i="9"/>
  <c r="DT27" i="9"/>
  <c r="DS27" i="9"/>
  <c r="DR27" i="9"/>
  <c r="DN27" i="9"/>
  <c r="DM27" i="9"/>
  <c r="DL27" i="9"/>
  <c r="DK27" i="9"/>
  <c r="DJ27" i="9"/>
  <c r="DI27" i="9"/>
  <c r="DH27" i="9"/>
  <c r="DG27" i="9"/>
  <c r="DF27" i="9"/>
  <c r="DE27" i="9"/>
  <c r="DD27" i="9"/>
  <c r="DC27" i="9"/>
  <c r="DB27" i="9"/>
  <c r="DA27" i="9"/>
  <c r="CW27" i="9"/>
  <c r="CV27" i="9"/>
  <c r="CU27" i="9"/>
  <c r="CT27" i="9"/>
  <c r="CS27" i="9"/>
  <c r="CR27" i="9"/>
  <c r="CQ27" i="9"/>
  <c r="CP27" i="9"/>
  <c r="CO27" i="9"/>
  <c r="CN27" i="9"/>
  <c r="CM27" i="9"/>
  <c r="CL27" i="9"/>
  <c r="CK27" i="9"/>
  <c r="CJ27" i="9"/>
  <c r="CF27" i="9"/>
  <c r="CE27" i="9"/>
  <c r="CD27" i="9"/>
  <c r="CC27" i="9"/>
  <c r="CB27" i="9"/>
  <c r="CA27" i="9"/>
  <c r="BZ27" i="9"/>
  <c r="BY27" i="9"/>
  <c r="BX27" i="9"/>
  <c r="BW27" i="9"/>
  <c r="BV27" i="9"/>
  <c r="BU27" i="9"/>
  <c r="BT27" i="9"/>
  <c r="BS27" i="9"/>
  <c r="BO27" i="9"/>
  <c r="BN27" i="9"/>
  <c r="BM27" i="9"/>
  <c r="BL27" i="9"/>
  <c r="BK27" i="9"/>
  <c r="BJ27" i="9"/>
  <c r="BI27" i="9"/>
  <c r="BH27" i="9"/>
  <c r="BG27" i="9"/>
  <c r="BF27" i="9"/>
  <c r="BE27" i="9"/>
  <c r="BD27" i="9"/>
  <c r="BC27" i="9"/>
  <c r="BB27" i="9"/>
  <c r="AX27" i="9"/>
  <c r="AW27" i="9"/>
  <c r="AV27" i="9"/>
  <c r="AU27" i="9"/>
  <c r="AT27" i="9"/>
  <c r="AS27" i="9"/>
  <c r="AR27" i="9"/>
  <c r="AQ27" i="9"/>
  <c r="AP27" i="9"/>
  <c r="AO27" i="9"/>
  <c r="AN27" i="9"/>
  <c r="AM27" i="9"/>
  <c r="AL27" i="9"/>
  <c r="AK27" i="9"/>
  <c r="AG27" i="9"/>
  <c r="AF27" i="9"/>
  <c r="AE27" i="9"/>
  <c r="AD27" i="9"/>
  <c r="AC27" i="9"/>
  <c r="AB27" i="9"/>
  <c r="AA27" i="9"/>
  <c r="Z27" i="9"/>
  <c r="Y27" i="9"/>
  <c r="X27" i="9"/>
  <c r="W27" i="9"/>
  <c r="V27" i="9"/>
  <c r="U27" i="9"/>
  <c r="T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IV26" i="9"/>
  <c r="IU26" i="9"/>
  <c r="IE26" i="9"/>
  <c r="ID26" i="9"/>
  <c r="HN26" i="9"/>
  <c r="HM26" i="9"/>
  <c r="GW26" i="9"/>
  <c r="GV26" i="9"/>
  <c r="GF26" i="9"/>
  <c r="GE26" i="9"/>
  <c r="FO26" i="9"/>
  <c r="FN26" i="9"/>
  <c r="EX26" i="9"/>
  <c r="EW26" i="9"/>
  <c r="EG26" i="9"/>
  <c r="EF26" i="9"/>
  <c r="DP26" i="9"/>
  <c r="DO26" i="9"/>
  <c r="CY26" i="9"/>
  <c r="CX26" i="9"/>
  <c r="CH26" i="9"/>
  <c r="CG26" i="9"/>
  <c r="BQ26" i="9"/>
  <c r="BP26" i="9"/>
  <c r="AZ26" i="9"/>
  <c r="AY26" i="9"/>
  <c r="AI26" i="9"/>
  <c r="AH26" i="9"/>
  <c r="R26" i="9"/>
  <c r="Q26" i="9"/>
  <c r="Q50" i="9"/>
  <c r="IV25" i="9"/>
  <c r="IU25" i="9"/>
  <c r="IE25" i="9"/>
  <c r="ID25" i="9"/>
  <c r="HN25" i="9"/>
  <c r="HM25" i="9"/>
  <c r="GW25" i="9"/>
  <c r="GV25" i="9"/>
  <c r="GF25" i="9"/>
  <c r="GE25" i="9"/>
  <c r="FO25" i="9"/>
  <c r="FN25" i="9"/>
  <c r="EX25" i="9"/>
  <c r="EW25" i="9"/>
  <c r="EG25" i="9"/>
  <c r="EF25" i="9"/>
  <c r="DP25" i="9"/>
  <c r="DO25" i="9"/>
  <c r="CY25" i="9"/>
  <c r="CX25" i="9"/>
  <c r="CH25" i="9"/>
  <c r="CG25" i="9"/>
  <c r="BQ25" i="9"/>
  <c r="BP25" i="9"/>
  <c r="AZ25" i="9"/>
  <c r="AY25" i="9"/>
  <c r="AI25" i="9"/>
  <c r="AH25" i="9"/>
  <c r="R25" i="9"/>
  <c r="R49" i="9"/>
  <c r="Q25" i="9"/>
  <c r="IV24" i="9"/>
  <c r="IU24" i="9"/>
  <c r="IE24" i="9"/>
  <c r="ID24" i="9"/>
  <c r="HN24" i="9"/>
  <c r="HM24" i="9"/>
  <c r="GW24" i="9"/>
  <c r="GV24" i="9"/>
  <c r="GF24" i="9"/>
  <c r="GE24" i="9"/>
  <c r="FO24" i="9"/>
  <c r="FN24" i="9"/>
  <c r="EX24" i="9"/>
  <c r="EW24" i="9"/>
  <c r="EG24" i="9"/>
  <c r="EF24" i="9"/>
  <c r="DP24" i="9"/>
  <c r="DO24" i="9"/>
  <c r="CY24" i="9"/>
  <c r="CX24" i="9"/>
  <c r="CH24" i="9"/>
  <c r="CG24" i="9"/>
  <c r="BQ24" i="9"/>
  <c r="BP24" i="9"/>
  <c r="AZ24" i="9"/>
  <c r="AY24" i="9"/>
  <c r="AI24" i="9"/>
  <c r="AH24" i="9"/>
  <c r="R24" i="9"/>
  <c r="Q24" i="9"/>
  <c r="Q48" i="9"/>
  <c r="IV23" i="9"/>
  <c r="IU23" i="9"/>
  <c r="IE23" i="9"/>
  <c r="ID23" i="9"/>
  <c r="HN23" i="9"/>
  <c r="HM23" i="9"/>
  <c r="GW23" i="9"/>
  <c r="GV23" i="9"/>
  <c r="GF23" i="9"/>
  <c r="GE23" i="9"/>
  <c r="FO23" i="9"/>
  <c r="FN23" i="9"/>
  <c r="EX23" i="9"/>
  <c r="EW23" i="9"/>
  <c r="EG23" i="9"/>
  <c r="EF23" i="9"/>
  <c r="DP23" i="9"/>
  <c r="DO23" i="9"/>
  <c r="CY23" i="9"/>
  <c r="CX23" i="9"/>
  <c r="CH23" i="9"/>
  <c r="CG23" i="9"/>
  <c r="BQ23" i="9"/>
  <c r="BP23" i="9"/>
  <c r="AZ23" i="9"/>
  <c r="AY23" i="9"/>
  <c r="AI23" i="9"/>
  <c r="AH23" i="9"/>
  <c r="Q47" i="9"/>
  <c r="R23" i="9"/>
  <c r="R47" i="9"/>
  <c r="Q23" i="9"/>
  <c r="IV22" i="9"/>
  <c r="IU22" i="9"/>
  <c r="IE22" i="9"/>
  <c r="ID22" i="9"/>
  <c r="HN22" i="9"/>
  <c r="HM22" i="9"/>
  <c r="GW22" i="9"/>
  <c r="GV22" i="9"/>
  <c r="GF22" i="9"/>
  <c r="GE22" i="9"/>
  <c r="FO22" i="9"/>
  <c r="FN22" i="9"/>
  <c r="EX22" i="9"/>
  <c r="EW22" i="9"/>
  <c r="EG22" i="9"/>
  <c r="EF22" i="9"/>
  <c r="DP22" i="9"/>
  <c r="DO22" i="9"/>
  <c r="CY22" i="9"/>
  <c r="CX22" i="9"/>
  <c r="CH22" i="9"/>
  <c r="CG22" i="9"/>
  <c r="BQ22" i="9"/>
  <c r="BP22" i="9"/>
  <c r="AZ22" i="9"/>
  <c r="AY22" i="9"/>
  <c r="AI22" i="9"/>
  <c r="AH22" i="9"/>
  <c r="R22" i="9"/>
  <c r="Q22" i="9"/>
  <c r="Q46" i="9"/>
  <c r="IV21" i="9"/>
  <c r="IU21" i="9"/>
  <c r="IE21" i="9"/>
  <c r="ID21" i="9"/>
  <c r="HN21" i="9"/>
  <c r="HM21" i="9"/>
  <c r="GW21" i="9"/>
  <c r="GV21" i="9"/>
  <c r="GF21" i="9"/>
  <c r="GE21" i="9"/>
  <c r="FO21" i="9"/>
  <c r="FN21" i="9"/>
  <c r="EX21" i="9"/>
  <c r="EW21" i="9"/>
  <c r="EG21" i="9"/>
  <c r="EF21" i="9"/>
  <c r="DP21" i="9"/>
  <c r="DO21" i="9"/>
  <c r="CY21" i="9"/>
  <c r="CX21" i="9"/>
  <c r="CH21" i="9"/>
  <c r="CG21" i="9"/>
  <c r="BQ21" i="9"/>
  <c r="BP21" i="9"/>
  <c r="AZ21" i="9"/>
  <c r="AY21" i="9"/>
  <c r="AI21" i="9"/>
  <c r="AH21" i="9"/>
  <c r="R21" i="9"/>
  <c r="R45" i="9"/>
  <c r="Q21" i="9"/>
  <c r="IV20" i="9"/>
  <c r="IU20" i="9"/>
  <c r="IE20" i="9"/>
  <c r="ID20" i="9"/>
  <c r="HN20" i="9"/>
  <c r="HM20" i="9"/>
  <c r="GW20" i="9"/>
  <c r="GV20" i="9"/>
  <c r="GF20" i="9"/>
  <c r="GE20" i="9"/>
  <c r="FO20" i="9"/>
  <c r="FN20" i="9"/>
  <c r="EX20" i="9"/>
  <c r="EW20" i="9"/>
  <c r="EG20" i="9"/>
  <c r="EF20" i="9"/>
  <c r="DP20" i="9"/>
  <c r="DO20" i="9"/>
  <c r="CY20" i="9"/>
  <c r="CX20" i="9"/>
  <c r="CH20" i="9"/>
  <c r="CG20" i="9"/>
  <c r="BQ20" i="9"/>
  <c r="BP20" i="9"/>
  <c r="AZ20" i="9"/>
  <c r="AY20" i="9"/>
  <c r="AI20" i="9"/>
  <c r="AH20" i="9"/>
  <c r="R20" i="9"/>
  <c r="Q20" i="9"/>
  <c r="Q44" i="9"/>
  <c r="IV19" i="9"/>
  <c r="IU19" i="9"/>
  <c r="IE19" i="9"/>
  <c r="ID19" i="9"/>
  <c r="HN19" i="9"/>
  <c r="HM19" i="9"/>
  <c r="GW19" i="9"/>
  <c r="GV19" i="9"/>
  <c r="GF19" i="9"/>
  <c r="GE19" i="9"/>
  <c r="FO19" i="9"/>
  <c r="FN19" i="9"/>
  <c r="EX19" i="9"/>
  <c r="EW19" i="9"/>
  <c r="EG19" i="9"/>
  <c r="EF19" i="9"/>
  <c r="DP19" i="9"/>
  <c r="DO19" i="9"/>
  <c r="CY19" i="9"/>
  <c r="CX19" i="9"/>
  <c r="CH19" i="9"/>
  <c r="CG19" i="9"/>
  <c r="BQ19" i="9"/>
  <c r="BP19" i="9"/>
  <c r="AZ19" i="9"/>
  <c r="AY19" i="9"/>
  <c r="AI19" i="9"/>
  <c r="AH19" i="9"/>
  <c r="Q43" i="9"/>
  <c r="R19" i="9"/>
  <c r="R43" i="9"/>
  <c r="Q19" i="9"/>
  <c r="IV18" i="9"/>
  <c r="IU18" i="9"/>
  <c r="IE18" i="9"/>
  <c r="ID18" i="9"/>
  <c r="HN18" i="9"/>
  <c r="HM18" i="9"/>
  <c r="GW18" i="9"/>
  <c r="GV18" i="9"/>
  <c r="GF18" i="9"/>
  <c r="GE18" i="9"/>
  <c r="FO18" i="9"/>
  <c r="FN18" i="9"/>
  <c r="EX18" i="9"/>
  <c r="EW18" i="9"/>
  <c r="EG18" i="9"/>
  <c r="EF18" i="9"/>
  <c r="DP18" i="9"/>
  <c r="DO18" i="9"/>
  <c r="CY18" i="9"/>
  <c r="CX18" i="9"/>
  <c r="CH18" i="9"/>
  <c r="CG18" i="9"/>
  <c r="BQ18" i="9"/>
  <c r="BP18" i="9"/>
  <c r="AZ18" i="9"/>
  <c r="AY18" i="9"/>
  <c r="AI18" i="9"/>
  <c r="AH18" i="9"/>
  <c r="R18" i="9"/>
  <c r="Q18" i="9"/>
  <c r="Q42" i="9"/>
  <c r="IV17" i="9"/>
  <c r="IU17" i="9"/>
  <c r="IE17" i="9"/>
  <c r="ID17" i="9"/>
  <c r="HN17" i="9"/>
  <c r="HM17" i="9"/>
  <c r="GW17" i="9"/>
  <c r="GV17" i="9"/>
  <c r="GF17" i="9"/>
  <c r="GE17" i="9"/>
  <c r="FO17" i="9"/>
  <c r="FN17" i="9"/>
  <c r="EX17" i="9"/>
  <c r="EW17" i="9"/>
  <c r="EG17" i="9"/>
  <c r="EF17" i="9"/>
  <c r="DP17" i="9"/>
  <c r="DO17" i="9"/>
  <c r="CY17" i="9"/>
  <c r="CX17" i="9"/>
  <c r="CH17" i="9"/>
  <c r="CG17" i="9"/>
  <c r="BQ17" i="9"/>
  <c r="BP17" i="9"/>
  <c r="AZ17" i="9"/>
  <c r="AY17" i="9"/>
  <c r="AI17" i="9"/>
  <c r="AH17" i="9"/>
  <c r="R17" i="9"/>
  <c r="R41" i="9"/>
  <c r="Q17" i="9"/>
  <c r="IV16" i="9"/>
  <c r="IU16" i="9"/>
  <c r="IE16" i="9"/>
  <c r="ID16" i="9"/>
  <c r="HN16" i="9"/>
  <c r="HM16" i="9"/>
  <c r="GW16" i="9"/>
  <c r="GV16" i="9"/>
  <c r="GF16" i="9"/>
  <c r="GE16" i="9"/>
  <c r="FO16" i="9"/>
  <c r="FN16" i="9"/>
  <c r="EX16" i="9"/>
  <c r="EW16" i="9"/>
  <c r="EG16" i="9"/>
  <c r="EF16" i="9"/>
  <c r="DP16" i="9"/>
  <c r="DO16" i="9"/>
  <c r="CY16" i="9"/>
  <c r="CX16" i="9"/>
  <c r="CH16" i="9"/>
  <c r="CG16" i="9"/>
  <c r="BQ16" i="9"/>
  <c r="BP16" i="9"/>
  <c r="AZ16" i="9"/>
  <c r="AY16" i="9"/>
  <c r="AI16" i="9"/>
  <c r="AH16" i="9"/>
  <c r="R16" i="9"/>
  <c r="Q16" i="9"/>
  <c r="Q40" i="9"/>
  <c r="IV15" i="9"/>
  <c r="IU15" i="9"/>
  <c r="IE15" i="9"/>
  <c r="ID15" i="9"/>
  <c r="HN15" i="9"/>
  <c r="HM15" i="9"/>
  <c r="GW15" i="9"/>
  <c r="GV15" i="9"/>
  <c r="GF15" i="9"/>
  <c r="GE15" i="9"/>
  <c r="FO15" i="9"/>
  <c r="FN15" i="9"/>
  <c r="EX15" i="9"/>
  <c r="EW15" i="9"/>
  <c r="EG15" i="9"/>
  <c r="EF15" i="9"/>
  <c r="DP15" i="9"/>
  <c r="DO15" i="9"/>
  <c r="CY15" i="9"/>
  <c r="CX15" i="9"/>
  <c r="CH15" i="9"/>
  <c r="CG15" i="9"/>
  <c r="BQ15" i="9"/>
  <c r="BP15" i="9"/>
  <c r="AZ15" i="9"/>
  <c r="AY15" i="9"/>
  <c r="AI15" i="9"/>
  <c r="AH15" i="9"/>
  <c r="R15" i="9"/>
  <c r="R39" i="9"/>
  <c r="Q15" i="9"/>
  <c r="IV14" i="9"/>
  <c r="IU14" i="9"/>
  <c r="IE14" i="9"/>
  <c r="ID14" i="9"/>
  <c r="HN14" i="9"/>
  <c r="HM14" i="9"/>
  <c r="GW14" i="9"/>
  <c r="GV14" i="9"/>
  <c r="GF14" i="9"/>
  <c r="GE14" i="9"/>
  <c r="FO14" i="9"/>
  <c r="FN14" i="9"/>
  <c r="EX14" i="9"/>
  <c r="EW14" i="9"/>
  <c r="EG14" i="9"/>
  <c r="EF14" i="9"/>
  <c r="DP14" i="9"/>
  <c r="DO14" i="9"/>
  <c r="CY14" i="9"/>
  <c r="CX14" i="9"/>
  <c r="CH14" i="9"/>
  <c r="CG14" i="9"/>
  <c r="BQ14" i="9"/>
  <c r="BP14" i="9"/>
  <c r="AZ14" i="9"/>
  <c r="AY14" i="9"/>
  <c r="AI14" i="9"/>
  <c r="AH14" i="9"/>
  <c r="R14" i="9"/>
  <c r="Q14" i="9"/>
  <c r="Q38" i="9"/>
  <c r="IV13" i="9"/>
  <c r="IU13" i="9"/>
  <c r="IE13" i="9"/>
  <c r="ID13" i="9"/>
  <c r="HN13" i="9"/>
  <c r="HM13" i="9"/>
  <c r="GW13" i="9"/>
  <c r="GV13" i="9"/>
  <c r="GF13" i="9"/>
  <c r="GE13" i="9"/>
  <c r="FO13" i="9"/>
  <c r="FN13" i="9"/>
  <c r="EX13" i="9"/>
  <c r="EW13" i="9"/>
  <c r="EG13" i="9"/>
  <c r="EF13" i="9"/>
  <c r="DP13" i="9"/>
  <c r="DO13" i="9"/>
  <c r="CY13" i="9"/>
  <c r="CX13" i="9"/>
  <c r="CH13" i="9"/>
  <c r="CG13" i="9"/>
  <c r="BQ13" i="9"/>
  <c r="BP13" i="9"/>
  <c r="AZ13" i="9"/>
  <c r="AY13" i="9"/>
  <c r="AI13" i="9"/>
  <c r="AH13" i="9"/>
  <c r="R13" i="9"/>
  <c r="R37" i="9"/>
  <c r="Q13" i="9"/>
  <c r="IV12" i="9"/>
  <c r="IU12" i="9"/>
  <c r="IE12" i="9"/>
  <c r="ID12" i="9"/>
  <c r="HN12" i="9"/>
  <c r="HM12" i="9"/>
  <c r="GW12" i="9"/>
  <c r="GV12" i="9"/>
  <c r="GF12" i="9"/>
  <c r="GE12" i="9"/>
  <c r="FO12" i="9"/>
  <c r="FN12" i="9"/>
  <c r="EX12" i="9"/>
  <c r="EW12" i="9"/>
  <c r="EG12" i="9"/>
  <c r="EF12" i="9"/>
  <c r="DP12" i="9"/>
  <c r="DO12" i="9"/>
  <c r="CY12" i="9"/>
  <c r="CX12" i="9"/>
  <c r="CH12" i="9"/>
  <c r="CG12" i="9"/>
  <c r="BQ12" i="9"/>
  <c r="BP12" i="9"/>
  <c r="AZ12" i="9"/>
  <c r="AY12" i="9"/>
  <c r="AI12" i="9"/>
  <c r="AH12" i="9"/>
  <c r="R12" i="9"/>
  <c r="Q12" i="9"/>
  <c r="Q36" i="9"/>
  <c r="IV11" i="9"/>
  <c r="IU11" i="9"/>
  <c r="IE11" i="9"/>
  <c r="ID11" i="9"/>
  <c r="HN11" i="9"/>
  <c r="HM11" i="9"/>
  <c r="GW11" i="9"/>
  <c r="GV11" i="9"/>
  <c r="GF11" i="9"/>
  <c r="GE11" i="9"/>
  <c r="FO11" i="9"/>
  <c r="FN11" i="9"/>
  <c r="EX11" i="9"/>
  <c r="EW11" i="9"/>
  <c r="EG11" i="9"/>
  <c r="EF11" i="9"/>
  <c r="DP11" i="9"/>
  <c r="DO11" i="9"/>
  <c r="CY11" i="9"/>
  <c r="CX11" i="9"/>
  <c r="CH11" i="9"/>
  <c r="CG11" i="9"/>
  <c r="BQ11" i="9"/>
  <c r="BP11" i="9"/>
  <c r="AZ11" i="9"/>
  <c r="AY11" i="9"/>
  <c r="AI11" i="9"/>
  <c r="AH11" i="9"/>
  <c r="R11" i="9"/>
  <c r="R35" i="9"/>
  <c r="Q11" i="9"/>
  <c r="IV10" i="9"/>
  <c r="IU10" i="9"/>
  <c r="IE10" i="9"/>
  <c r="ID10" i="9"/>
  <c r="HN10" i="9"/>
  <c r="HM10" i="9"/>
  <c r="GW10" i="9"/>
  <c r="GV10" i="9"/>
  <c r="GF10" i="9"/>
  <c r="GE10" i="9"/>
  <c r="FO10" i="9"/>
  <c r="FN10" i="9"/>
  <c r="EX10" i="9"/>
  <c r="EW10" i="9"/>
  <c r="EG10" i="9"/>
  <c r="EF10" i="9"/>
  <c r="DP10" i="9"/>
  <c r="DO10" i="9"/>
  <c r="CY10" i="9"/>
  <c r="CX10" i="9"/>
  <c r="CH10" i="9"/>
  <c r="CG10" i="9"/>
  <c r="BQ10" i="9"/>
  <c r="BP10" i="9"/>
  <c r="AZ10" i="9"/>
  <c r="AY10" i="9"/>
  <c r="AI10" i="9"/>
  <c r="AH10" i="9"/>
  <c r="R10" i="9"/>
  <c r="Q10" i="9"/>
  <c r="Q34" i="9"/>
  <c r="IV9" i="9"/>
  <c r="IU9" i="9"/>
  <c r="IE9" i="9"/>
  <c r="ID9" i="9"/>
  <c r="ID27" i="9"/>
  <c r="HN9" i="9"/>
  <c r="HM9" i="9"/>
  <c r="GW9" i="9"/>
  <c r="GV9" i="9"/>
  <c r="GV27" i="9"/>
  <c r="GF9" i="9"/>
  <c r="GE9" i="9"/>
  <c r="FO9" i="9"/>
  <c r="FN9" i="9"/>
  <c r="FN27" i="9"/>
  <c r="EX9" i="9"/>
  <c r="EW9" i="9"/>
  <c r="EG9" i="9"/>
  <c r="EF9" i="9"/>
  <c r="EF27" i="9"/>
  <c r="DP9" i="9"/>
  <c r="DO9" i="9"/>
  <c r="CY9" i="9"/>
  <c r="CX9" i="9"/>
  <c r="CX27" i="9"/>
  <c r="CH9" i="9"/>
  <c r="CG9" i="9"/>
  <c r="BQ9" i="9"/>
  <c r="BP9" i="9"/>
  <c r="BP27" i="9"/>
  <c r="AZ9" i="9"/>
  <c r="AY9" i="9"/>
  <c r="AI9" i="9"/>
  <c r="AH9" i="9"/>
  <c r="AH27" i="9"/>
  <c r="R9" i="9"/>
  <c r="R33" i="9"/>
  <c r="Q9" i="9"/>
  <c r="IV8" i="9"/>
  <c r="IU8" i="9"/>
  <c r="IU27" i="9"/>
  <c r="IE8" i="9"/>
  <c r="IE27" i="9"/>
  <c r="ID8" i="9"/>
  <c r="HN8" i="9"/>
  <c r="HM8" i="9"/>
  <c r="HM27" i="9"/>
  <c r="GW8" i="9"/>
  <c r="GW27" i="9"/>
  <c r="GV8" i="9"/>
  <c r="GF8" i="9"/>
  <c r="GE8" i="9"/>
  <c r="GE27" i="9"/>
  <c r="FO8" i="9"/>
  <c r="FO27" i="9"/>
  <c r="FN8" i="9"/>
  <c r="EX8" i="9"/>
  <c r="EW8" i="9"/>
  <c r="EW27" i="9"/>
  <c r="EG8" i="9"/>
  <c r="EG27" i="9"/>
  <c r="EF8" i="9"/>
  <c r="DP8" i="9"/>
  <c r="DO8" i="9"/>
  <c r="DO27" i="9"/>
  <c r="CY8" i="9"/>
  <c r="CY27" i="9"/>
  <c r="CX8" i="9"/>
  <c r="CH8" i="9"/>
  <c r="CG8" i="9"/>
  <c r="CG27" i="9"/>
  <c r="BQ8" i="9"/>
  <c r="BQ27" i="9"/>
  <c r="BP8" i="9"/>
  <c r="AZ8" i="9"/>
  <c r="AY8" i="9"/>
  <c r="AY27" i="9"/>
  <c r="AI8" i="9"/>
  <c r="AI27" i="9"/>
  <c r="AH8" i="9"/>
  <c r="R8" i="9"/>
  <c r="Q8" i="9"/>
  <c r="Q32" i="9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T50" i="7"/>
  <c r="B50" i="7"/>
  <c r="A50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T49" i="7"/>
  <c r="B49" i="7"/>
  <c r="A49" i="7"/>
  <c r="U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T48" i="7"/>
  <c r="B48" i="7"/>
  <c r="A48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T47" i="7"/>
  <c r="B47" i="7"/>
  <c r="A47" i="7"/>
  <c r="A137" i="13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T46" i="7"/>
  <c r="B46" i="7"/>
  <c r="A46" i="7"/>
  <c r="A117" i="13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T45" i="7"/>
  <c r="B45" i="7"/>
  <c r="A45" i="7"/>
  <c r="A135" i="13"/>
  <c r="U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T44" i="7"/>
  <c r="B44" i="7"/>
  <c r="A44" i="7"/>
  <c r="A115" i="13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T43" i="7"/>
  <c r="B43" i="7"/>
  <c r="B133" i="13"/>
  <c r="A43" i="7"/>
  <c r="A133" i="13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T42" i="7"/>
  <c r="B42" i="7"/>
  <c r="B132" i="13"/>
  <c r="A42" i="7"/>
  <c r="A113" i="13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B41" i="7"/>
  <c r="A41" i="7"/>
  <c r="A131" i="13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T40" i="7"/>
  <c r="B40" i="7"/>
  <c r="B130" i="13"/>
  <c r="A40" i="7"/>
  <c r="A111" i="13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T39" i="7"/>
  <c r="B39" i="7"/>
  <c r="B129" i="13"/>
  <c r="A39" i="7"/>
  <c r="A129" i="13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T38" i="7"/>
  <c r="B38" i="7"/>
  <c r="B128" i="13"/>
  <c r="A38" i="7"/>
  <c r="A109" i="13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T37" i="7"/>
  <c r="B37" i="7"/>
  <c r="A37" i="7"/>
  <c r="A127" i="13"/>
  <c r="P36" i="7"/>
  <c r="O36" i="7"/>
  <c r="O51" i="7"/>
  <c r="N36" i="7"/>
  <c r="M36" i="7"/>
  <c r="L36" i="7"/>
  <c r="K36" i="7"/>
  <c r="J36" i="7"/>
  <c r="I36" i="7"/>
  <c r="H36" i="7"/>
  <c r="G36" i="7"/>
  <c r="F36" i="7"/>
  <c r="E36" i="7"/>
  <c r="D36" i="7"/>
  <c r="C36" i="7"/>
  <c r="T36" i="7"/>
  <c r="B36" i="7"/>
  <c r="B126" i="13"/>
  <c r="A36" i="7"/>
  <c r="A107" i="13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T35" i="7"/>
  <c r="B35" i="7"/>
  <c r="B125" i="13"/>
  <c r="A35" i="7"/>
  <c r="A125" i="13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T34" i="7"/>
  <c r="B34" i="7"/>
  <c r="B124" i="13"/>
  <c r="A34" i="7"/>
  <c r="A105" i="13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T33" i="7"/>
  <c r="B33" i="7"/>
  <c r="B104" i="13"/>
  <c r="A33" i="7"/>
  <c r="A123" i="13"/>
  <c r="P32" i="7"/>
  <c r="P51" i="7"/>
  <c r="O32" i="7"/>
  <c r="N32" i="7"/>
  <c r="M32" i="7"/>
  <c r="L32" i="7"/>
  <c r="L51" i="7"/>
  <c r="K32" i="7"/>
  <c r="J32" i="7"/>
  <c r="I32" i="7"/>
  <c r="H32" i="7"/>
  <c r="H51" i="7"/>
  <c r="G32" i="7"/>
  <c r="F32" i="7"/>
  <c r="E32" i="7"/>
  <c r="D32" i="7"/>
  <c r="D51" i="7"/>
  <c r="C32" i="7"/>
  <c r="B32" i="7"/>
  <c r="B122" i="13"/>
  <c r="A32" i="7"/>
  <c r="A122" i="13"/>
  <c r="IT27" i="7"/>
  <c r="IS27" i="7"/>
  <c r="IR27" i="7"/>
  <c r="IQ27" i="7"/>
  <c r="IP27" i="7"/>
  <c r="IO27" i="7"/>
  <c r="IN27" i="7"/>
  <c r="IM27" i="7"/>
  <c r="IL27" i="7"/>
  <c r="IK27" i="7"/>
  <c r="IJ27" i="7"/>
  <c r="II27" i="7"/>
  <c r="IH27" i="7"/>
  <c r="IG27" i="7"/>
  <c r="IC27" i="7"/>
  <c r="IB27" i="7"/>
  <c r="IA27" i="7"/>
  <c r="HZ27" i="7"/>
  <c r="HY27" i="7"/>
  <c r="HX27" i="7"/>
  <c r="HW27" i="7"/>
  <c r="HV27" i="7"/>
  <c r="HU27" i="7"/>
  <c r="HT27" i="7"/>
  <c r="HS27" i="7"/>
  <c r="HR27" i="7"/>
  <c r="HQ27" i="7"/>
  <c r="HP27" i="7"/>
  <c r="HL27" i="7"/>
  <c r="HK27" i="7"/>
  <c r="HJ27" i="7"/>
  <c r="HI27" i="7"/>
  <c r="HH27" i="7"/>
  <c r="HG27" i="7"/>
  <c r="HF27" i="7"/>
  <c r="HE27" i="7"/>
  <c r="HD27" i="7"/>
  <c r="HC27" i="7"/>
  <c r="HB27" i="7"/>
  <c r="HA27" i="7"/>
  <c r="GZ27" i="7"/>
  <c r="GY27" i="7"/>
  <c r="GU27" i="7"/>
  <c r="GT27" i="7"/>
  <c r="GS27" i="7"/>
  <c r="GR27" i="7"/>
  <c r="GQ27" i="7"/>
  <c r="GP27" i="7"/>
  <c r="GO27" i="7"/>
  <c r="GN27" i="7"/>
  <c r="GM27" i="7"/>
  <c r="GL27" i="7"/>
  <c r="GK27" i="7"/>
  <c r="GJ27" i="7"/>
  <c r="GI27" i="7"/>
  <c r="GH27" i="7"/>
  <c r="GD27" i="7"/>
  <c r="GC27" i="7"/>
  <c r="GB27" i="7"/>
  <c r="GA27" i="7"/>
  <c r="FZ27" i="7"/>
  <c r="FY27" i="7"/>
  <c r="FX27" i="7"/>
  <c r="FW27" i="7"/>
  <c r="FV27" i="7"/>
  <c r="FU27" i="7"/>
  <c r="FT27" i="7"/>
  <c r="FS27" i="7"/>
  <c r="FR27" i="7"/>
  <c r="FQ27" i="7"/>
  <c r="FM27" i="7"/>
  <c r="FL27" i="7"/>
  <c r="FK27" i="7"/>
  <c r="FJ27" i="7"/>
  <c r="FI27" i="7"/>
  <c r="FH27" i="7"/>
  <c r="FG27" i="7"/>
  <c r="FF27" i="7"/>
  <c r="FE27" i="7"/>
  <c r="FD27" i="7"/>
  <c r="FC27" i="7"/>
  <c r="FB27" i="7"/>
  <c r="FA27" i="7"/>
  <c r="EZ27" i="7"/>
  <c r="EV27" i="7"/>
  <c r="EU27" i="7"/>
  <c r="ET27" i="7"/>
  <c r="ES27" i="7"/>
  <c r="ER27" i="7"/>
  <c r="EQ27" i="7"/>
  <c r="EP27" i="7"/>
  <c r="EO27" i="7"/>
  <c r="EN27" i="7"/>
  <c r="EM27" i="7"/>
  <c r="EL27" i="7"/>
  <c r="EK27" i="7"/>
  <c r="EJ27" i="7"/>
  <c r="EI27" i="7"/>
  <c r="EE27" i="7"/>
  <c r="ED27" i="7"/>
  <c r="EC27" i="7"/>
  <c r="EB27" i="7"/>
  <c r="EA27" i="7"/>
  <c r="DZ27" i="7"/>
  <c r="DY27" i="7"/>
  <c r="DX27" i="7"/>
  <c r="DW27" i="7"/>
  <c r="DV27" i="7"/>
  <c r="DU27" i="7"/>
  <c r="DT27" i="7"/>
  <c r="DS27" i="7"/>
  <c r="DR27" i="7"/>
  <c r="DN27" i="7"/>
  <c r="DM27" i="7"/>
  <c r="DL27" i="7"/>
  <c r="DK27" i="7"/>
  <c r="DJ27" i="7"/>
  <c r="DI27" i="7"/>
  <c r="DH27" i="7"/>
  <c r="DG27" i="7"/>
  <c r="DF27" i="7"/>
  <c r="DE27" i="7"/>
  <c r="DD27" i="7"/>
  <c r="DC27" i="7"/>
  <c r="DB27" i="7"/>
  <c r="DA27" i="7"/>
  <c r="CW27" i="7"/>
  <c r="CV27" i="7"/>
  <c r="CU27" i="7"/>
  <c r="CT27" i="7"/>
  <c r="CS27" i="7"/>
  <c r="CR27" i="7"/>
  <c r="CQ27" i="7"/>
  <c r="CP27" i="7"/>
  <c r="CO27" i="7"/>
  <c r="CN27" i="7"/>
  <c r="CM27" i="7"/>
  <c r="CL27" i="7"/>
  <c r="CK27" i="7"/>
  <c r="CJ27" i="7"/>
  <c r="CF27" i="7"/>
  <c r="CE27" i="7"/>
  <c r="CD27" i="7"/>
  <c r="CC27" i="7"/>
  <c r="CB27" i="7"/>
  <c r="CA27" i="7"/>
  <c r="BZ27" i="7"/>
  <c r="BY27" i="7"/>
  <c r="BX27" i="7"/>
  <c r="BW27" i="7"/>
  <c r="BV27" i="7"/>
  <c r="BU27" i="7"/>
  <c r="BT27" i="7"/>
  <c r="BS27" i="7"/>
  <c r="BO27" i="7"/>
  <c r="BN27" i="7"/>
  <c r="BM27" i="7"/>
  <c r="BL27" i="7"/>
  <c r="BK27" i="7"/>
  <c r="BJ27" i="7"/>
  <c r="BI27" i="7"/>
  <c r="BH27" i="7"/>
  <c r="BG27" i="7"/>
  <c r="BF27" i="7"/>
  <c r="BE27" i="7"/>
  <c r="BD27" i="7"/>
  <c r="BC27" i="7"/>
  <c r="BB27" i="7"/>
  <c r="AX27" i="7"/>
  <c r="AW27" i="7"/>
  <c r="AV27" i="7"/>
  <c r="AU27" i="7"/>
  <c r="AT27" i="7"/>
  <c r="AS27" i="7"/>
  <c r="AR27" i="7"/>
  <c r="AQ27" i="7"/>
  <c r="AP27" i="7"/>
  <c r="AO27" i="7"/>
  <c r="AN27" i="7"/>
  <c r="AM27" i="7"/>
  <c r="AL27" i="7"/>
  <c r="AK27" i="7"/>
  <c r="AG27" i="7"/>
  <c r="AF27" i="7"/>
  <c r="AE27" i="7"/>
  <c r="AD27" i="7"/>
  <c r="AC27" i="7"/>
  <c r="AB27" i="7"/>
  <c r="AA27" i="7"/>
  <c r="Z27" i="7"/>
  <c r="Y27" i="7"/>
  <c r="X27" i="7"/>
  <c r="W27" i="7"/>
  <c r="V27" i="7"/>
  <c r="U27" i="7"/>
  <c r="T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IV26" i="7"/>
  <c r="IU26" i="7"/>
  <c r="IE26" i="7"/>
  <c r="ID26" i="7"/>
  <c r="HN26" i="7"/>
  <c r="HM26" i="7"/>
  <c r="GW26" i="7"/>
  <c r="GV26" i="7"/>
  <c r="GF26" i="7"/>
  <c r="GE26" i="7"/>
  <c r="FO26" i="7"/>
  <c r="FN26" i="7"/>
  <c r="EX26" i="7"/>
  <c r="EW26" i="7"/>
  <c r="EG26" i="7"/>
  <c r="EF26" i="7"/>
  <c r="DP26" i="7"/>
  <c r="DO26" i="7"/>
  <c r="CY26" i="7"/>
  <c r="CX26" i="7"/>
  <c r="CH26" i="7"/>
  <c r="CG26" i="7"/>
  <c r="BQ26" i="7"/>
  <c r="BP26" i="7"/>
  <c r="AZ26" i="7"/>
  <c r="AY26" i="7"/>
  <c r="AI26" i="7"/>
  <c r="AH26" i="7"/>
  <c r="R26" i="7"/>
  <c r="Q26" i="7"/>
  <c r="Q50" i="7"/>
  <c r="IV25" i="7"/>
  <c r="IU25" i="7"/>
  <c r="IE25" i="7"/>
  <c r="ID25" i="7"/>
  <c r="HN25" i="7"/>
  <c r="HM25" i="7"/>
  <c r="GW25" i="7"/>
  <c r="GV25" i="7"/>
  <c r="GF25" i="7"/>
  <c r="GE25" i="7"/>
  <c r="FO25" i="7"/>
  <c r="FN25" i="7"/>
  <c r="EX25" i="7"/>
  <c r="EW25" i="7"/>
  <c r="EG25" i="7"/>
  <c r="EF25" i="7"/>
  <c r="DP25" i="7"/>
  <c r="DO25" i="7"/>
  <c r="CY25" i="7"/>
  <c r="CX25" i="7"/>
  <c r="CH25" i="7"/>
  <c r="CG25" i="7"/>
  <c r="BQ25" i="7"/>
  <c r="BP25" i="7"/>
  <c r="AZ25" i="7"/>
  <c r="AY25" i="7"/>
  <c r="AI25" i="7"/>
  <c r="AH25" i="7"/>
  <c r="R25" i="7"/>
  <c r="Q25" i="7"/>
  <c r="IV24" i="7"/>
  <c r="IU24" i="7"/>
  <c r="IE24" i="7"/>
  <c r="ID24" i="7"/>
  <c r="HN24" i="7"/>
  <c r="HM24" i="7"/>
  <c r="GW24" i="7"/>
  <c r="GV24" i="7"/>
  <c r="GF24" i="7"/>
  <c r="GE24" i="7"/>
  <c r="FO24" i="7"/>
  <c r="FN24" i="7"/>
  <c r="EX24" i="7"/>
  <c r="EW24" i="7"/>
  <c r="EG24" i="7"/>
  <c r="EF24" i="7"/>
  <c r="DP24" i="7"/>
  <c r="DO24" i="7"/>
  <c r="CY24" i="7"/>
  <c r="CX24" i="7"/>
  <c r="CH24" i="7"/>
  <c r="CG24" i="7"/>
  <c r="BQ24" i="7"/>
  <c r="BP24" i="7"/>
  <c r="AZ24" i="7"/>
  <c r="AY24" i="7"/>
  <c r="AI24" i="7"/>
  <c r="AH24" i="7"/>
  <c r="R24" i="7"/>
  <c r="Q24" i="7"/>
  <c r="Q48" i="7"/>
  <c r="IV23" i="7"/>
  <c r="IU23" i="7"/>
  <c r="IE23" i="7"/>
  <c r="ID23" i="7"/>
  <c r="HN23" i="7"/>
  <c r="HM23" i="7"/>
  <c r="GW23" i="7"/>
  <c r="GV23" i="7"/>
  <c r="GF23" i="7"/>
  <c r="GE23" i="7"/>
  <c r="FO23" i="7"/>
  <c r="FN23" i="7"/>
  <c r="EX23" i="7"/>
  <c r="EW23" i="7"/>
  <c r="EG23" i="7"/>
  <c r="EF23" i="7"/>
  <c r="DP23" i="7"/>
  <c r="DO23" i="7"/>
  <c r="CY23" i="7"/>
  <c r="CX23" i="7"/>
  <c r="CH23" i="7"/>
  <c r="CG23" i="7"/>
  <c r="BQ23" i="7"/>
  <c r="BP23" i="7"/>
  <c r="AZ23" i="7"/>
  <c r="AY23" i="7"/>
  <c r="AI23" i="7"/>
  <c r="AH23" i="7"/>
  <c r="R23" i="7"/>
  <c r="Q23" i="7"/>
  <c r="IV22" i="7"/>
  <c r="IU22" i="7"/>
  <c r="IE22" i="7"/>
  <c r="ID22" i="7"/>
  <c r="HN22" i="7"/>
  <c r="HM22" i="7"/>
  <c r="GW22" i="7"/>
  <c r="GV22" i="7"/>
  <c r="GF22" i="7"/>
  <c r="GE22" i="7"/>
  <c r="FO22" i="7"/>
  <c r="FN22" i="7"/>
  <c r="EX22" i="7"/>
  <c r="EW22" i="7"/>
  <c r="EG22" i="7"/>
  <c r="EF22" i="7"/>
  <c r="DP22" i="7"/>
  <c r="DO22" i="7"/>
  <c r="CY22" i="7"/>
  <c r="CX22" i="7"/>
  <c r="CH22" i="7"/>
  <c r="CG22" i="7"/>
  <c r="BQ22" i="7"/>
  <c r="BP22" i="7"/>
  <c r="AZ22" i="7"/>
  <c r="AY22" i="7"/>
  <c r="AI22" i="7"/>
  <c r="AH22" i="7"/>
  <c r="R22" i="7"/>
  <c r="Q22" i="7"/>
  <c r="Q46" i="7"/>
  <c r="IV21" i="7"/>
  <c r="IU21" i="7"/>
  <c r="IE21" i="7"/>
  <c r="ID21" i="7"/>
  <c r="HN21" i="7"/>
  <c r="HM21" i="7"/>
  <c r="GW21" i="7"/>
  <c r="GV21" i="7"/>
  <c r="GF21" i="7"/>
  <c r="GE21" i="7"/>
  <c r="FO21" i="7"/>
  <c r="FN21" i="7"/>
  <c r="EX21" i="7"/>
  <c r="EW21" i="7"/>
  <c r="EG21" i="7"/>
  <c r="EF21" i="7"/>
  <c r="DP21" i="7"/>
  <c r="DO21" i="7"/>
  <c r="CY21" i="7"/>
  <c r="CX21" i="7"/>
  <c r="CH21" i="7"/>
  <c r="CG21" i="7"/>
  <c r="BQ21" i="7"/>
  <c r="BP21" i="7"/>
  <c r="AZ21" i="7"/>
  <c r="AY21" i="7"/>
  <c r="AI21" i="7"/>
  <c r="AH21" i="7"/>
  <c r="R21" i="7"/>
  <c r="Q21" i="7"/>
  <c r="IV20" i="7"/>
  <c r="IU20" i="7"/>
  <c r="IE20" i="7"/>
  <c r="ID20" i="7"/>
  <c r="HN20" i="7"/>
  <c r="HM20" i="7"/>
  <c r="GW20" i="7"/>
  <c r="GV20" i="7"/>
  <c r="GF20" i="7"/>
  <c r="GE20" i="7"/>
  <c r="FO20" i="7"/>
  <c r="FN20" i="7"/>
  <c r="EX20" i="7"/>
  <c r="EW20" i="7"/>
  <c r="EG20" i="7"/>
  <c r="EF20" i="7"/>
  <c r="DP20" i="7"/>
  <c r="DO20" i="7"/>
  <c r="CY20" i="7"/>
  <c r="CX20" i="7"/>
  <c r="CH20" i="7"/>
  <c r="CG20" i="7"/>
  <c r="BQ20" i="7"/>
  <c r="BP20" i="7"/>
  <c r="AZ20" i="7"/>
  <c r="AY20" i="7"/>
  <c r="AI20" i="7"/>
  <c r="AH20" i="7"/>
  <c r="R20" i="7"/>
  <c r="Q20" i="7"/>
  <c r="Q44" i="7"/>
  <c r="IV19" i="7"/>
  <c r="IU19" i="7"/>
  <c r="IE19" i="7"/>
  <c r="ID19" i="7"/>
  <c r="HN19" i="7"/>
  <c r="HM19" i="7"/>
  <c r="GW19" i="7"/>
  <c r="GV19" i="7"/>
  <c r="GF19" i="7"/>
  <c r="GE19" i="7"/>
  <c r="FO19" i="7"/>
  <c r="FN19" i="7"/>
  <c r="EX19" i="7"/>
  <c r="EW19" i="7"/>
  <c r="EG19" i="7"/>
  <c r="EF19" i="7"/>
  <c r="DP19" i="7"/>
  <c r="DO19" i="7"/>
  <c r="CY19" i="7"/>
  <c r="CX19" i="7"/>
  <c r="CH19" i="7"/>
  <c r="CG19" i="7"/>
  <c r="BQ19" i="7"/>
  <c r="BP19" i="7"/>
  <c r="AZ19" i="7"/>
  <c r="AY19" i="7"/>
  <c r="AI19" i="7"/>
  <c r="AH19" i="7"/>
  <c r="R19" i="7"/>
  <c r="Q19" i="7"/>
  <c r="IV18" i="7"/>
  <c r="IU18" i="7"/>
  <c r="IE18" i="7"/>
  <c r="ID18" i="7"/>
  <c r="HN18" i="7"/>
  <c r="HM18" i="7"/>
  <c r="GW18" i="7"/>
  <c r="GV18" i="7"/>
  <c r="GF18" i="7"/>
  <c r="GE18" i="7"/>
  <c r="FO18" i="7"/>
  <c r="FN18" i="7"/>
  <c r="EX18" i="7"/>
  <c r="EW18" i="7"/>
  <c r="EG18" i="7"/>
  <c r="EF18" i="7"/>
  <c r="DP18" i="7"/>
  <c r="DO18" i="7"/>
  <c r="CY18" i="7"/>
  <c r="CX18" i="7"/>
  <c r="CH18" i="7"/>
  <c r="CG18" i="7"/>
  <c r="BQ18" i="7"/>
  <c r="BP18" i="7"/>
  <c r="AZ18" i="7"/>
  <c r="AY18" i="7"/>
  <c r="AI18" i="7"/>
  <c r="AH18" i="7"/>
  <c r="R18" i="7"/>
  <c r="Q18" i="7"/>
  <c r="Q42" i="7"/>
  <c r="IV17" i="7"/>
  <c r="IU17" i="7"/>
  <c r="IE17" i="7"/>
  <c r="ID17" i="7"/>
  <c r="HN17" i="7"/>
  <c r="HM17" i="7"/>
  <c r="GW17" i="7"/>
  <c r="GV17" i="7"/>
  <c r="GF17" i="7"/>
  <c r="GE17" i="7"/>
  <c r="FO17" i="7"/>
  <c r="FN17" i="7"/>
  <c r="EX17" i="7"/>
  <c r="EW17" i="7"/>
  <c r="EG17" i="7"/>
  <c r="EF17" i="7"/>
  <c r="DP17" i="7"/>
  <c r="DO17" i="7"/>
  <c r="CY17" i="7"/>
  <c r="CX17" i="7"/>
  <c r="CH17" i="7"/>
  <c r="CG17" i="7"/>
  <c r="BQ17" i="7"/>
  <c r="BP17" i="7"/>
  <c r="AZ17" i="7"/>
  <c r="AY17" i="7"/>
  <c r="AI17" i="7"/>
  <c r="AH17" i="7"/>
  <c r="R17" i="7"/>
  <c r="Q17" i="7"/>
  <c r="IV16" i="7"/>
  <c r="IU16" i="7"/>
  <c r="IE16" i="7"/>
  <c r="ID16" i="7"/>
  <c r="HN16" i="7"/>
  <c r="HM16" i="7"/>
  <c r="GW16" i="7"/>
  <c r="GV16" i="7"/>
  <c r="GF16" i="7"/>
  <c r="GE16" i="7"/>
  <c r="FO16" i="7"/>
  <c r="FN16" i="7"/>
  <c r="EX16" i="7"/>
  <c r="EW16" i="7"/>
  <c r="EG16" i="7"/>
  <c r="EF16" i="7"/>
  <c r="DP16" i="7"/>
  <c r="DO16" i="7"/>
  <c r="CY16" i="7"/>
  <c r="CX16" i="7"/>
  <c r="CH16" i="7"/>
  <c r="CG16" i="7"/>
  <c r="BQ16" i="7"/>
  <c r="BP16" i="7"/>
  <c r="AZ16" i="7"/>
  <c r="AY16" i="7"/>
  <c r="AI16" i="7"/>
  <c r="AH16" i="7"/>
  <c r="R16" i="7"/>
  <c r="Q16" i="7"/>
  <c r="IV15" i="7"/>
  <c r="IU15" i="7"/>
  <c r="IE15" i="7"/>
  <c r="ID15" i="7"/>
  <c r="HN15" i="7"/>
  <c r="HM15" i="7"/>
  <c r="GW15" i="7"/>
  <c r="GV15" i="7"/>
  <c r="GF15" i="7"/>
  <c r="GE15" i="7"/>
  <c r="FO15" i="7"/>
  <c r="FN15" i="7"/>
  <c r="EX15" i="7"/>
  <c r="EW15" i="7"/>
  <c r="EG15" i="7"/>
  <c r="EF15" i="7"/>
  <c r="DP15" i="7"/>
  <c r="DO15" i="7"/>
  <c r="CY15" i="7"/>
  <c r="CX15" i="7"/>
  <c r="CH15" i="7"/>
  <c r="CG15" i="7"/>
  <c r="BQ15" i="7"/>
  <c r="BP15" i="7"/>
  <c r="AZ15" i="7"/>
  <c r="AY15" i="7"/>
  <c r="AI15" i="7"/>
  <c r="AH15" i="7"/>
  <c r="R15" i="7"/>
  <c r="R39" i="7"/>
  <c r="Q15" i="7"/>
  <c r="IV14" i="7"/>
  <c r="IU14" i="7"/>
  <c r="IE14" i="7"/>
  <c r="ID14" i="7"/>
  <c r="HN14" i="7"/>
  <c r="HM14" i="7"/>
  <c r="GW14" i="7"/>
  <c r="GV14" i="7"/>
  <c r="GF14" i="7"/>
  <c r="GE14" i="7"/>
  <c r="FO14" i="7"/>
  <c r="FN14" i="7"/>
  <c r="EX14" i="7"/>
  <c r="EW14" i="7"/>
  <c r="EG14" i="7"/>
  <c r="EF14" i="7"/>
  <c r="DP14" i="7"/>
  <c r="DO14" i="7"/>
  <c r="CY14" i="7"/>
  <c r="CX14" i="7"/>
  <c r="CH14" i="7"/>
  <c r="CG14" i="7"/>
  <c r="BQ14" i="7"/>
  <c r="BP14" i="7"/>
  <c r="AZ14" i="7"/>
  <c r="AY14" i="7"/>
  <c r="AI14" i="7"/>
  <c r="AH14" i="7"/>
  <c r="R14" i="7"/>
  <c r="Q14" i="7"/>
  <c r="IV13" i="7"/>
  <c r="IU13" i="7"/>
  <c r="IE13" i="7"/>
  <c r="ID13" i="7"/>
  <c r="HN13" i="7"/>
  <c r="HM13" i="7"/>
  <c r="GW13" i="7"/>
  <c r="GV13" i="7"/>
  <c r="GF13" i="7"/>
  <c r="GE13" i="7"/>
  <c r="FO13" i="7"/>
  <c r="FN13" i="7"/>
  <c r="EX13" i="7"/>
  <c r="EW13" i="7"/>
  <c r="EG13" i="7"/>
  <c r="EF13" i="7"/>
  <c r="DP13" i="7"/>
  <c r="DO13" i="7"/>
  <c r="CY13" i="7"/>
  <c r="CX13" i="7"/>
  <c r="CH13" i="7"/>
  <c r="CG13" i="7"/>
  <c r="BQ13" i="7"/>
  <c r="BP13" i="7"/>
  <c r="AZ13" i="7"/>
  <c r="AY13" i="7"/>
  <c r="AI13" i="7"/>
  <c r="AH13" i="7"/>
  <c r="R13" i="7"/>
  <c r="R37" i="7"/>
  <c r="Q13" i="7"/>
  <c r="IV12" i="7"/>
  <c r="IU12" i="7"/>
  <c r="IE12" i="7"/>
  <c r="ID12" i="7"/>
  <c r="HN12" i="7"/>
  <c r="HM12" i="7"/>
  <c r="GW12" i="7"/>
  <c r="GV12" i="7"/>
  <c r="GF12" i="7"/>
  <c r="GE12" i="7"/>
  <c r="FO12" i="7"/>
  <c r="FN12" i="7"/>
  <c r="EX12" i="7"/>
  <c r="EW12" i="7"/>
  <c r="EG12" i="7"/>
  <c r="EF12" i="7"/>
  <c r="DP12" i="7"/>
  <c r="DO12" i="7"/>
  <c r="CY12" i="7"/>
  <c r="CX12" i="7"/>
  <c r="CH12" i="7"/>
  <c r="CG12" i="7"/>
  <c r="BQ12" i="7"/>
  <c r="BP12" i="7"/>
  <c r="AZ12" i="7"/>
  <c r="AY12" i="7"/>
  <c r="AI12" i="7"/>
  <c r="AH12" i="7"/>
  <c r="R12" i="7"/>
  <c r="Q12" i="7"/>
  <c r="IV11" i="7"/>
  <c r="IU11" i="7"/>
  <c r="IE11" i="7"/>
  <c r="ID11" i="7"/>
  <c r="HN11" i="7"/>
  <c r="HM11" i="7"/>
  <c r="GW11" i="7"/>
  <c r="GV11" i="7"/>
  <c r="GF11" i="7"/>
  <c r="GE11" i="7"/>
  <c r="FO11" i="7"/>
  <c r="FN11" i="7"/>
  <c r="EX11" i="7"/>
  <c r="EW11" i="7"/>
  <c r="EG11" i="7"/>
  <c r="EF11" i="7"/>
  <c r="DP11" i="7"/>
  <c r="DO11" i="7"/>
  <c r="CY11" i="7"/>
  <c r="CX11" i="7"/>
  <c r="CH11" i="7"/>
  <c r="CG11" i="7"/>
  <c r="BQ11" i="7"/>
  <c r="BP11" i="7"/>
  <c r="AZ11" i="7"/>
  <c r="AY11" i="7"/>
  <c r="AI11" i="7"/>
  <c r="AH11" i="7"/>
  <c r="R11" i="7"/>
  <c r="R35" i="7"/>
  <c r="Q11" i="7"/>
  <c r="IV10" i="7"/>
  <c r="IU10" i="7"/>
  <c r="IE10" i="7"/>
  <c r="ID10" i="7"/>
  <c r="HN10" i="7"/>
  <c r="HM10" i="7"/>
  <c r="GW10" i="7"/>
  <c r="GV10" i="7"/>
  <c r="GF10" i="7"/>
  <c r="GE10" i="7"/>
  <c r="FO10" i="7"/>
  <c r="FN10" i="7"/>
  <c r="EX10" i="7"/>
  <c r="EW10" i="7"/>
  <c r="EG10" i="7"/>
  <c r="EF10" i="7"/>
  <c r="DP10" i="7"/>
  <c r="DO10" i="7"/>
  <c r="CY10" i="7"/>
  <c r="CX10" i="7"/>
  <c r="CH10" i="7"/>
  <c r="CG10" i="7"/>
  <c r="BQ10" i="7"/>
  <c r="BP10" i="7"/>
  <c r="AZ10" i="7"/>
  <c r="AY10" i="7"/>
  <c r="AI10" i="7"/>
  <c r="AH10" i="7"/>
  <c r="R10" i="7"/>
  <c r="Q10" i="7"/>
  <c r="IV9" i="7"/>
  <c r="IU9" i="7"/>
  <c r="IE9" i="7"/>
  <c r="ID9" i="7"/>
  <c r="HN9" i="7"/>
  <c r="HM9" i="7"/>
  <c r="GW9" i="7"/>
  <c r="GV9" i="7"/>
  <c r="GF9" i="7"/>
  <c r="GE9" i="7"/>
  <c r="FO9" i="7"/>
  <c r="FN9" i="7"/>
  <c r="EX9" i="7"/>
  <c r="EW9" i="7"/>
  <c r="EG9" i="7"/>
  <c r="EF9" i="7"/>
  <c r="DP9" i="7"/>
  <c r="DO9" i="7"/>
  <c r="CY9" i="7"/>
  <c r="CX9" i="7"/>
  <c r="CH9" i="7"/>
  <c r="CG9" i="7"/>
  <c r="BQ9" i="7"/>
  <c r="BP9" i="7"/>
  <c r="AZ9" i="7"/>
  <c r="AY9" i="7"/>
  <c r="AI9" i="7"/>
  <c r="AH9" i="7"/>
  <c r="R9" i="7"/>
  <c r="R33" i="7"/>
  <c r="Q9" i="7"/>
  <c r="Q33" i="7"/>
  <c r="U33" i="7"/>
  <c r="IV8" i="7"/>
  <c r="IU8" i="7"/>
  <c r="IU27" i="7"/>
  <c r="IE8" i="7"/>
  <c r="ID8" i="7"/>
  <c r="ID27" i="7"/>
  <c r="HN8" i="7"/>
  <c r="HM8" i="7"/>
  <c r="HM27" i="7"/>
  <c r="GW8" i="7"/>
  <c r="GV8" i="7"/>
  <c r="GV27" i="7"/>
  <c r="GF8" i="7"/>
  <c r="GE8" i="7"/>
  <c r="GE27" i="7"/>
  <c r="FO8" i="7"/>
  <c r="FN8" i="7"/>
  <c r="FN27" i="7"/>
  <c r="EX8" i="7"/>
  <c r="EW8" i="7"/>
  <c r="EW27" i="7"/>
  <c r="EG8" i="7"/>
  <c r="EF8" i="7"/>
  <c r="EF27" i="7"/>
  <c r="DP8" i="7"/>
  <c r="DO8" i="7"/>
  <c r="DO27" i="7"/>
  <c r="CY8" i="7"/>
  <c r="CX8" i="7"/>
  <c r="CX27" i="7"/>
  <c r="CH8" i="7"/>
  <c r="CG8" i="7"/>
  <c r="CG27" i="7"/>
  <c r="BQ8" i="7"/>
  <c r="BP8" i="7"/>
  <c r="BP27" i="7"/>
  <c r="AZ8" i="7"/>
  <c r="AY8" i="7"/>
  <c r="AY27" i="7"/>
  <c r="AI8" i="7"/>
  <c r="AH8" i="7"/>
  <c r="AH27" i="7"/>
  <c r="R8" i="7"/>
  <c r="Q8" i="7"/>
  <c r="Q27" i="7"/>
  <c r="P50" i="6"/>
  <c r="O50" i="6"/>
  <c r="N50" i="6"/>
  <c r="M50" i="6"/>
  <c r="L50" i="6"/>
  <c r="K50" i="6"/>
  <c r="J50" i="6"/>
  <c r="I50" i="6"/>
  <c r="H50" i="6"/>
  <c r="G50" i="6"/>
  <c r="F50" i="6"/>
  <c r="E50" i="6"/>
  <c r="D50" i="6"/>
  <c r="C50" i="6"/>
  <c r="U50" i="6"/>
  <c r="B50" i="6"/>
  <c r="A50" i="6"/>
  <c r="P49" i="6"/>
  <c r="O49" i="6"/>
  <c r="N49" i="6"/>
  <c r="M49" i="6"/>
  <c r="L49" i="6"/>
  <c r="K49" i="6"/>
  <c r="J49" i="6"/>
  <c r="I49" i="6"/>
  <c r="H49" i="6"/>
  <c r="G49" i="6"/>
  <c r="F49" i="6"/>
  <c r="E49" i="6"/>
  <c r="D49" i="6"/>
  <c r="C49" i="6"/>
  <c r="U49" i="6"/>
  <c r="B49" i="6"/>
  <c r="A49" i="6"/>
  <c r="P48" i="6"/>
  <c r="O48" i="6"/>
  <c r="N48" i="6"/>
  <c r="M48" i="6"/>
  <c r="L48" i="6"/>
  <c r="K48" i="6"/>
  <c r="J48" i="6"/>
  <c r="I48" i="6"/>
  <c r="H48" i="6"/>
  <c r="G48" i="6"/>
  <c r="F48" i="6"/>
  <c r="E48" i="6"/>
  <c r="D48" i="6"/>
  <c r="C48" i="6"/>
  <c r="U48" i="6"/>
  <c r="B48" i="6"/>
  <c r="A48" i="6"/>
  <c r="P47" i="6"/>
  <c r="O47" i="6"/>
  <c r="N47" i="6"/>
  <c r="M47" i="6"/>
  <c r="L47" i="6"/>
  <c r="K47" i="6"/>
  <c r="J47" i="6"/>
  <c r="I47" i="6"/>
  <c r="H47" i="6"/>
  <c r="G47" i="6"/>
  <c r="F47" i="6"/>
  <c r="E47" i="6"/>
  <c r="D47" i="6"/>
  <c r="C47" i="6"/>
  <c r="U47" i="6"/>
  <c r="B47" i="6"/>
  <c r="A47" i="6"/>
  <c r="P46" i="6"/>
  <c r="O46" i="6"/>
  <c r="N46" i="6"/>
  <c r="M46" i="6"/>
  <c r="L46" i="6"/>
  <c r="K46" i="6"/>
  <c r="J46" i="6"/>
  <c r="I46" i="6"/>
  <c r="H46" i="6"/>
  <c r="G46" i="6"/>
  <c r="F46" i="6"/>
  <c r="E46" i="6"/>
  <c r="D46" i="6"/>
  <c r="C46" i="6"/>
  <c r="U46" i="6"/>
  <c r="B46" i="6"/>
  <c r="B98" i="13"/>
  <c r="A46" i="6"/>
  <c r="A98" i="13"/>
  <c r="P45" i="6"/>
  <c r="O45" i="6"/>
  <c r="N45" i="6"/>
  <c r="M45" i="6"/>
  <c r="L45" i="6"/>
  <c r="K45" i="6"/>
  <c r="J45" i="6"/>
  <c r="I45" i="6"/>
  <c r="H45" i="6"/>
  <c r="G45" i="6"/>
  <c r="F45" i="6"/>
  <c r="E45" i="6"/>
  <c r="D45" i="6"/>
  <c r="C45" i="6"/>
  <c r="U45" i="6"/>
  <c r="B45" i="6"/>
  <c r="B97" i="13"/>
  <c r="A45" i="6"/>
  <c r="A97" i="13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U44" i="6"/>
  <c r="B44" i="6"/>
  <c r="B96" i="13"/>
  <c r="A44" i="6"/>
  <c r="P43" i="6"/>
  <c r="O43" i="6"/>
  <c r="N43" i="6"/>
  <c r="M43" i="6"/>
  <c r="L43" i="6"/>
  <c r="K43" i="6"/>
  <c r="J43" i="6"/>
  <c r="I43" i="6"/>
  <c r="H43" i="6"/>
  <c r="G43" i="6"/>
  <c r="F43" i="6"/>
  <c r="E43" i="6"/>
  <c r="D43" i="6"/>
  <c r="C43" i="6"/>
  <c r="U43" i="6"/>
  <c r="B43" i="6"/>
  <c r="A43" i="6"/>
  <c r="A95" i="13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C42" i="6"/>
  <c r="U42" i="6"/>
  <c r="B42" i="6"/>
  <c r="B94" i="13"/>
  <c r="A42" i="6"/>
  <c r="A94" i="13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B41" i="6"/>
  <c r="B93" i="13"/>
  <c r="A41" i="6"/>
  <c r="A93" i="13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T40" i="6"/>
  <c r="B40" i="6"/>
  <c r="B92" i="13"/>
  <c r="A40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B39" i="6"/>
  <c r="B91" i="13"/>
  <c r="A39" i="6"/>
  <c r="A91" i="13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B38" i="6"/>
  <c r="B90" i="13"/>
  <c r="A38" i="6"/>
  <c r="A90" i="13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C37" i="6"/>
  <c r="B37" i="6"/>
  <c r="B89" i="13"/>
  <c r="A37" i="6"/>
  <c r="A89" i="13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B36" i="6"/>
  <c r="B88" i="13"/>
  <c r="A36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T35" i="6"/>
  <c r="B35" i="6"/>
  <c r="B87" i="13"/>
  <c r="A35" i="6"/>
  <c r="A87" i="13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T34" i="6"/>
  <c r="B34" i="6"/>
  <c r="B86" i="13"/>
  <c r="A34" i="6"/>
  <c r="A86" i="13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B33" i="6"/>
  <c r="B85" i="13"/>
  <c r="A33" i="6"/>
  <c r="A85" i="13"/>
  <c r="P32" i="6"/>
  <c r="P51" i="6"/>
  <c r="O32" i="6"/>
  <c r="O51" i="6"/>
  <c r="N32" i="6"/>
  <c r="N51" i="6"/>
  <c r="M32" i="6"/>
  <c r="L32" i="6"/>
  <c r="L51" i="6"/>
  <c r="K32" i="6"/>
  <c r="K51" i="6"/>
  <c r="J32" i="6"/>
  <c r="J51" i="6"/>
  <c r="I32" i="6"/>
  <c r="H32" i="6"/>
  <c r="H51" i="6"/>
  <c r="G32" i="6"/>
  <c r="G51" i="6"/>
  <c r="F32" i="6"/>
  <c r="F51" i="6"/>
  <c r="E32" i="6"/>
  <c r="D32" i="6"/>
  <c r="D51" i="6"/>
  <c r="C32" i="6"/>
  <c r="B32" i="6"/>
  <c r="B84" i="13"/>
  <c r="A32" i="6"/>
  <c r="IT27" i="6"/>
  <c r="IS27" i="6"/>
  <c r="IR27" i="6"/>
  <c r="IQ27" i="6"/>
  <c r="IP27" i="6"/>
  <c r="IO27" i="6"/>
  <c r="IN27" i="6"/>
  <c r="IM27" i="6"/>
  <c r="IL27" i="6"/>
  <c r="IK27" i="6"/>
  <c r="IJ27" i="6"/>
  <c r="II27" i="6"/>
  <c r="IH27" i="6"/>
  <c r="IG27" i="6"/>
  <c r="IC27" i="6"/>
  <c r="IB27" i="6"/>
  <c r="IA27" i="6"/>
  <c r="HZ27" i="6"/>
  <c r="HY27" i="6"/>
  <c r="HX27" i="6"/>
  <c r="HW27" i="6"/>
  <c r="HV27" i="6"/>
  <c r="HU27" i="6"/>
  <c r="HT27" i="6"/>
  <c r="HS27" i="6"/>
  <c r="HR27" i="6"/>
  <c r="HQ27" i="6"/>
  <c r="HP27" i="6"/>
  <c r="HL27" i="6"/>
  <c r="HK27" i="6"/>
  <c r="HJ27" i="6"/>
  <c r="HI27" i="6"/>
  <c r="HH27" i="6"/>
  <c r="HG27" i="6"/>
  <c r="HF27" i="6"/>
  <c r="HE27" i="6"/>
  <c r="HD27" i="6"/>
  <c r="HC27" i="6"/>
  <c r="HB27" i="6"/>
  <c r="HA27" i="6"/>
  <c r="GZ27" i="6"/>
  <c r="GY27" i="6"/>
  <c r="GU27" i="6"/>
  <c r="GT27" i="6"/>
  <c r="GS27" i="6"/>
  <c r="GR27" i="6"/>
  <c r="GQ27" i="6"/>
  <c r="GP27" i="6"/>
  <c r="GO27" i="6"/>
  <c r="GN27" i="6"/>
  <c r="GM27" i="6"/>
  <c r="GL27" i="6"/>
  <c r="GK27" i="6"/>
  <c r="GJ27" i="6"/>
  <c r="GI27" i="6"/>
  <c r="GH27" i="6"/>
  <c r="GD27" i="6"/>
  <c r="GC27" i="6"/>
  <c r="GB27" i="6"/>
  <c r="GA27" i="6"/>
  <c r="FZ27" i="6"/>
  <c r="FY27" i="6"/>
  <c r="FX27" i="6"/>
  <c r="FW27" i="6"/>
  <c r="FV27" i="6"/>
  <c r="FU27" i="6"/>
  <c r="FT27" i="6"/>
  <c r="FS27" i="6"/>
  <c r="FR27" i="6"/>
  <c r="FQ27" i="6"/>
  <c r="FM27" i="6"/>
  <c r="FL27" i="6"/>
  <c r="FK27" i="6"/>
  <c r="FJ27" i="6"/>
  <c r="FI27" i="6"/>
  <c r="FH27" i="6"/>
  <c r="FG27" i="6"/>
  <c r="FF27" i="6"/>
  <c r="FE27" i="6"/>
  <c r="FD27" i="6"/>
  <c r="FC27" i="6"/>
  <c r="FB27" i="6"/>
  <c r="FA27" i="6"/>
  <c r="EZ27" i="6"/>
  <c r="EV27" i="6"/>
  <c r="EU27" i="6"/>
  <c r="ET27" i="6"/>
  <c r="ES27" i="6"/>
  <c r="ER27" i="6"/>
  <c r="EQ27" i="6"/>
  <c r="EP27" i="6"/>
  <c r="EO27" i="6"/>
  <c r="EN27" i="6"/>
  <c r="EM27" i="6"/>
  <c r="EL27" i="6"/>
  <c r="EK27" i="6"/>
  <c r="EJ27" i="6"/>
  <c r="EI27" i="6"/>
  <c r="EE27" i="6"/>
  <c r="ED27" i="6"/>
  <c r="EC27" i="6"/>
  <c r="EB27" i="6"/>
  <c r="EA27" i="6"/>
  <c r="DZ27" i="6"/>
  <c r="DY27" i="6"/>
  <c r="DX27" i="6"/>
  <c r="DW27" i="6"/>
  <c r="DV27" i="6"/>
  <c r="DU27" i="6"/>
  <c r="DT27" i="6"/>
  <c r="DS27" i="6"/>
  <c r="DR27" i="6"/>
  <c r="DN27" i="6"/>
  <c r="DM27" i="6"/>
  <c r="DL27" i="6"/>
  <c r="DK27" i="6"/>
  <c r="DJ27" i="6"/>
  <c r="DI27" i="6"/>
  <c r="DH27" i="6"/>
  <c r="DG27" i="6"/>
  <c r="DF27" i="6"/>
  <c r="DE27" i="6"/>
  <c r="DD27" i="6"/>
  <c r="DC27" i="6"/>
  <c r="DB27" i="6"/>
  <c r="DA27" i="6"/>
  <c r="CW27" i="6"/>
  <c r="CV27" i="6"/>
  <c r="CU27" i="6"/>
  <c r="CT27" i="6"/>
  <c r="CS27" i="6"/>
  <c r="CR27" i="6"/>
  <c r="CQ27" i="6"/>
  <c r="CP27" i="6"/>
  <c r="CO27" i="6"/>
  <c r="CN27" i="6"/>
  <c r="CM27" i="6"/>
  <c r="CL27" i="6"/>
  <c r="CK27" i="6"/>
  <c r="CJ27" i="6"/>
  <c r="CF27" i="6"/>
  <c r="CE27" i="6"/>
  <c r="CD27" i="6"/>
  <c r="CC27" i="6"/>
  <c r="CB27" i="6"/>
  <c r="CA27" i="6"/>
  <c r="BZ27" i="6"/>
  <c r="BY27" i="6"/>
  <c r="BX27" i="6"/>
  <c r="BW27" i="6"/>
  <c r="BV27" i="6"/>
  <c r="BU27" i="6"/>
  <c r="BT27" i="6"/>
  <c r="BS27" i="6"/>
  <c r="BO27" i="6"/>
  <c r="BN27" i="6"/>
  <c r="BM27" i="6"/>
  <c r="BL27" i="6"/>
  <c r="BK27" i="6"/>
  <c r="BJ27" i="6"/>
  <c r="BI27" i="6"/>
  <c r="BH27" i="6"/>
  <c r="BG27" i="6"/>
  <c r="BF27" i="6"/>
  <c r="BE27" i="6"/>
  <c r="BD27" i="6"/>
  <c r="BC27" i="6"/>
  <c r="BB27" i="6"/>
  <c r="AX27" i="6"/>
  <c r="AW27" i="6"/>
  <c r="AV27" i="6"/>
  <c r="AU27" i="6"/>
  <c r="AT27" i="6"/>
  <c r="AS27" i="6"/>
  <c r="AR27" i="6"/>
  <c r="AQ27" i="6"/>
  <c r="AP27" i="6"/>
  <c r="AO27" i="6"/>
  <c r="AN27" i="6"/>
  <c r="AM27" i="6"/>
  <c r="AL27" i="6"/>
  <c r="AK27" i="6"/>
  <c r="AG27" i="6"/>
  <c r="AF27" i="6"/>
  <c r="AE27" i="6"/>
  <c r="AD27" i="6"/>
  <c r="AC27" i="6"/>
  <c r="AB27" i="6"/>
  <c r="AA27" i="6"/>
  <c r="Z27" i="6"/>
  <c r="Y27" i="6"/>
  <c r="X27" i="6"/>
  <c r="W27" i="6"/>
  <c r="V27" i="6"/>
  <c r="U27" i="6"/>
  <c r="T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IV26" i="6"/>
  <c r="IU26" i="6"/>
  <c r="IE26" i="6"/>
  <c r="ID26" i="6"/>
  <c r="HN26" i="6"/>
  <c r="HM26" i="6"/>
  <c r="GW26" i="6"/>
  <c r="GV26" i="6"/>
  <c r="GF26" i="6"/>
  <c r="GE26" i="6"/>
  <c r="FO26" i="6"/>
  <c r="FN26" i="6"/>
  <c r="EX26" i="6"/>
  <c r="EW26" i="6"/>
  <c r="EG26" i="6"/>
  <c r="EF26" i="6"/>
  <c r="DP26" i="6"/>
  <c r="DO26" i="6"/>
  <c r="CY26" i="6"/>
  <c r="CX26" i="6"/>
  <c r="CH26" i="6"/>
  <c r="CG26" i="6"/>
  <c r="BQ26" i="6"/>
  <c r="BP26" i="6"/>
  <c r="AZ26" i="6"/>
  <c r="AY26" i="6"/>
  <c r="AI26" i="6"/>
  <c r="AH26" i="6"/>
  <c r="R26" i="6"/>
  <c r="Q26" i="6"/>
  <c r="IV25" i="6"/>
  <c r="IU25" i="6"/>
  <c r="IE25" i="6"/>
  <c r="ID25" i="6"/>
  <c r="HN25" i="6"/>
  <c r="HM25" i="6"/>
  <c r="GW25" i="6"/>
  <c r="GV25" i="6"/>
  <c r="GF25" i="6"/>
  <c r="GE25" i="6"/>
  <c r="FO25" i="6"/>
  <c r="FN25" i="6"/>
  <c r="EX25" i="6"/>
  <c r="EW25" i="6"/>
  <c r="EG25" i="6"/>
  <c r="EF25" i="6"/>
  <c r="DP25" i="6"/>
  <c r="DO25" i="6"/>
  <c r="CY25" i="6"/>
  <c r="CX25" i="6"/>
  <c r="CH25" i="6"/>
  <c r="CG25" i="6"/>
  <c r="BQ25" i="6"/>
  <c r="BP25" i="6"/>
  <c r="AZ25" i="6"/>
  <c r="AY25" i="6"/>
  <c r="AI25" i="6"/>
  <c r="AH25" i="6"/>
  <c r="R25" i="6"/>
  <c r="R49" i="6"/>
  <c r="Q25" i="6"/>
  <c r="Q49" i="6"/>
  <c r="IV24" i="6"/>
  <c r="IU24" i="6"/>
  <c r="IE24" i="6"/>
  <c r="ID24" i="6"/>
  <c r="HN24" i="6"/>
  <c r="HM24" i="6"/>
  <c r="GW24" i="6"/>
  <c r="GV24" i="6"/>
  <c r="GF24" i="6"/>
  <c r="GE24" i="6"/>
  <c r="FO24" i="6"/>
  <c r="FN24" i="6"/>
  <c r="EX24" i="6"/>
  <c r="EW24" i="6"/>
  <c r="EG24" i="6"/>
  <c r="EF24" i="6"/>
  <c r="DP24" i="6"/>
  <c r="DO24" i="6"/>
  <c r="CY24" i="6"/>
  <c r="CX24" i="6"/>
  <c r="CH24" i="6"/>
  <c r="CG24" i="6"/>
  <c r="BQ24" i="6"/>
  <c r="BP24" i="6"/>
  <c r="AZ24" i="6"/>
  <c r="AY24" i="6"/>
  <c r="AI24" i="6"/>
  <c r="AH24" i="6"/>
  <c r="R24" i="6"/>
  <c r="Q24" i="6"/>
  <c r="IV23" i="6"/>
  <c r="IU23" i="6"/>
  <c r="IE23" i="6"/>
  <c r="ID23" i="6"/>
  <c r="HN23" i="6"/>
  <c r="HM23" i="6"/>
  <c r="GW23" i="6"/>
  <c r="GV23" i="6"/>
  <c r="GF23" i="6"/>
  <c r="GE23" i="6"/>
  <c r="FO23" i="6"/>
  <c r="FN23" i="6"/>
  <c r="EX23" i="6"/>
  <c r="EW23" i="6"/>
  <c r="EG23" i="6"/>
  <c r="EF23" i="6"/>
  <c r="DP23" i="6"/>
  <c r="DO23" i="6"/>
  <c r="CY23" i="6"/>
  <c r="CX23" i="6"/>
  <c r="CH23" i="6"/>
  <c r="CG23" i="6"/>
  <c r="BQ23" i="6"/>
  <c r="BP23" i="6"/>
  <c r="AZ23" i="6"/>
  <c r="AY23" i="6"/>
  <c r="AI23" i="6"/>
  <c r="AH23" i="6"/>
  <c r="R23" i="6"/>
  <c r="R47" i="6"/>
  <c r="Q23" i="6"/>
  <c r="IV22" i="6"/>
  <c r="IU22" i="6"/>
  <c r="IE22" i="6"/>
  <c r="ID22" i="6"/>
  <c r="HN22" i="6"/>
  <c r="HM22" i="6"/>
  <c r="GW22" i="6"/>
  <c r="GV22" i="6"/>
  <c r="GF22" i="6"/>
  <c r="GE22" i="6"/>
  <c r="FO22" i="6"/>
  <c r="FN22" i="6"/>
  <c r="EX22" i="6"/>
  <c r="EW22" i="6"/>
  <c r="EG22" i="6"/>
  <c r="EF22" i="6"/>
  <c r="DP22" i="6"/>
  <c r="DO22" i="6"/>
  <c r="CY22" i="6"/>
  <c r="CX22" i="6"/>
  <c r="CH22" i="6"/>
  <c r="CG22" i="6"/>
  <c r="BQ22" i="6"/>
  <c r="BP22" i="6"/>
  <c r="AZ22" i="6"/>
  <c r="AY22" i="6"/>
  <c r="AI22" i="6"/>
  <c r="AH22" i="6"/>
  <c r="R22" i="6"/>
  <c r="Q22" i="6"/>
  <c r="IV21" i="6"/>
  <c r="IU21" i="6"/>
  <c r="IE21" i="6"/>
  <c r="ID21" i="6"/>
  <c r="HN21" i="6"/>
  <c r="HM21" i="6"/>
  <c r="GW21" i="6"/>
  <c r="GV21" i="6"/>
  <c r="GF21" i="6"/>
  <c r="GE21" i="6"/>
  <c r="FO21" i="6"/>
  <c r="FN21" i="6"/>
  <c r="EX21" i="6"/>
  <c r="EW21" i="6"/>
  <c r="EG21" i="6"/>
  <c r="EF21" i="6"/>
  <c r="DP21" i="6"/>
  <c r="DO21" i="6"/>
  <c r="CY21" i="6"/>
  <c r="CX21" i="6"/>
  <c r="CH21" i="6"/>
  <c r="CG21" i="6"/>
  <c r="BQ21" i="6"/>
  <c r="BP21" i="6"/>
  <c r="AZ21" i="6"/>
  <c r="AY21" i="6"/>
  <c r="AI21" i="6"/>
  <c r="AH21" i="6"/>
  <c r="R21" i="6"/>
  <c r="R45" i="6"/>
  <c r="Q21" i="6"/>
  <c r="Q45" i="6"/>
  <c r="IV20" i="6"/>
  <c r="IU20" i="6"/>
  <c r="IE20" i="6"/>
  <c r="ID20" i="6"/>
  <c r="HN20" i="6"/>
  <c r="HM20" i="6"/>
  <c r="GW20" i="6"/>
  <c r="GV20" i="6"/>
  <c r="GF20" i="6"/>
  <c r="GE20" i="6"/>
  <c r="FO20" i="6"/>
  <c r="FN20" i="6"/>
  <c r="EX20" i="6"/>
  <c r="EW20" i="6"/>
  <c r="EG20" i="6"/>
  <c r="EF20" i="6"/>
  <c r="DP20" i="6"/>
  <c r="DO20" i="6"/>
  <c r="CY20" i="6"/>
  <c r="CX20" i="6"/>
  <c r="CH20" i="6"/>
  <c r="CG20" i="6"/>
  <c r="BQ20" i="6"/>
  <c r="BP20" i="6"/>
  <c r="AZ20" i="6"/>
  <c r="AY20" i="6"/>
  <c r="AI20" i="6"/>
  <c r="AH20" i="6"/>
  <c r="R20" i="6"/>
  <c r="Q20" i="6"/>
  <c r="IV19" i="6"/>
  <c r="IU19" i="6"/>
  <c r="IE19" i="6"/>
  <c r="ID19" i="6"/>
  <c r="HN19" i="6"/>
  <c r="HM19" i="6"/>
  <c r="GW19" i="6"/>
  <c r="GV19" i="6"/>
  <c r="GF19" i="6"/>
  <c r="GE19" i="6"/>
  <c r="FO19" i="6"/>
  <c r="FN19" i="6"/>
  <c r="EX19" i="6"/>
  <c r="EW19" i="6"/>
  <c r="EG19" i="6"/>
  <c r="EF19" i="6"/>
  <c r="DP19" i="6"/>
  <c r="DO19" i="6"/>
  <c r="CY19" i="6"/>
  <c r="CX19" i="6"/>
  <c r="CH19" i="6"/>
  <c r="CG19" i="6"/>
  <c r="BQ19" i="6"/>
  <c r="BP19" i="6"/>
  <c r="AZ19" i="6"/>
  <c r="AY19" i="6"/>
  <c r="AI19" i="6"/>
  <c r="AH19" i="6"/>
  <c r="R19" i="6"/>
  <c r="R43" i="6"/>
  <c r="Q19" i="6"/>
  <c r="IV18" i="6"/>
  <c r="IU18" i="6"/>
  <c r="IE18" i="6"/>
  <c r="ID18" i="6"/>
  <c r="HN18" i="6"/>
  <c r="HM18" i="6"/>
  <c r="GW18" i="6"/>
  <c r="GV18" i="6"/>
  <c r="GF18" i="6"/>
  <c r="GE18" i="6"/>
  <c r="FO18" i="6"/>
  <c r="FN18" i="6"/>
  <c r="EX18" i="6"/>
  <c r="EW18" i="6"/>
  <c r="EG18" i="6"/>
  <c r="EF18" i="6"/>
  <c r="DP18" i="6"/>
  <c r="DO18" i="6"/>
  <c r="CY18" i="6"/>
  <c r="CX18" i="6"/>
  <c r="CH18" i="6"/>
  <c r="CG18" i="6"/>
  <c r="BQ18" i="6"/>
  <c r="BP18" i="6"/>
  <c r="AZ18" i="6"/>
  <c r="AY18" i="6"/>
  <c r="AI18" i="6"/>
  <c r="AH18" i="6"/>
  <c r="R18" i="6"/>
  <c r="Q18" i="6"/>
  <c r="IV17" i="6"/>
  <c r="IU17" i="6"/>
  <c r="IE17" i="6"/>
  <c r="ID17" i="6"/>
  <c r="HN17" i="6"/>
  <c r="HM17" i="6"/>
  <c r="GW17" i="6"/>
  <c r="GV17" i="6"/>
  <c r="GF17" i="6"/>
  <c r="GE17" i="6"/>
  <c r="FO17" i="6"/>
  <c r="FN17" i="6"/>
  <c r="EX17" i="6"/>
  <c r="EW17" i="6"/>
  <c r="EG17" i="6"/>
  <c r="EF17" i="6"/>
  <c r="DP17" i="6"/>
  <c r="DO17" i="6"/>
  <c r="CY17" i="6"/>
  <c r="CX17" i="6"/>
  <c r="CH17" i="6"/>
  <c r="CG17" i="6"/>
  <c r="BQ17" i="6"/>
  <c r="BP17" i="6"/>
  <c r="AZ17" i="6"/>
  <c r="AY17" i="6"/>
  <c r="AI17" i="6"/>
  <c r="AH17" i="6"/>
  <c r="R17" i="6"/>
  <c r="R41" i="6"/>
  <c r="Q17" i="6"/>
  <c r="Q41" i="6"/>
  <c r="IV16" i="6"/>
  <c r="IU16" i="6"/>
  <c r="IE16" i="6"/>
  <c r="ID16" i="6"/>
  <c r="HN16" i="6"/>
  <c r="HM16" i="6"/>
  <c r="GW16" i="6"/>
  <c r="GV16" i="6"/>
  <c r="GF16" i="6"/>
  <c r="GE16" i="6"/>
  <c r="FO16" i="6"/>
  <c r="FN16" i="6"/>
  <c r="EX16" i="6"/>
  <c r="EW16" i="6"/>
  <c r="EG16" i="6"/>
  <c r="EF16" i="6"/>
  <c r="DP16" i="6"/>
  <c r="DO16" i="6"/>
  <c r="CY16" i="6"/>
  <c r="CX16" i="6"/>
  <c r="CH16" i="6"/>
  <c r="CG16" i="6"/>
  <c r="BQ16" i="6"/>
  <c r="BP16" i="6"/>
  <c r="AZ16" i="6"/>
  <c r="AY16" i="6"/>
  <c r="AI16" i="6"/>
  <c r="AH16" i="6"/>
  <c r="R16" i="6"/>
  <c r="Q16" i="6"/>
  <c r="IV15" i="6"/>
  <c r="IU15" i="6"/>
  <c r="IE15" i="6"/>
  <c r="ID15" i="6"/>
  <c r="HN15" i="6"/>
  <c r="HM15" i="6"/>
  <c r="GW15" i="6"/>
  <c r="GV15" i="6"/>
  <c r="GF15" i="6"/>
  <c r="GE15" i="6"/>
  <c r="FO15" i="6"/>
  <c r="FN15" i="6"/>
  <c r="EX15" i="6"/>
  <c r="EW15" i="6"/>
  <c r="EG15" i="6"/>
  <c r="EF15" i="6"/>
  <c r="DP15" i="6"/>
  <c r="DO15" i="6"/>
  <c r="CY15" i="6"/>
  <c r="CX15" i="6"/>
  <c r="CH15" i="6"/>
  <c r="CG15" i="6"/>
  <c r="BQ15" i="6"/>
  <c r="BP15" i="6"/>
  <c r="AZ15" i="6"/>
  <c r="AY15" i="6"/>
  <c r="AI15" i="6"/>
  <c r="AH15" i="6"/>
  <c r="R15" i="6"/>
  <c r="R39" i="6"/>
  <c r="Q15" i="6"/>
  <c r="Q39" i="6"/>
  <c r="IV14" i="6"/>
  <c r="IU14" i="6"/>
  <c r="IE14" i="6"/>
  <c r="ID14" i="6"/>
  <c r="HN14" i="6"/>
  <c r="HM14" i="6"/>
  <c r="GW14" i="6"/>
  <c r="GV14" i="6"/>
  <c r="GF14" i="6"/>
  <c r="GE14" i="6"/>
  <c r="FO14" i="6"/>
  <c r="FN14" i="6"/>
  <c r="EX14" i="6"/>
  <c r="EW14" i="6"/>
  <c r="EG14" i="6"/>
  <c r="EF14" i="6"/>
  <c r="DP14" i="6"/>
  <c r="DO14" i="6"/>
  <c r="CY14" i="6"/>
  <c r="CX14" i="6"/>
  <c r="CH14" i="6"/>
  <c r="CG14" i="6"/>
  <c r="BQ14" i="6"/>
  <c r="BP14" i="6"/>
  <c r="AZ14" i="6"/>
  <c r="AY14" i="6"/>
  <c r="AI14" i="6"/>
  <c r="AH14" i="6"/>
  <c r="R14" i="6"/>
  <c r="Q14" i="6"/>
  <c r="IV13" i="6"/>
  <c r="IU13" i="6"/>
  <c r="IE13" i="6"/>
  <c r="ID13" i="6"/>
  <c r="HN13" i="6"/>
  <c r="HM13" i="6"/>
  <c r="GW13" i="6"/>
  <c r="GV13" i="6"/>
  <c r="GF13" i="6"/>
  <c r="GE13" i="6"/>
  <c r="FO13" i="6"/>
  <c r="FN13" i="6"/>
  <c r="EX13" i="6"/>
  <c r="EW13" i="6"/>
  <c r="EG13" i="6"/>
  <c r="EF13" i="6"/>
  <c r="DP13" i="6"/>
  <c r="DO13" i="6"/>
  <c r="CY13" i="6"/>
  <c r="CX13" i="6"/>
  <c r="CH13" i="6"/>
  <c r="CG13" i="6"/>
  <c r="BQ13" i="6"/>
  <c r="BP13" i="6"/>
  <c r="AZ13" i="6"/>
  <c r="AY13" i="6"/>
  <c r="AI13" i="6"/>
  <c r="AH13" i="6"/>
  <c r="R13" i="6"/>
  <c r="R37" i="6"/>
  <c r="Q13" i="6"/>
  <c r="Q37" i="6"/>
  <c r="IV12" i="6"/>
  <c r="IU12" i="6"/>
  <c r="IE12" i="6"/>
  <c r="ID12" i="6"/>
  <c r="HN12" i="6"/>
  <c r="HM12" i="6"/>
  <c r="GW12" i="6"/>
  <c r="GV12" i="6"/>
  <c r="GF12" i="6"/>
  <c r="GE12" i="6"/>
  <c r="FO12" i="6"/>
  <c r="FN12" i="6"/>
  <c r="EX12" i="6"/>
  <c r="EW12" i="6"/>
  <c r="EG12" i="6"/>
  <c r="EF12" i="6"/>
  <c r="DP12" i="6"/>
  <c r="DO12" i="6"/>
  <c r="CY12" i="6"/>
  <c r="CX12" i="6"/>
  <c r="CH12" i="6"/>
  <c r="CG12" i="6"/>
  <c r="BQ12" i="6"/>
  <c r="BP12" i="6"/>
  <c r="AZ12" i="6"/>
  <c r="AY12" i="6"/>
  <c r="AI12" i="6"/>
  <c r="AH12" i="6"/>
  <c r="R12" i="6"/>
  <c r="Q12" i="6"/>
  <c r="IV11" i="6"/>
  <c r="IU11" i="6"/>
  <c r="IE11" i="6"/>
  <c r="ID11" i="6"/>
  <c r="HN11" i="6"/>
  <c r="HM11" i="6"/>
  <c r="GW11" i="6"/>
  <c r="GV11" i="6"/>
  <c r="GF11" i="6"/>
  <c r="GE11" i="6"/>
  <c r="FO11" i="6"/>
  <c r="FN11" i="6"/>
  <c r="EX11" i="6"/>
  <c r="EW11" i="6"/>
  <c r="EG11" i="6"/>
  <c r="EF11" i="6"/>
  <c r="DP11" i="6"/>
  <c r="DO11" i="6"/>
  <c r="CY11" i="6"/>
  <c r="CX11" i="6"/>
  <c r="CH11" i="6"/>
  <c r="CG11" i="6"/>
  <c r="BQ11" i="6"/>
  <c r="BP11" i="6"/>
  <c r="AZ11" i="6"/>
  <c r="AY11" i="6"/>
  <c r="AI11" i="6"/>
  <c r="AH11" i="6"/>
  <c r="R11" i="6"/>
  <c r="R35" i="6"/>
  <c r="Q11" i="6"/>
  <c r="Q35" i="6"/>
  <c r="IV10" i="6"/>
  <c r="IU10" i="6"/>
  <c r="IE10" i="6"/>
  <c r="ID10" i="6"/>
  <c r="HN10" i="6"/>
  <c r="HM10" i="6"/>
  <c r="GW10" i="6"/>
  <c r="GV10" i="6"/>
  <c r="GF10" i="6"/>
  <c r="GE10" i="6"/>
  <c r="FO10" i="6"/>
  <c r="FN10" i="6"/>
  <c r="EX10" i="6"/>
  <c r="EW10" i="6"/>
  <c r="EG10" i="6"/>
  <c r="EF10" i="6"/>
  <c r="DP10" i="6"/>
  <c r="DO10" i="6"/>
  <c r="CY10" i="6"/>
  <c r="CX10" i="6"/>
  <c r="CH10" i="6"/>
  <c r="CG10" i="6"/>
  <c r="BQ10" i="6"/>
  <c r="BP10" i="6"/>
  <c r="AZ10" i="6"/>
  <c r="AY10" i="6"/>
  <c r="AI10" i="6"/>
  <c r="AH10" i="6"/>
  <c r="R10" i="6"/>
  <c r="Q10" i="6"/>
  <c r="IV9" i="6"/>
  <c r="IU9" i="6"/>
  <c r="IE9" i="6"/>
  <c r="ID9" i="6"/>
  <c r="HN9" i="6"/>
  <c r="HM9" i="6"/>
  <c r="GW9" i="6"/>
  <c r="GV9" i="6"/>
  <c r="GF9" i="6"/>
  <c r="GE9" i="6"/>
  <c r="FO9" i="6"/>
  <c r="FN9" i="6"/>
  <c r="EX9" i="6"/>
  <c r="EW9" i="6"/>
  <c r="EG9" i="6"/>
  <c r="EF9" i="6"/>
  <c r="DP9" i="6"/>
  <c r="DO9" i="6"/>
  <c r="CY9" i="6"/>
  <c r="CX9" i="6"/>
  <c r="CH9" i="6"/>
  <c r="CG9" i="6"/>
  <c r="BQ9" i="6"/>
  <c r="BP9" i="6"/>
  <c r="AZ9" i="6"/>
  <c r="AY9" i="6"/>
  <c r="AI9" i="6"/>
  <c r="AH9" i="6"/>
  <c r="R9" i="6"/>
  <c r="R33" i="6"/>
  <c r="Q9" i="6"/>
  <c r="Q33" i="6"/>
  <c r="IV8" i="6"/>
  <c r="IU8" i="6"/>
  <c r="IU27" i="6"/>
  <c r="IE8" i="6"/>
  <c r="IE27" i="6"/>
  <c r="ID8" i="6"/>
  <c r="HN8" i="6"/>
  <c r="HM8" i="6"/>
  <c r="HM27" i="6"/>
  <c r="GW8" i="6"/>
  <c r="GW27" i="6"/>
  <c r="GV8" i="6"/>
  <c r="GF8" i="6"/>
  <c r="GE8" i="6"/>
  <c r="GE27" i="6"/>
  <c r="FO8" i="6"/>
  <c r="FO27" i="6"/>
  <c r="FN8" i="6"/>
  <c r="EX8" i="6"/>
  <c r="EW8" i="6"/>
  <c r="EW27" i="6"/>
  <c r="EG8" i="6"/>
  <c r="EG27" i="6"/>
  <c r="EF8" i="6"/>
  <c r="DP8" i="6"/>
  <c r="DO8" i="6"/>
  <c r="DO27" i="6"/>
  <c r="CY8" i="6"/>
  <c r="CY27" i="6"/>
  <c r="CX8" i="6"/>
  <c r="CH8" i="6"/>
  <c r="CG8" i="6"/>
  <c r="CG27" i="6"/>
  <c r="BQ8" i="6"/>
  <c r="BQ27" i="6"/>
  <c r="BP8" i="6"/>
  <c r="AZ8" i="6"/>
  <c r="AY8" i="6"/>
  <c r="AY27" i="6"/>
  <c r="AI8" i="6"/>
  <c r="AI27" i="6"/>
  <c r="AH8" i="6"/>
  <c r="R8" i="6"/>
  <c r="Q8" i="6"/>
  <c r="Q27" i="6"/>
  <c r="L51" i="5"/>
  <c r="D51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U50" i="5"/>
  <c r="B50" i="5"/>
  <c r="A50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U49" i="5"/>
  <c r="B49" i="5"/>
  <c r="A49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U48" i="5"/>
  <c r="B48" i="5"/>
  <c r="A48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U47" i="5"/>
  <c r="B47" i="5"/>
  <c r="A47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U46" i="5"/>
  <c r="B46" i="5"/>
  <c r="B79" i="13"/>
  <c r="A46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U45" i="5"/>
  <c r="B45" i="5"/>
  <c r="B78" i="13"/>
  <c r="A45" i="5"/>
  <c r="A78" i="13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U44" i="5"/>
  <c r="B44" i="5"/>
  <c r="B77" i="13"/>
  <c r="A44" i="5"/>
  <c r="A77" i="13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U43" i="5"/>
  <c r="B43" i="5"/>
  <c r="B76" i="13"/>
  <c r="A43" i="5"/>
  <c r="A76" i="13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U42" i="5"/>
  <c r="B42" i="5"/>
  <c r="B75" i="13"/>
  <c r="A42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B41" i="5"/>
  <c r="B74" i="13"/>
  <c r="A41" i="5"/>
  <c r="A74" i="13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B40" i="5"/>
  <c r="A40" i="5"/>
  <c r="A73" i="13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B39" i="5"/>
  <c r="A39" i="5"/>
  <c r="A72" i="13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B71" i="13"/>
  <c r="A38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B37" i="5"/>
  <c r="B70" i="13"/>
  <c r="A37" i="5"/>
  <c r="A70" i="13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A36" i="5"/>
  <c r="A69" i="13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U35" i="5"/>
  <c r="B35" i="5"/>
  <c r="A35" i="5"/>
  <c r="A68" i="13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B34" i="5"/>
  <c r="B67" i="13"/>
  <c r="A34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B66" i="13"/>
  <c r="A33" i="5"/>
  <c r="A66" i="13"/>
  <c r="P32" i="5"/>
  <c r="P51" i="5"/>
  <c r="O32" i="5"/>
  <c r="O51" i="5"/>
  <c r="N32" i="5"/>
  <c r="N51" i="5"/>
  <c r="M32" i="5"/>
  <c r="L32" i="5"/>
  <c r="K32" i="5"/>
  <c r="K51" i="5"/>
  <c r="J32" i="5"/>
  <c r="J51" i="5"/>
  <c r="I32" i="5"/>
  <c r="H32" i="5"/>
  <c r="H51" i="5"/>
  <c r="G32" i="5"/>
  <c r="G51" i="5"/>
  <c r="F32" i="5"/>
  <c r="F51" i="5"/>
  <c r="E32" i="5"/>
  <c r="D32" i="5"/>
  <c r="C32" i="5"/>
  <c r="C51" i="5"/>
  <c r="B32" i="5"/>
  <c r="B65" i="13"/>
  <c r="A32" i="5"/>
  <c r="A65" i="13"/>
  <c r="IT27" i="5"/>
  <c r="IS27" i="5"/>
  <c r="IR27" i="5"/>
  <c r="IQ27" i="5"/>
  <c r="IP27" i="5"/>
  <c r="IO27" i="5"/>
  <c r="IN27" i="5"/>
  <c r="IM27" i="5"/>
  <c r="IL27" i="5"/>
  <c r="IK27" i="5"/>
  <c r="IJ27" i="5"/>
  <c r="II27" i="5"/>
  <c r="IH27" i="5"/>
  <c r="IG27" i="5"/>
  <c r="IC27" i="5"/>
  <c r="IB27" i="5"/>
  <c r="IA27" i="5"/>
  <c r="HZ27" i="5"/>
  <c r="HY27" i="5"/>
  <c r="HX27" i="5"/>
  <c r="HW27" i="5"/>
  <c r="HV27" i="5"/>
  <c r="HU27" i="5"/>
  <c r="HT27" i="5"/>
  <c r="HS27" i="5"/>
  <c r="HR27" i="5"/>
  <c r="HQ27" i="5"/>
  <c r="HP27" i="5"/>
  <c r="HL27" i="5"/>
  <c r="HK27" i="5"/>
  <c r="HJ27" i="5"/>
  <c r="HI27" i="5"/>
  <c r="HH27" i="5"/>
  <c r="HG27" i="5"/>
  <c r="HF27" i="5"/>
  <c r="HE27" i="5"/>
  <c r="HD27" i="5"/>
  <c r="HC27" i="5"/>
  <c r="HB27" i="5"/>
  <c r="HA27" i="5"/>
  <c r="GZ27" i="5"/>
  <c r="GY27" i="5"/>
  <c r="GU27" i="5"/>
  <c r="GT27" i="5"/>
  <c r="GS27" i="5"/>
  <c r="GR27" i="5"/>
  <c r="GQ27" i="5"/>
  <c r="GP27" i="5"/>
  <c r="GO27" i="5"/>
  <c r="GN27" i="5"/>
  <c r="GM27" i="5"/>
  <c r="GL27" i="5"/>
  <c r="GK27" i="5"/>
  <c r="GJ27" i="5"/>
  <c r="GI27" i="5"/>
  <c r="GH27" i="5"/>
  <c r="GD27" i="5"/>
  <c r="GC27" i="5"/>
  <c r="GB27" i="5"/>
  <c r="GA27" i="5"/>
  <c r="FZ27" i="5"/>
  <c r="FY27" i="5"/>
  <c r="FX27" i="5"/>
  <c r="FW27" i="5"/>
  <c r="FV27" i="5"/>
  <c r="FU27" i="5"/>
  <c r="FT27" i="5"/>
  <c r="FS27" i="5"/>
  <c r="FR27" i="5"/>
  <c r="FQ27" i="5"/>
  <c r="FM27" i="5"/>
  <c r="FL27" i="5"/>
  <c r="FK27" i="5"/>
  <c r="FJ27" i="5"/>
  <c r="FI27" i="5"/>
  <c r="FH27" i="5"/>
  <c r="FG27" i="5"/>
  <c r="FF27" i="5"/>
  <c r="FE27" i="5"/>
  <c r="FD27" i="5"/>
  <c r="FC27" i="5"/>
  <c r="FB27" i="5"/>
  <c r="FA27" i="5"/>
  <c r="EZ27" i="5"/>
  <c r="EV27" i="5"/>
  <c r="EU27" i="5"/>
  <c r="ET27" i="5"/>
  <c r="ES27" i="5"/>
  <c r="ER27" i="5"/>
  <c r="EQ27" i="5"/>
  <c r="EP27" i="5"/>
  <c r="EO27" i="5"/>
  <c r="EN27" i="5"/>
  <c r="EM27" i="5"/>
  <c r="EL27" i="5"/>
  <c r="EK27" i="5"/>
  <c r="EJ27" i="5"/>
  <c r="EI27" i="5"/>
  <c r="EE27" i="5"/>
  <c r="ED27" i="5"/>
  <c r="EC27" i="5"/>
  <c r="EB27" i="5"/>
  <c r="EA27" i="5"/>
  <c r="DZ27" i="5"/>
  <c r="DY27" i="5"/>
  <c r="DX27" i="5"/>
  <c r="DW27" i="5"/>
  <c r="DV27" i="5"/>
  <c r="DU27" i="5"/>
  <c r="DT27" i="5"/>
  <c r="DS27" i="5"/>
  <c r="DR27" i="5"/>
  <c r="DN27" i="5"/>
  <c r="DM27" i="5"/>
  <c r="DL27" i="5"/>
  <c r="DK27" i="5"/>
  <c r="DJ27" i="5"/>
  <c r="DI27" i="5"/>
  <c r="DH27" i="5"/>
  <c r="DG27" i="5"/>
  <c r="DF27" i="5"/>
  <c r="DE27" i="5"/>
  <c r="DD27" i="5"/>
  <c r="DC27" i="5"/>
  <c r="DB27" i="5"/>
  <c r="DA27" i="5"/>
  <c r="CW27" i="5"/>
  <c r="CV27" i="5"/>
  <c r="CU27" i="5"/>
  <c r="CT27" i="5"/>
  <c r="CS27" i="5"/>
  <c r="CR27" i="5"/>
  <c r="CQ27" i="5"/>
  <c r="CP27" i="5"/>
  <c r="CO27" i="5"/>
  <c r="CN27" i="5"/>
  <c r="CM27" i="5"/>
  <c r="CL27" i="5"/>
  <c r="CK27" i="5"/>
  <c r="CJ27" i="5"/>
  <c r="CF27" i="5"/>
  <c r="CE27" i="5"/>
  <c r="CD27" i="5"/>
  <c r="CC27" i="5"/>
  <c r="CB27" i="5"/>
  <c r="CA27" i="5"/>
  <c r="BZ27" i="5"/>
  <c r="BY27" i="5"/>
  <c r="BX27" i="5"/>
  <c r="BW27" i="5"/>
  <c r="BV27" i="5"/>
  <c r="BU27" i="5"/>
  <c r="BT27" i="5"/>
  <c r="BS27" i="5"/>
  <c r="BO27" i="5"/>
  <c r="BN27" i="5"/>
  <c r="BM27" i="5"/>
  <c r="BL27" i="5"/>
  <c r="BK27" i="5"/>
  <c r="BJ27" i="5"/>
  <c r="BI27" i="5"/>
  <c r="BH27" i="5"/>
  <c r="BG27" i="5"/>
  <c r="BF27" i="5"/>
  <c r="BE27" i="5"/>
  <c r="BD27" i="5"/>
  <c r="BC27" i="5"/>
  <c r="BB27" i="5"/>
  <c r="AX27" i="5"/>
  <c r="AW27" i="5"/>
  <c r="AV27" i="5"/>
  <c r="AU27" i="5"/>
  <c r="AT27" i="5"/>
  <c r="AS27" i="5"/>
  <c r="AR27" i="5"/>
  <c r="AQ27" i="5"/>
  <c r="AP27" i="5"/>
  <c r="AO27" i="5"/>
  <c r="AN27" i="5"/>
  <c r="AM27" i="5"/>
  <c r="AL27" i="5"/>
  <c r="AK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IV26" i="5"/>
  <c r="IU26" i="5"/>
  <c r="IE26" i="5"/>
  <c r="ID26" i="5"/>
  <c r="HN26" i="5"/>
  <c r="HM26" i="5"/>
  <c r="GW26" i="5"/>
  <c r="GV26" i="5"/>
  <c r="GF26" i="5"/>
  <c r="GE26" i="5"/>
  <c r="FO26" i="5"/>
  <c r="FN26" i="5"/>
  <c r="EX26" i="5"/>
  <c r="EW26" i="5"/>
  <c r="EG26" i="5"/>
  <c r="EF26" i="5"/>
  <c r="DP26" i="5"/>
  <c r="DO26" i="5"/>
  <c r="CY26" i="5"/>
  <c r="CX26" i="5"/>
  <c r="CH26" i="5"/>
  <c r="CG26" i="5"/>
  <c r="BQ26" i="5"/>
  <c r="BP26" i="5"/>
  <c r="AZ26" i="5"/>
  <c r="AY26" i="5"/>
  <c r="AI26" i="5"/>
  <c r="AH26" i="5"/>
  <c r="R26" i="5"/>
  <c r="Q26" i="5"/>
  <c r="IV25" i="5"/>
  <c r="IU25" i="5"/>
  <c r="IE25" i="5"/>
  <c r="ID25" i="5"/>
  <c r="HN25" i="5"/>
  <c r="HM25" i="5"/>
  <c r="GW25" i="5"/>
  <c r="GV25" i="5"/>
  <c r="GF25" i="5"/>
  <c r="GE25" i="5"/>
  <c r="FO25" i="5"/>
  <c r="FN25" i="5"/>
  <c r="EX25" i="5"/>
  <c r="EW25" i="5"/>
  <c r="EG25" i="5"/>
  <c r="EF25" i="5"/>
  <c r="DP25" i="5"/>
  <c r="DO25" i="5"/>
  <c r="CY25" i="5"/>
  <c r="CX25" i="5"/>
  <c r="CH25" i="5"/>
  <c r="CG25" i="5"/>
  <c r="BQ25" i="5"/>
  <c r="BP25" i="5"/>
  <c r="AZ25" i="5"/>
  <c r="AY25" i="5"/>
  <c r="AI25" i="5"/>
  <c r="AH25" i="5"/>
  <c r="R25" i="5"/>
  <c r="Q25" i="5"/>
  <c r="IV24" i="5"/>
  <c r="IU24" i="5"/>
  <c r="IE24" i="5"/>
  <c r="ID24" i="5"/>
  <c r="HN24" i="5"/>
  <c r="HM24" i="5"/>
  <c r="GW24" i="5"/>
  <c r="GV24" i="5"/>
  <c r="GF24" i="5"/>
  <c r="GE24" i="5"/>
  <c r="FO24" i="5"/>
  <c r="FN24" i="5"/>
  <c r="EX24" i="5"/>
  <c r="EW24" i="5"/>
  <c r="EG24" i="5"/>
  <c r="EF24" i="5"/>
  <c r="DP24" i="5"/>
  <c r="DO24" i="5"/>
  <c r="CY24" i="5"/>
  <c r="CX24" i="5"/>
  <c r="CH24" i="5"/>
  <c r="CG24" i="5"/>
  <c r="BQ24" i="5"/>
  <c r="BP24" i="5"/>
  <c r="AZ24" i="5"/>
  <c r="AY24" i="5"/>
  <c r="AI24" i="5"/>
  <c r="AH24" i="5"/>
  <c r="R24" i="5"/>
  <c r="Q24" i="5"/>
  <c r="IV23" i="5"/>
  <c r="IU23" i="5"/>
  <c r="IE23" i="5"/>
  <c r="ID23" i="5"/>
  <c r="HN23" i="5"/>
  <c r="HM23" i="5"/>
  <c r="GW23" i="5"/>
  <c r="GV23" i="5"/>
  <c r="GF23" i="5"/>
  <c r="GE23" i="5"/>
  <c r="FO23" i="5"/>
  <c r="FN23" i="5"/>
  <c r="EX23" i="5"/>
  <c r="EW23" i="5"/>
  <c r="EG23" i="5"/>
  <c r="EF23" i="5"/>
  <c r="DP23" i="5"/>
  <c r="DO23" i="5"/>
  <c r="CY23" i="5"/>
  <c r="CX23" i="5"/>
  <c r="CH23" i="5"/>
  <c r="CG23" i="5"/>
  <c r="BQ23" i="5"/>
  <c r="BP23" i="5"/>
  <c r="AZ23" i="5"/>
  <c r="AY23" i="5"/>
  <c r="AI23" i="5"/>
  <c r="AH23" i="5"/>
  <c r="R23" i="5"/>
  <c r="Q23" i="5"/>
  <c r="IV22" i="5"/>
  <c r="IU22" i="5"/>
  <c r="IE22" i="5"/>
  <c r="ID22" i="5"/>
  <c r="HN22" i="5"/>
  <c r="HM22" i="5"/>
  <c r="GW22" i="5"/>
  <c r="GV22" i="5"/>
  <c r="GF22" i="5"/>
  <c r="GE22" i="5"/>
  <c r="FO22" i="5"/>
  <c r="FN22" i="5"/>
  <c r="EX22" i="5"/>
  <c r="EW22" i="5"/>
  <c r="EG22" i="5"/>
  <c r="EF22" i="5"/>
  <c r="DP22" i="5"/>
  <c r="DO22" i="5"/>
  <c r="CY22" i="5"/>
  <c r="CX22" i="5"/>
  <c r="CH22" i="5"/>
  <c r="CG22" i="5"/>
  <c r="BQ22" i="5"/>
  <c r="BP22" i="5"/>
  <c r="AZ22" i="5"/>
  <c r="AY22" i="5"/>
  <c r="AI22" i="5"/>
  <c r="AH22" i="5"/>
  <c r="R22" i="5"/>
  <c r="Q22" i="5"/>
  <c r="IV21" i="5"/>
  <c r="IU21" i="5"/>
  <c r="IE21" i="5"/>
  <c r="ID21" i="5"/>
  <c r="HN21" i="5"/>
  <c r="HM21" i="5"/>
  <c r="GW21" i="5"/>
  <c r="GV21" i="5"/>
  <c r="GF21" i="5"/>
  <c r="GE21" i="5"/>
  <c r="FO21" i="5"/>
  <c r="FN21" i="5"/>
  <c r="EX21" i="5"/>
  <c r="EW21" i="5"/>
  <c r="EG21" i="5"/>
  <c r="EF21" i="5"/>
  <c r="DP21" i="5"/>
  <c r="DO21" i="5"/>
  <c r="CY21" i="5"/>
  <c r="CX21" i="5"/>
  <c r="CH21" i="5"/>
  <c r="CG21" i="5"/>
  <c r="BQ21" i="5"/>
  <c r="BP21" i="5"/>
  <c r="AZ21" i="5"/>
  <c r="AY21" i="5"/>
  <c r="AI21" i="5"/>
  <c r="AH21" i="5"/>
  <c r="R21" i="5"/>
  <c r="Q21" i="5"/>
  <c r="IV20" i="5"/>
  <c r="IU20" i="5"/>
  <c r="IE20" i="5"/>
  <c r="ID20" i="5"/>
  <c r="HN20" i="5"/>
  <c r="HM20" i="5"/>
  <c r="GW20" i="5"/>
  <c r="GV20" i="5"/>
  <c r="GF20" i="5"/>
  <c r="GE20" i="5"/>
  <c r="FO20" i="5"/>
  <c r="FN20" i="5"/>
  <c r="EX20" i="5"/>
  <c r="EW20" i="5"/>
  <c r="EG20" i="5"/>
  <c r="EF20" i="5"/>
  <c r="DP20" i="5"/>
  <c r="DO20" i="5"/>
  <c r="CY20" i="5"/>
  <c r="CX20" i="5"/>
  <c r="CH20" i="5"/>
  <c r="CG20" i="5"/>
  <c r="BQ20" i="5"/>
  <c r="BP20" i="5"/>
  <c r="AZ20" i="5"/>
  <c r="AY20" i="5"/>
  <c r="AI20" i="5"/>
  <c r="AH20" i="5"/>
  <c r="R20" i="5"/>
  <c r="Q20" i="5"/>
  <c r="IV19" i="5"/>
  <c r="IU19" i="5"/>
  <c r="IE19" i="5"/>
  <c r="ID19" i="5"/>
  <c r="HN19" i="5"/>
  <c r="HM19" i="5"/>
  <c r="GW19" i="5"/>
  <c r="GV19" i="5"/>
  <c r="GF19" i="5"/>
  <c r="GE19" i="5"/>
  <c r="FO19" i="5"/>
  <c r="FN19" i="5"/>
  <c r="EX19" i="5"/>
  <c r="EW19" i="5"/>
  <c r="EG19" i="5"/>
  <c r="EF19" i="5"/>
  <c r="DP19" i="5"/>
  <c r="DO19" i="5"/>
  <c r="CY19" i="5"/>
  <c r="CX19" i="5"/>
  <c r="CH19" i="5"/>
  <c r="CG19" i="5"/>
  <c r="BQ19" i="5"/>
  <c r="BP19" i="5"/>
  <c r="AZ19" i="5"/>
  <c r="AY19" i="5"/>
  <c r="AI19" i="5"/>
  <c r="AH19" i="5"/>
  <c r="R19" i="5"/>
  <c r="Q19" i="5"/>
  <c r="IV18" i="5"/>
  <c r="IU18" i="5"/>
  <c r="IE18" i="5"/>
  <c r="ID18" i="5"/>
  <c r="HN18" i="5"/>
  <c r="HM18" i="5"/>
  <c r="GW18" i="5"/>
  <c r="GV18" i="5"/>
  <c r="GF18" i="5"/>
  <c r="GE18" i="5"/>
  <c r="FO18" i="5"/>
  <c r="FN18" i="5"/>
  <c r="EX18" i="5"/>
  <c r="EW18" i="5"/>
  <c r="EG18" i="5"/>
  <c r="EF18" i="5"/>
  <c r="DP18" i="5"/>
  <c r="DO18" i="5"/>
  <c r="CY18" i="5"/>
  <c r="CX18" i="5"/>
  <c r="CH18" i="5"/>
  <c r="CG18" i="5"/>
  <c r="BQ18" i="5"/>
  <c r="BP18" i="5"/>
  <c r="AZ18" i="5"/>
  <c r="AY18" i="5"/>
  <c r="AI18" i="5"/>
  <c r="AH18" i="5"/>
  <c r="R18" i="5"/>
  <c r="Q18" i="5"/>
  <c r="IV17" i="5"/>
  <c r="IU17" i="5"/>
  <c r="IE17" i="5"/>
  <c r="ID17" i="5"/>
  <c r="HN17" i="5"/>
  <c r="HM17" i="5"/>
  <c r="GW17" i="5"/>
  <c r="GV17" i="5"/>
  <c r="GF17" i="5"/>
  <c r="GE17" i="5"/>
  <c r="FO17" i="5"/>
  <c r="FN17" i="5"/>
  <c r="EX17" i="5"/>
  <c r="EW17" i="5"/>
  <c r="EG17" i="5"/>
  <c r="EF17" i="5"/>
  <c r="DP17" i="5"/>
  <c r="DO17" i="5"/>
  <c r="CY17" i="5"/>
  <c r="CX17" i="5"/>
  <c r="CH17" i="5"/>
  <c r="CG17" i="5"/>
  <c r="BQ17" i="5"/>
  <c r="BP17" i="5"/>
  <c r="AZ17" i="5"/>
  <c r="AY17" i="5"/>
  <c r="AI17" i="5"/>
  <c r="AH17" i="5"/>
  <c r="R17" i="5"/>
  <c r="Q17" i="5"/>
  <c r="IV16" i="5"/>
  <c r="IU16" i="5"/>
  <c r="IE16" i="5"/>
  <c r="ID16" i="5"/>
  <c r="HN16" i="5"/>
  <c r="HM16" i="5"/>
  <c r="GW16" i="5"/>
  <c r="GV16" i="5"/>
  <c r="GF16" i="5"/>
  <c r="GE16" i="5"/>
  <c r="FO16" i="5"/>
  <c r="FN16" i="5"/>
  <c r="EX16" i="5"/>
  <c r="EW16" i="5"/>
  <c r="EG16" i="5"/>
  <c r="EF16" i="5"/>
  <c r="DP16" i="5"/>
  <c r="DO16" i="5"/>
  <c r="CY16" i="5"/>
  <c r="CX16" i="5"/>
  <c r="CH16" i="5"/>
  <c r="CG16" i="5"/>
  <c r="BQ16" i="5"/>
  <c r="BP16" i="5"/>
  <c r="AZ16" i="5"/>
  <c r="AY16" i="5"/>
  <c r="AI16" i="5"/>
  <c r="AH16" i="5"/>
  <c r="R16" i="5"/>
  <c r="Q16" i="5"/>
  <c r="IV15" i="5"/>
  <c r="IU15" i="5"/>
  <c r="IE15" i="5"/>
  <c r="ID15" i="5"/>
  <c r="HN15" i="5"/>
  <c r="HM15" i="5"/>
  <c r="GW15" i="5"/>
  <c r="GV15" i="5"/>
  <c r="GF15" i="5"/>
  <c r="GE15" i="5"/>
  <c r="FO15" i="5"/>
  <c r="FN15" i="5"/>
  <c r="EX15" i="5"/>
  <c r="EW15" i="5"/>
  <c r="EG15" i="5"/>
  <c r="EF15" i="5"/>
  <c r="DP15" i="5"/>
  <c r="DO15" i="5"/>
  <c r="CY15" i="5"/>
  <c r="CX15" i="5"/>
  <c r="CH15" i="5"/>
  <c r="CG15" i="5"/>
  <c r="BQ15" i="5"/>
  <c r="BP15" i="5"/>
  <c r="AZ15" i="5"/>
  <c r="AY15" i="5"/>
  <c r="AI15" i="5"/>
  <c r="AH15" i="5"/>
  <c r="R15" i="5"/>
  <c r="Q15" i="5"/>
  <c r="IV14" i="5"/>
  <c r="IU14" i="5"/>
  <c r="IE14" i="5"/>
  <c r="ID14" i="5"/>
  <c r="HN14" i="5"/>
  <c r="HM14" i="5"/>
  <c r="GW14" i="5"/>
  <c r="GV14" i="5"/>
  <c r="GF14" i="5"/>
  <c r="GE14" i="5"/>
  <c r="FO14" i="5"/>
  <c r="FN14" i="5"/>
  <c r="EX14" i="5"/>
  <c r="EW14" i="5"/>
  <c r="EG14" i="5"/>
  <c r="EF14" i="5"/>
  <c r="DP14" i="5"/>
  <c r="DO14" i="5"/>
  <c r="CY14" i="5"/>
  <c r="CX14" i="5"/>
  <c r="CH14" i="5"/>
  <c r="CG14" i="5"/>
  <c r="BQ14" i="5"/>
  <c r="BP14" i="5"/>
  <c r="AZ14" i="5"/>
  <c r="AY14" i="5"/>
  <c r="AI14" i="5"/>
  <c r="AH14" i="5"/>
  <c r="R14" i="5"/>
  <c r="Q14" i="5"/>
  <c r="IV13" i="5"/>
  <c r="IU13" i="5"/>
  <c r="IE13" i="5"/>
  <c r="ID13" i="5"/>
  <c r="HN13" i="5"/>
  <c r="HM13" i="5"/>
  <c r="GW13" i="5"/>
  <c r="GV13" i="5"/>
  <c r="GF13" i="5"/>
  <c r="GE13" i="5"/>
  <c r="FO13" i="5"/>
  <c r="FN13" i="5"/>
  <c r="EX13" i="5"/>
  <c r="EW13" i="5"/>
  <c r="EG13" i="5"/>
  <c r="EF13" i="5"/>
  <c r="DP13" i="5"/>
  <c r="DO13" i="5"/>
  <c r="CY13" i="5"/>
  <c r="CX13" i="5"/>
  <c r="CH13" i="5"/>
  <c r="CG13" i="5"/>
  <c r="BQ13" i="5"/>
  <c r="BP13" i="5"/>
  <c r="AZ13" i="5"/>
  <c r="AY13" i="5"/>
  <c r="AI13" i="5"/>
  <c r="AH13" i="5"/>
  <c r="R13" i="5"/>
  <c r="Q13" i="5"/>
  <c r="IV12" i="5"/>
  <c r="IU12" i="5"/>
  <c r="IE12" i="5"/>
  <c r="ID12" i="5"/>
  <c r="HN12" i="5"/>
  <c r="HM12" i="5"/>
  <c r="GW12" i="5"/>
  <c r="GV12" i="5"/>
  <c r="GF12" i="5"/>
  <c r="GE12" i="5"/>
  <c r="FO12" i="5"/>
  <c r="FN12" i="5"/>
  <c r="EX12" i="5"/>
  <c r="EW12" i="5"/>
  <c r="EG12" i="5"/>
  <c r="EF12" i="5"/>
  <c r="DP12" i="5"/>
  <c r="DO12" i="5"/>
  <c r="CY12" i="5"/>
  <c r="CX12" i="5"/>
  <c r="CH12" i="5"/>
  <c r="CG12" i="5"/>
  <c r="BQ12" i="5"/>
  <c r="BP12" i="5"/>
  <c r="AZ12" i="5"/>
  <c r="AY12" i="5"/>
  <c r="AI12" i="5"/>
  <c r="AH12" i="5"/>
  <c r="R12" i="5"/>
  <c r="Q12" i="5"/>
  <c r="IV11" i="5"/>
  <c r="IU11" i="5"/>
  <c r="IE11" i="5"/>
  <c r="ID11" i="5"/>
  <c r="HN11" i="5"/>
  <c r="HM11" i="5"/>
  <c r="GW11" i="5"/>
  <c r="GV11" i="5"/>
  <c r="GF11" i="5"/>
  <c r="GE11" i="5"/>
  <c r="FO11" i="5"/>
  <c r="FN11" i="5"/>
  <c r="EX11" i="5"/>
  <c r="EW11" i="5"/>
  <c r="EG11" i="5"/>
  <c r="EF11" i="5"/>
  <c r="DP11" i="5"/>
  <c r="DO11" i="5"/>
  <c r="CY11" i="5"/>
  <c r="CX11" i="5"/>
  <c r="CH11" i="5"/>
  <c r="CG11" i="5"/>
  <c r="BQ11" i="5"/>
  <c r="BP11" i="5"/>
  <c r="AZ11" i="5"/>
  <c r="AY11" i="5"/>
  <c r="AI11" i="5"/>
  <c r="AH11" i="5"/>
  <c r="R11" i="5"/>
  <c r="Q11" i="5"/>
  <c r="IV10" i="5"/>
  <c r="IU10" i="5"/>
  <c r="IE10" i="5"/>
  <c r="ID10" i="5"/>
  <c r="HN10" i="5"/>
  <c r="HM10" i="5"/>
  <c r="GW10" i="5"/>
  <c r="GV10" i="5"/>
  <c r="GF10" i="5"/>
  <c r="GE10" i="5"/>
  <c r="FO10" i="5"/>
  <c r="FN10" i="5"/>
  <c r="EX10" i="5"/>
  <c r="EW10" i="5"/>
  <c r="EG10" i="5"/>
  <c r="EF10" i="5"/>
  <c r="DP10" i="5"/>
  <c r="DO10" i="5"/>
  <c r="CY10" i="5"/>
  <c r="CX10" i="5"/>
  <c r="CH10" i="5"/>
  <c r="CG10" i="5"/>
  <c r="BQ10" i="5"/>
  <c r="BP10" i="5"/>
  <c r="AZ10" i="5"/>
  <c r="AY10" i="5"/>
  <c r="AI10" i="5"/>
  <c r="AH10" i="5"/>
  <c r="R10" i="5"/>
  <c r="Q10" i="5"/>
  <c r="IV9" i="5"/>
  <c r="IU9" i="5"/>
  <c r="IE9" i="5"/>
  <c r="ID9" i="5"/>
  <c r="HN9" i="5"/>
  <c r="HM9" i="5"/>
  <c r="GW9" i="5"/>
  <c r="GV9" i="5"/>
  <c r="GF9" i="5"/>
  <c r="GE9" i="5"/>
  <c r="FO9" i="5"/>
  <c r="FN9" i="5"/>
  <c r="EX9" i="5"/>
  <c r="EW9" i="5"/>
  <c r="EG9" i="5"/>
  <c r="EF9" i="5"/>
  <c r="DP9" i="5"/>
  <c r="DO9" i="5"/>
  <c r="CY9" i="5"/>
  <c r="CX9" i="5"/>
  <c r="CH9" i="5"/>
  <c r="CG9" i="5"/>
  <c r="BQ9" i="5"/>
  <c r="BP9" i="5"/>
  <c r="AZ9" i="5"/>
  <c r="AY9" i="5"/>
  <c r="AI9" i="5"/>
  <c r="AH9" i="5"/>
  <c r="R9" i="5"/>
  <c r="Q9" i="5"/>
  <c r="IV8" i="5"/>
  <c r="IU8" i="5"/>
  <c r="IE8" i="5"/>
  <c r="ID8" i="5"/>
  <c r="HN8" i="5"/>
  <c r="HM8" i="5"/>
  <c r="GW8" i="5"/>
  <c r="GV8" i="5"/>
  <c r="GF8" i="5"/>
  <c r="GE8" i="5"/>
  <c r="FO8" i="5"/>
  <c r="FN8" i="5"/>
  <c r="EX8" i="5"/>
  <c r="EX27" i="5"/>
  <c r="EW8" i="5"/>
  <c r="EG8" i="5"/>
  <c r="EF8" i="5"/>
  <c r="DP8" i="5"/>
  <c r="DP27" i="5"/>
  <c r="DO8" i="5"/>
  <c r="CY8" i="5"/>
  <c r="CX8" i="5"/>
  <c r="CH8" i="5"/>
  <c r="CH27" i="5"/>
  <c r="CG8" i="5"/>
  <c r="BQ8" i="5"/>
  <c r="BP8" i="5"/>
  <c r="AZ8" i="5"/>
  <c r="AZ27" i="5"/>
  <c r="AY8" i="5"/>
  <c r="AI8" i="5"/>
  <c r="AH8" i="5"/>
  <c r="R8" i="5"/>
  <c r="R27" i="5"/>
  <c r="Q8" i="5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U50" i="3"/>
  <c r="B45" i="13"/>
  <c r="A45" i="1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U49" i="3"/>
  <c r="B44" i="13"/>
  <c r="A44" i="1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U48" i="3"/>
  <c r="B43" i="1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U47" i="3"/>
  <c r="A42" i="1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U46" i="3"/>
  <c r="B41" i="13"/>
  <c r="A41" i="1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U45" i="3"/>
  <c r="B40" i="13"/>
  <c r="A40" i="1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U44" i="3"/>
  <c r="B39" i="1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U43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37" i="13"/>
  <c r="A37" i="1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T41" i="3"/>
  <c r="B36" i="13"/>
  <c r="A36" i="1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35" i="13"/>
  <c r="A35" i="1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4" i="1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T38" i="3"/>
  <c r="B33" i="13"/>
  <c r="A33" i="1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T37" i="3"/>
  <c r="B32" i="13"/>
  <c r="A32" i="1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T36" i="3"/>
  <c r="B31" i="13"/>
  <c r="A31" i="13"/>
  <c r="U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T35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29" i="13"/>
  <c r="A29" i="1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28" i="13"/>
  <c r="A28" i="1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B27" i="13"/>
  <c r="A32" i="3"/>
  <c r="A27" i="13"/>
  <c r="IT27" i="3"/>
  <c r="IS27" i="3"/>
  <c r="IR27" i="3"/>
  <c r="IQ27" i="3"/>
  <c r="IP27" i="3"/>
  <c r="IO27" i="3"/>
  <c r="IN27" i="3"/>
  <c r="IM27" i="3"/>
  <c r="IL27" i="3"/>
  <c r="IK27" i="3"/>
  <c r="IJ27" i="3"/>
  <c r="II27" i="3"/>
  <c r="IH27" i="3"/>
  <c r="IG27" i="3"/>
  <c r="IC27" i="3"/>
  <c r="IB27" i="3"/>
  <c r="IA27" i="3"/>
  <c r="HZ27" i="3"/>
  <c r="HY27" i="3"/>
  <c r="HX27" i="3"/>
  <c r="HW27" i="3"/>
  <c r="HV27" i="3"/>
  <c r="HU27" i="3"/>
  <c r="HT27" i="3"/>
  <c r="HS27" i="3"/>
  <c r="HR27" i="3"/>
  <c r="HQ27" i="3"/>
  <c r="HP27" i="3"/>
  <c r="HL27" i="3"/>
  <c r="HK27" i="3"/>
  <c r="HJ27" i="3"/>
  <c r="HI27" i="3"/>
  <c r="HH27" i="3"/>
  <c r="HG27" i="3"/>
  <c r="HF27" i="3"/>
  <c r="HE27" i="3"/>
  <c r="HD27" i="3"/>
  <c r="HC27" i="3"/>
  <c r="HB27" i="3"/>
  <c r="HA27" i="3"/>
  <c r="GZ27" i="3"/>
  <c r="GY27" i="3"/>
  <c r="GU27" i="3"/>
  <c r="GT27" i="3"/>
  <c r="GS27" i="3"/>
  <c r="GR27" i="3"/>
  <c r="GQ27" i="3"/>
  <c r="GP27" i="3"/>
  <c r="GO27" i="3"/>
  <c r="GN27" i="3"/>
  <c r="GM27" i="3"/>
  <c r="GL27" i="3"/>
  <c r="GK27" i="3"/>
  <c r="GJ27" i="3"/>
  <c r="GI27" i="3"/>
  <c r="GH27" i="3"/>
  <c r="GD27" i="3"/>
  <c r="GC27" i="3"/>
  <c r="GB27" i="3"/>
  <c r="GA27" i="3"/>
  <c r="FZ27" i="3"/>
  <c r="FY27" i="3"/>
  <c r="FX27" i="3"/>
  <c r="FW27" i="3"/>
  <c r="FV27" i="3"/>
  <c r="FU27" i="3"/>
  <c r="FT27" i="3"/>
  <c r="FS27" i="3"/>
  <c r="FR27" i="3"/>
  <c r="FQ27" i="3"/>
  <c r="FM27" i="3"/>
  <c r="FL27" i="3"/>
  <c r="FK27" i="3"/>
  <c r="FJ27" i="3"/>
  <c r="FI27" i="3"/>
  <c r="FH27" i="3"/>
  <c r="FG27" i="3"/>
  <c r="FF27" i="3"/>
  <c r="FE27" i="3"/>
  <c r="FD27" i="3"/>
  <c r="FC27" i="3"/>
  <c r="FB27" i="3"/>
  <c r="FA27" i="3"/>
  <c r="EZ27" i="3"/>
  <c r="EV27" i="3"/>
  <c r="EU27" i="3"/>
  <c r="ET27" i="3"/>
  <c r="ES27" i="3"/>
  <c r="ER27" i="3"/>
  <c r="EQ27" i="3"/>
  <c r="EP27" i="3"/>
  <c r="EO27" i="3"/>
  <c r="EN27" i="3"/>
  <c r="EM27" i="3"/>
  <c r="EL27" i="3"/>
  <c r="EK27" i="3"/>
  <c r="EJ27" i="3"/>
  <c r="EI27" i="3"/>
  <c r="EE27" i="3"/>
  <c r="ED27" i="3"/>
  <c r="EC27" i="3"/>
  <c r="EB27" i="3"/>
  <c r="EA27" i="3"/>
  <c r="DZ27" i="3"/>
  <c r="DY27" i="3"/>
  <c r="DX27" i="3"/>
  <c r="DW27" i="3"/>
  <c r="DV27" i="3"/>
  <c r="DU27" i="3"/>
  <c r="DT27" i="3"/>
  <c r="DS27" i="3"/>
  <c r="DR27" i="3"/>
  <c r="DN27" i="3"/>
  <c r="DM27" i="3"/>
  <c r="DL27" i="3"/>
  <c r="DK27" i="3"/>
  <c r="DJ27" i="3"/>
  <c r="DI27" i="3"/>
  <c r="DH27" i="3"/>
  <c r="DG27" i="3"/>
  <c r="DF27" i="3"/>
  <c r="DE27" i="3"/>
  <c r="DD27" i="3"/>
  <c r="DC27" i="3"/>
  <c r="DB27" i="3"/>
  <c r="DA27" i="3"/>
  <c r="CW27" i="3"/>
  <c r="CV27" i="3"/>
  <c r="CU27" i="3"/>
  <c r="CT27" i="3"/>
  <c r="CS27" i="3"/>
  <c r="CR27" i="3"/>
  <c r="CQ27" i="3"/>
  <c r="CP27" i="3"/>
  <c r="CO27" i="3"/>
  <c r="CN27" i="3"/>
  <c r="CM27" i="3"/>
  <c r="CL27" i="3"/>
  <c r="CK27" i="3"/>
  <c r="CJ27" i="3"/>
  <c r="CF27" i="3"/>
  <c r="CE27" i="3"/>
  <c r="CD27" i="3"/>
  <c r="CC27" i="3"/>
  <c r="CB27" i="3"/>
  <c r="CA27" i="3"/>
  <c r="BZ27" i="3"/>
  <c r="BY27" i="3"/>
  <c r="BX27" i="3"/>
  <c r="BW27" i="3"/>
  <c r="BV27" i="3"/>
  <c r="BU27" i="3"/>
  <c r="BT27" i="3"/>
  <c r="BS27" i="3"/>
  <c r="BO27" i="3"/>
  <c r="BN27" i="3"/>
  <c r="BM27" i="3"/>
  <c r="BL27" i="3"/>
  <c r="BK27" i="3"/>
  <c r="BJ27" i="3"/>
  <c r="BI27" i="3"/>
  <c r="BH27" i="3"/>
  <c r="BG27" i="3"/>
  <c r="BF27" i="3"/>
  <c r="BE27" i="3"/>
  <c r="BD27" i="3"/>
  <c r="BC27" i="3"/>
  <c r="BB27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AK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IV26" i="3"/>
  <c r="IU26" i="3"/>
  <c r="IE26" i="3"/>
  <c r="ID26" i="3"/>
  <c r="HN26" i="3"/>
  <c r="HM26" i="3"/>
  <c r="GW26" i="3"/>
  <c r="GV26" i="3"/>
  <c r="GF26" i="3"/>
  <c r="GE26" i="3"/>
  <c r="FO26" i="3"/>
  <c r="FN26" i="3"/>
  <c r="EX26" i="3"/>
  <c r="EW26" i="3"/>
  <c r="EG26" i="3"/>
  <c r="EF26" i="3"/>
  <c r="DP26" i="3"/>
  <c r="DO26" i="3"/>
  <c r="CY26" i="3"/>
  <c r="CX26" i="3"/>
  <c r="CH26" i="3"/>
  <c r="CG26" i="3"/>
  <c r="BQ26" i="3"/>
  <c r="BP26" i="3"/>
  <c r="AZ26" i="3"/>
  <c r="AY26" i="3"/>
  <c r="AI26" i="3"/>
  <c r="AH26" i="3"/>
  <c r="R26" i="3"/>
  <c r="Q26" i="3"/>
  <c r="IV25" i="3"/>
  <c r="IU25" i="3"/>
  <c r="IE25" i="3"/>
  <c r="ID25" i="3"/>
  <c r="HN25" i="3"/>
  <c r="HM25" i="3"/>
  <c r="GW25" i="3"/>
  <c r="GV25" i="3"/>
  <c r="GF25" i="3"/>
  <c r="GE25" i="3"/>
  <c r="FO25" i="3"/>
  <c r="FN25" i="3"/>
  <c r="EX25" i="3"/>
  <c r="EW25" i="3"/>
  <c r="EG25" i="3"/>
  <c r="EF25" i="3"/>
  <c r="DP25" i="3"/>
  <c r="DO25" i="3"/>
  <c r="CY25" i="3"/>
  <c r="CX25" i="3"/>
  <c r="CH25" i="3"/>
  <c r="CG25" i="3"/>
  <c r="BQ25" i="3"/>
  <c r="BP25" i="3"/>
  <c r="AZ25" i="3"/>
  <c r="AY25" i="3"/>
  <c r="AI25" i="3"/>
  <c r="AH25" i="3"/>
  <c r="R25" i="3"/>
  <c r="R49" i="3"/>
  <c r="Q25" i="3"/>
  <c r="IV24" i="3"/>
  <c r="IU24" i="3"/>
  <c r="IE24" i="3"/>
  <c r="ID24" i="3"/>
  <c r="HN24" i="3"/>
  <c r="HM24" i="3"/>
  <c r="GW24" i="3"/>
  <c r="GV24" i="3"/>
  <c r="GF24" i="3"/>
  <c r="GE24" i="3"/>
  <c r="FO24" i="3"/>
  <c r="FN24" i="3"/>
  <c r="EX24" i="3"/>
  <c r="EW24" i="3"/>
  <c r="EG24" i="3"/>
  <c r="EF24" i="3"/>
  <c r="DP24" i="3"/>
  <c r="DO24" i="3"/>
  <c r="CY24" i="3"/>
  <c r="CX24" i="3"/>
  <c r="CH24" i="3"/>
  <c r="CG24" i="3"/>
  <c r="BQ24" i="3"/>
  <c r="BP24" i="3"/>
  <c r="AZ24" i="3"/>
  <c r="AY24" i="3"/>
  <c r="AI24" i="3"/>
  <c r="AH24" i="3"/>
  <c r="R24" i="3"/>
  <c r="Q24" i="3"/>
  <c r="Q48" i="3"/>
  <c r="IV23" i="3"/>
  <c r="IU23" i="3"/>
  <c r="IE23" i="3"/>
  <c r="ID23" i="3"/>
  <c r="HN23" i="3"/>
  <c r="HM23" i="3"/>
  <c r="GW23" i="3"/>
  <c r="GV23" i="3"/>
  <c r="GF23" i="3"/>
  <c r="GE23" i="3"/>
  <c r="FO23" i="3"/>
  <c r="FN23" i="3"/>
  <c r="EX23" i="3"/>
  <c r="EW23" i="3"/>
  <c r="EG23" i="3"/>
  <c r="EF23" i="3"/>
  <c r="DP23" i="3"/>
  <c r="DO23" i="3"/>
  <c r="CY23" i="3"/>
  <c r="CX23" i="3"/>
  <c r="CH23" i="3"/>
  <c r="CG23" i="3"/>
  <c r="BQ23" i="3"/>
  <c r="BP23" i="3"/>
  <c r="AZ23" i="3"/>
  <c r="AY23" i="3"/>
  <c r="AI23" i="3"/>
  <c r="AH23" i="3"/>
  <c r="R23" i="3"/>
  <c r="R47" i="3"/>
  <c r="Q23" i="3"/>
  <c r="Q47" i="3"/>
  <c r="IV22" i="3"/>
  <c r="IU22" i="3"/>
  <c r="IE22" i="3"/>
  <c r="ID22" i="3"/>
  <c r="HN22" i="3"/>
  <c r="HM22" i="3"/>
  <c r="GW22" i="3"/>
  <c r="GV22" i="3"/>
  <c r="GF22" i="3"/>
  <c r="GE22" i="3"/>
  <c r="FO22" i="3"/>
  <c r="FN22" i="3"/>
  <c r="EX22" i="3"/>
  <c r="EW22" i="3"/>
  <c r="EG22" i="3"/>
  <c r="EF22" i="3"/>
  <c r="DP22" i="3"/>
  <c r="DO22" i="3"/>
  <c r="CY22" i="3"/>
  <c r="CX22" i="3"/>
  <c r="CH22" i="3"/>
  <c r="CG22" i="3"/>
  <c r="BQ22" i="3"/>
  <c r="BP22" i="3"/>
  <c r="AZ22" i="3"/>
  <c r="AY22" i="3"/>
  <c r="AI22" i="3"/>
  <c r="AH22" i="3"/>
  <c r="R22" i="3"/>
  <c r="Q22" i="3"/>
  <c r="Q46" i="3"/>
  <c r="IV21" i="3"/>
  <c r="IU21" i="3"/>
  <c r="IE21" i="3"/>
  <c r="ID21" i="3"/>
  <c r="HN21" i="3"/>
  <c r="HM21" i="3"/>
  <c r="GW21" i="3"/>
  <c r="GV21" i="3"/>
  <c r="GF21" i="3"/>
  <c r="GE21" i="3"/>
  <c r="FO21" i="3"/>
  <c r="FN21" i="3"/>
  <c r="EX21" i="3"/>
  <c r="EW21" i="3"/>
  <c r="EG21" i="3"/>
  <c r="EF21" i="3"/>
  <c r="DP21" i="3"/>
  <c r="DO21" i="3"/>
  <c r="CY21" i="3"/>
  <c r="CX21" i="3"/>
  <c r="CH21" i="3"/>
  <c r="CG21" i="3"/>
  <c r="BQ21" i="3"/>
  <c r="BP21" i="3"/>
  <c r="AZ21" i="3"/>
  <c r="AY21" i="3"/>
  <c r="AI21" i="3"/>
  <c r="AH21" i="3"/>
  <c r="R21" i="3"/>
  <c r="R45" i="3"/>
  <c r="Q21" i="3"/>
  <c r="IV20" i="3"/>
  <c r="IU20" i="3"/>
  <c r="IE20" i="3"/>
  <c r="ID20" i="3"/>
  <c r="HN20" i="3"/>
  <c r="HM20" i="3"/>
  <c r="GW20" i="3"/>
  <c r="GV20" i="3"/>
  <c r="GF20" i="3"/>
  <c r="GE20" i="3"/>
  <c r="FO20" i="3"/>
  <c r="FN20" i="3"/>
  <c r="EX20" i="3"/>
  <c r="EW20" i="3"/>
  <c r="EG20" i="3"/>
  <c r="EF20" i="3"/>
  <c r="DP20" i="3"/>
  <c r="DO20" i="3"/>
  <c r="CY20" i="3"/>
  <c r="CX20" i="3"/>
  <c r="CH20" i="3"/>
  <c r="CG20" i="3"/>
  <c r="BQ20" i="3"/>
  <c r="BP20" i="3"/>
  <c r="AZ20" i="3"/>
  <c r="AY20" i="3"/>
  <c r="AI20" i="3"/>
  <c r="AH20" i="3"/>
  <c r="R20" i="3"/>
  <c r="Q20" i="3"/>
  <c r="Q44" i="3"/>
  <c r="IV19" i="3"/>
  <c r="IU19" i="3"/>
  <c r="IE19" i="3"/>
  <c r="ID19" i="3"/>
  <c r="HN19" i="3"/>
  <c r="HM19" i="3"/>
  <c r="GW19" i="3"/>
  <c r="GV19" i="3"/>
  <c r="GF19" i="3"/>
  <c r="GE19" i="3"/>
  <c r="FO19" i="3"/>
  <c r="FN19" i="3"/>
  <c r="EX19" i="3"/>
  <c r="EW19" i="3"/>
  <c r="EG19" i="3"/>
  <c r="EF19" i="3"/>
  <c r="DP19" i="3"/>
  <c r="DO19" i="3"/>
  <c r="CY19" i="3"/>
  <c r="CX19" i="3"/>
  <c r="CH19" i="3"/>
  <c r="CG19" i="3"/>
  <c r="BQ19" i="3"/>
  <c r="BP19" i="3"/>
  <c r="AZ19" i="3"/>
  <c r="AY19" i="3"/>
  <c r="AI19" i="3"/>
  <c r="AH19" i="3"/>
  <c r="R19" i="3"/>
  <c r="R43" i="3"/>
  <c r="Q19" i="3"/>
  <c r="Q43" i="3"/>
  <c r="IV18" i="3"/>
  <c r="IU18" i="3"/>
  <c r="IE18" i="3"/>
  <c r="ID18" i="3"/>
  <c r="HN18" i="3"/>
  <c r="HM18" i="3"/>
  <c r="GW18" i="3"/>
  <c r="GV18" i="3"/>
  <c r="GF18" i="3"/>
  <c r="GE18" i="3"/>
  <c r="FO18" i="3"/>
  <c r="FN18" i="3"/>
  <c r="EX18" i="3"/>
  <c r="EW18" i="3"/>
  <c r="EG18" i="3"/>
  <c r="EF18" i="3"/>
  <c r="DP18" i="3"/>
  <c r="DO18" i="3"/>
  <c r="CY18" i="3"/>
  <c r="CX18" i="3"/>
  <c r="CH18" i="3"/>
  <c r="CG18" i="3"/>
  <c r="BQ18" i="3"/>
  <c r="BP18" i="3"/>
  <c r="AZ18" i="3"/>
  <c r="AY18" i="3"/>
  <c r="AI18" i="3"/>
  <c r="AH18" i="3"/>
  <c r="R18" i="3"/>
  <c r="Q18" i="3"/>
  <c r="Q42" i="3"/>
  <c r="IV17" i="3"/>
  <c r="IU17" i="3"/>
  <c r="IE17" i="3"/>
  <c r="ID17" i="3"/>
  <c r="HN17" i="3"/>
  <c r="HM17" i="3"/>
  <c r="GW17" i="3"/>
  <c r="GV17" i="3"/>
  <c r="GF17" i="3"/>
  <c r="GE17" i="3"/>
  <c r="FO17" i="3"/>
  <c r="FN17" i="3"/>
  <c r="EX17" i="3"/>
  <c r="EW17" i="3"/>
  <c r="EG17" i="3"/>
  <c r="EF17" i="3"/>
  <c r="DP17" i="3"/>
  <c r="DO17" i="3"/>
  <c r="CY17" i="3"/>
  <c r="CX17" i="3"/>
  <c r="CH17" i="3"/>
  <c r="CG17" i="3"/>
  <c r="BQ17" i="3"/>
  <c r="BP17" i="3"/>
  <c r="AZ17" i="3"/>
  <c r="AY17" i="3"/>
  <c r="AI17" i="3"/>
  <c r="AH17" i="3"/>
  <c r="R17" i="3"/>
  <c r="R41" i="3"/>
  <c r="Q17" i="3"/>
  <c r="IV16" i="3"/>
  <c r="IU16" i="3"/>
  <c r="IE16" i="3"/>
  <c r="ID16" i="3"/>
  <c r="HN16" i="3"/>
  <c r="HM16" i="3"/>
  <c r="GW16" i="3"/>
  <c r="GV16" i="3"/>
  <c r="GF16" i="3"/>
  <c r="GE16" i="3"/>
  <c r="FO16" i="3"/>
  <c r="FN16" i="3"/>
  <c r="EX16" i="3"/>
  <c r="EW16" i="3"/>
  <c r="EG16" i="3"/>
  <c r="EF16" i="3"/>
  <c r="DP16" i="3"/>
  <c r="DO16" i="3"/>
  <c r="CY16" i="3"/>
  <c r="CX16" i="3"/>
  <c r="CH16" i="3"/>
  <c r="CG16" i="3"/>
  <c r="BQ16" i="3"/>
  <c r="BP16" i="3"/>
  <c r="AZ16" i="3"/>
  <c r="AY16" i="3"/>
  <c r="AI16" i="3"/>
  <c r="AH16" i="3"/>
  <c r="R16" i="3"/>
  <c r="Q16" i="3"/>
  <c r="Q40" i="3"/>
  <c r="IV15" i="3"/>
  <c r="IU15" i="3"/>
  <c r="IE15" i="3"/>
  <c r="ID15" i="3"/>
  <c r="HN15" i="3"/>
  <c r="HM15" i="3"/>
  <c r="GW15" i="3"/>
  <c r="GV15" i="3"/>
  <c r="GF15" i="3"/>
  <c r="GE15" i="3"/>
  <c r="FO15" i="3"/>
  <c r="FN15" i="3"/>
  <c r="EX15" i="3"/>
  <c r="EW15" i="3"/>
  <c r="EG15" i="3"/>
  <c r="EF15" i="3"/>
  <c r="DP15" i="3"/>
  <c r="DO15" i="3"/>
  <c r="CY15" i="3"/>
  <c r="CX15" i="3"/>
  <c r="CH15" i="3"/>
  <c r="CG15" i="3"/>
  <c r="BQ15" i="3"/>
  <c r="BP15" i="3"/>
  <c r="AZ15" i="3"/>
  <c r="AY15" i="3"/>
  <c r="AI15" i="3"/>
  <c r="AH15" i="3"/>
  <c r="R15" i="3"/>
  <c r="R39" i="3"/>
  <c r="Q15" i="3"/>
  <c r="IV14" i="3"/>
  <c r="IU14" i="3"/>
  <c r="IE14" i="3"/>
  <c r="ID14" i="3"/>
  <c r="HN14" i="3"/>
  <c r="HM14" i="3"/>
  <c r="GW14" i="3"/>
  <c r="GV14" i="3"/>
  <c r="GF14" i="3"/>
  <c r="GE14" i="3"/>
  <c r="FO14" i="3"/>
  <c r="FN14" i="3"/>
  <c r="EX14" i="3"/>
  <c r="EW14" i="3"/>
  <c r="EG14" i="3"/>
  <c r="EF14" i="3"/>
  <c r="DP14" i="3"/>
  <c r="DO14" i="3"/>
  <c r="CY14" i="3"/>
  <c r="CX14" i="3"/>
  <c r="CH14" i="3"/>
  <c r="CG14" i="3"/>
  <c r="BQ14" i="3"/>
  <c r="BP14" i="3"/>
  <c r="AZ14" i="3"/>
  <c r="AY14" i="3"/>
  <c r="AI14" i="3"/>
  <c r="R38" i="3"/>
  <c r="AH14" i="3"/>
  <c r="R14" i="3"/>
  <c r="Q14" i="3"/>
  <c r="Q38" i="3"/>
  <c r="U38" i="3"/>
  <c r="IV13" i="3"/>
  <c r="IU13" i="3"/>
  <c r="IE13" i="3"/>
  <c r="ID13" i="3"/>
  <c r="HN13" i="3"/>
  <c r="HM13" i="3"/>
  <c r="GW13" i="3"/>
  <c r="GV13" i="3"/>
  <c r="GF13" i="3"/>
  <c r="GE13" i="3"/>
  <c r="FO13" i="3"/>
  <c r="FN13" i="3"/>
  <c r="EX13" i="3"/>
  <c r="EW13" i="3"/>
  <c r="EG13" i="3"/>
  <c r="EF13" i="3"/>
  <c r="DP13" i="3"/>
  <c r="DO13" i="3"/>
  <c r="CY13" i="3"/>
  <c r="CX13" i="3"/>
  <c r="CH13" i="3"/>
  <c r="CG13" i="3"/>
  <c r="BQ13" i="3"/>
  <c r="BP13" i="3"/>
  <c r="AZ13" i="3"/>
  <c r="AY13" i="3"/>
  <c r="AI13" i="3"/>
  <c r="AH13" i="3"/>
  <c r="R13" i="3"/>
  <c r="R37" i="3"/>
  <c r="Q13" i="3"/>
  <c r="IV12" i="3"/>
  <c r="IU12" i="3"/>
  <c r="IE12" i="3"/>
  <c r="ID12" i="3"/>
  <c r="HN12" i="3"/>
  <c r="HM12" i="3"/>
  <c r="GW12" i="3"/>
  <c r="GV12" i="3"/>
  <c r="GF12" i="3"/>
  <c r="GE12" i="3"/>
  <c r="FO12" i="3"/>
  <c r="FN12" i="3"/>
  <c r="EX12" i="3"/>
  <c r="EW12" i="3"/>
  <c r="EG12" i="3"/>
  <c r="EF12" i="3"/>
  <c r="DP12" i="3"/>
  <c r="DO12" i="3"/>
  <c r="CY12" i="3"/>
  <c r="CX12" i="3"/>
  <c r="CH12" i="3"/>
  <c r="CG12" i="3"/>
  <c r="BQ12" i="3"/>
  <c r="BP12" i="3"/>
  <c r="AZ12" i="3"/>
  <c r="AY12" i="3"/>
  <c r="AI12" i="3"/>
  <c r="R36" i="3"/>
  <c r="AH12" i="3"/>
  <c r="R12" i="3"/>
  <c r="Q12" i="3"/>
  <c r="Q36" i="3"/>
  <c r="U36" i="3"/>
  <c r="IV11" i="3"/>
  <c r="IU11" i="3"/>
  <c r="IE11" i="3"/>
  <c r="ID11" i="3"/>
  <c r="HN11" i="3"/>
  <c r="HM11" i="3"/>
  <c r="GW11" i="3"/>
  <c r="GV11" i="3"/>
  <c r="GF11" i="3"/>
  <c r="GE11" i="3"/>
  <c r="FO11" i="3"/>
  <c r="FN11" i="3"/>
  <c r="EX11" i="3"/>
  <c r="EW11" i="3"/>
  <c r="EG11" i="3"/>
  <c r="EF11" i="3"/>
  <c r="DP11" i="3"/>
  <c r="DO11" i="3"/>
  <c r="CY11" i="3"/>
  <c r="CX11" i="3"/>
  <c r="CH11" i="3"/>
  <c r="CG11" i="3"/>
  <c r="BQ11" i="3"/>
  <c r="BP11" i="3"/>
  <c r="AZ11" i="3"/>
  <c r="AY11" i="3"/>
  <c r="AI11" i="3"/>
  <c r="AH11" i="3"/>
  <c r="R11" i="3"/>
  <c r="R35" i="3"/>
  <c r="Q11" i="3"/>
  <c r="IV10" i="3"/>
  <c r="IU10" i="3"/>
  <c r="IE10" i="3"/>
  <c r="ID10" i="3"/>
  <c r="HN10" i="3"/>
  <c r="HM10" i="3"/>
  <c r="GW10" i="3"/>
  <c r="GV10" i="3"/>
  <c r="GF10" i="3"/>
  <c r="GE10" i="3"/>
  <c r="FO10" i="3"/>
  <c r="FN10" i="3"/>
  <c r="EX10" i="3"/>
  <c r="EW10" i="3"/>
  <c r="EG10" i="3"/>
  <c r="EF10" i="3"/>
  <c r="DP10" i="3"/>
  <c r="DO10" i="3"/>
  <c r="CY10" i="3"/>
  <c r="CX10" i="3"/>
  <c r="CH10" i="3"/>
  <c r="CG10" i="3"/>
  <c r="BQ10" i="3"/>
  <c r="BP10" i="3"/>
  <c r="AZ10" i="3"/>
  <c r="AY10" i="3"/>
  <c r="AI10" i="3"/>
  <c r="R34" i="3"/>
  <c r="AH10" i="3"/>
  <c r="R10" i="3"/>
  <c r="Q10" i="3"/>
  <c r="Q34" i="3"/>
  <c r="U34" i="3"/>
  <c r="IV9" i="3"/>
  <c r="IU9" i="3"/>
  <c r="IE9" i="3"/>
  <c r="ID9" i="3"/>
  <c r="HN9" i="3"/>
  <c r="HM9" i="3"/>
  <c r="GW9" i="3"/>
  <c r="GV9" i="3"/>
  <c r="GF9" i="3"/>
  <c r="GE9" i="3"/>
  <c r="FO9" i="3"/>
  <c r="FN9" i="3"/>
  <c r="EX9" i="3"/>
  <c r="EW9" i="3"/>
  <c r="EG9" i="3"/>
  <c r="EF9" i="3"/>
  <c r="DP9" i="3"/>
  <c r="DO9" i="3"/>
  <c r="CY9" i="3"/>
  <c r="CX9" i="3"/>
  <c r="CH9" i="3"/>
  <c r="CG9" i="3"/>
  <c r="BQ9" i="3"/>
  <c r="BP9" i="3"/>
  <c r="AZ9" i="3"/>
  <c r="AY9" i="3"/>
  <c r="AI9" i="3"/>
  <c r="AH9" i="3"/>
  <c r="R9" i="3"/>
  <c r="R33" i="3"/>
  <c r="Q9" i="3"/>
  <c r="IV8" i="3"/>
  <c r="IU8" i="3"/>
  <c r="IU27" i="3"/>
  <c r="IE8" i="3"/>
  <c r="IE27" i="3"/>
  <c r="ID8" i="3"/>
  <c r="HN8" i="3"/>
  <c r="HM8" i="3"/>
  <c r="HM27" i="3"/>
  <c r="GW8" i="3"/>
  <c r="GW27" i="3"/>
  <c r="GV8" i="3"/>
  <c r="GF8" i="3"/>
  <c r="GE8" i="3"/>
  <c r="GE27" i="3"/>
  <c r="FO8" i="3"/>
  <c r="FO27" i="3"/>
  <c r="FN8" i="3"/>
  <c r="EX8" i="3"/>
  <c r="EW8" i="3"/>
  <c r="EW27" i="3"/>
  <c r="EG8" i="3"/>
  <c r="EG27" i="3"/>
  <c r="EF8" i="3"/>
  <c r="DP8" i="3"/>
  <c r="DO8" i="3"/>
  <c r="DO27" i="3"/>
  <c r="CY8" i="3"/>
  <c r="CY27" i="3"/>
  <c r="CX8" i="3"/>
  <c r="CH8" i="3"/>
  <c r="CG8" i="3"/>
  <c r="CG27" i="3"/>
  <c r="BQ8" i="3"/>
  <c r="BQ27" i="3"/>
  <c r="BP8" i="3"/>
  <c r="AZ8" i="3"/>
  <c r="AY8" i="3"/>
  <c r="AY27" i="3"/>
  <c r="AI8" i="3"/>
  <c r="AI27" i="3"/>
  <c r="AH8" i="3"/>
  <c r="R8" i="3"/>
  <c r="Q8" i="3"/>
  <c r="Q32" i="3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U50" i="2"/>
  <c r="B50" i="2"/>
  <c r="A50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U49" i="2"/>
  <c r="B49" i="2"/>
  <c r="A49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U48" i="2"/>
  <c r="B48" i="2"/>
  <c r="B62" i="13"/>
  <c r="A48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U47" i="2"/>
  <c r="B47" i="2"/>
  <c r="B61" i="13"/>
  <c r="A47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U46" i="2"/>
  <c r="B46" i="2"/>
  <c r="B60" i="13"/>
  <c r="A46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U45" i="2"/>
  <c r="B45" i="2"/>
  <c r="A45" i="2"/>
  <c r="A59" i="13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U44" i="2"/>
  <c r="B44" i="2"/>
  <c r="B58" i="13"/>
  <c r="A44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U43" i="2"/>
  <c r="B43" i="2"/>
  <c r="B57" i="13"/>
  <c r="A43" i="2"/>
  <c r="A57" i="13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U42" i="2"/>
  <c r="B42" i="2"/>
  <c r="B56" i="13"/>
  <c r="A42" i="2"/>
  <c r="A56" i="13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B55" i="13"/>
  <c r="A41" i="2"/>
  <c r="A55" i="13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T40" i="2"/>
  <c r="B40" i="2"/>
  <c r="B54" i="13"/>
  <c r="A40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T39" i="2"/>
  <c r="B39" i="2"/>
  <c r="B53" i="13"/>
  <c r="A39" i="2"/>
  <c r="A53" i="13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T38" i="2"/>
  <c r="B38" i="2"/>
  <c r="B52" i="13"/>
  <c r="A38" i="2"/>
  <c r="A52" i="13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T37" i="2"/>
  <c r="B37" i="2"/>
  <c r="B51" i="13"/>
  <c r="A37" i="2"/>
  <c r="A51" i="13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T36" i="2"/>
  <c r="B36" i="2"/>
  <c r="B50" i="13"/>
  <c r="A36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U35" i="2"/>
  <c r="B35" i="2"/>
  <c r="B49" i="13"/>
  <c r="A35" i="2"/>
  <c r="A49" i="13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B48" i="13"/>
  <c r="A34" i="2"/>
  <c r="A48" i="13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T33" i="2"/>
  <c r="B33" i="2"/>
  <c r="B47" i="13"/>
  <c r="A33" i="2"/>
  <c r="A47" i="13"/>
  <c r="P32" i="2"/>
  <c r="P51" i="2"/>
  <c r="O32" i="2"/>
  <c r="O51" i="2"/>
  <c r="N32" i="2"/>
  <c r="N51" i="2"/>
  <c r="M32" i="2"/>
  <c r="L32" i="2"/>
  <c r="L51" i="2"/>
  <c r="K32" i="2"/>
  <c r="K51" i="2"/>
  <c r="J32" i="2"/>
  <c r="J51" i="2"/>
  <c r="I32" i="2"/>
  <c r="H32" i="2"/>
  <c r="H51" i="2"/>
  <c r="G32" i="2"/>
  <c r="G51" i="2"/>
  <c r="F32" i="2"/>
  <c r="F51" i="2"/>
  <c r="E32" i="2"/>
  <c r="D32" i="2"/>
  <c r="D51" i="2"/>
  <c r="C32" i="2"/>
  <c r="T32" i="2"/>
  <c r="B32" i="2"/>
  <c r="B46" i="13"/>
  <c r="A32" i="2"/>
  <c r="IT27" i="2"/>
  <c r="IS27" i="2"/>
  <c r="IR27" i="2"/>
  <c r="IQ27" i="2"/>
  <c r="IP27" i="2"/>
  <c r="IO27" i="2"/>
  <c r="IN27" i="2"/>
  <c r="IM27" i="2"/>
  <c r="IL27" i="2"/>
  <c r="IK27" i="2"/>
  <c r="IJ27" i="2"/>
  <c r="II27" i="2"/>
  <c r="IH27" i="2"/>
  <c r="IG27" i="2"/>
  <c r="IC27" i="2"/>
  <c r="IB27" i="2"/>
  <c r="IA27" i="2"/>
  <c r="HZ27" i="2"/>
  <c r="HY27" i="2"/>
  <c r="HX27" i="2"/>
  <c r="HW27" i="2"/>
  <c r="HV27" i="2"/>
  <c r="HU27" i="2"/>
  <c r="HT27" i="2"/>
  <c r="HS27" i="2"/>
  <c r="HR27" i="2"/>
  <c r="HQ27" i="2"/>
  <c r="HP27" i="2"/>
  <c r="HL27" i="2"/>
  <c r="HK27" i="2"/>
  <c r="HJ27" i="2"/>
  <c r="HI27" i="2"/>
  <c r="HH27" i="2"/>
  <c r="HG27" i="2"/>
  <c r="HF27" i="2"/>
  <c r="HE27" i="2"/>
  <c r="HD27" i="2"/>
  <c r="HC27" i="2"/>
  <c r="HB27" i="2"/>
  <c r="HA27" i="2"/>
  <c r="GZ27" i="2"/>
  <c r="GY27" i="2"/>
  <c r="GU27" i="2"/>
  <c r="GT27" i="2"/>
  <c r="GS27" i="2"/>
  <c r="GR27" i="2"/>
  <c r="GQ27" i="2"/>
  <c r="GP27" i="2"/>
  <c r="GO27" i="2"/>
  <c r="GN27" i="2"/>
  <c r="GM27" i="2"/>
  <c r="GL27" i="2"/>
  <c r="GK27" i="2"/>
  <c r="GJ27" i="2"/>
  <c r="GI27" i="2"/>
  <c r="GH27" i="2"/>
  <c r="GD27" i="2"/>
  <c r="GC27" i="2"/>
  <c r="GB27" i="2"/>
  <c r="GA27" i="2"/>
  <c r="FZ27" i="2"/>
  <c r="FY27" i="2"/>
  <c r="FX27" i="2"/>
  <c r="FW27" i="2"/>
  <c r="FV27" i="2"/>
  <c r="FU27" i="2"/>
  <c r="FT27" i="2"/>
  <c r="FS27" i="2"/>
  <c r="FR27" i="2"/>
  <c r="FQ27" i="2"/>
  <c r="FM27" i="2"/>
  <c r="FL27" i="2"/>
  <c r="FK27" i="2"/>
  <c r="FJ27" i="2"/>
  <c r="FI27" i="2"/>
  <c r="FH27" i="2"/>
  <c r="FG27" i="2"/>
  <c r="FF27" i="2"/>
  <c r="FE27" i="2"/>
  <c r="FD27" i="2"/>
  <c r="FC27" i="2"/>
  <c r="FB27" i="2"/>
  <c r="FA27" i="2"/>
  <c r="EZ27" i="2"/>
  <c r="EV27" i="2"/>
  <c r="EU27" i="2"/>
  <c r="ET27" i="2"/>
  <c r="ES27" i="2"/>
  <c r="ER27" i="2"/>
  <c r="EQ27" i="2"/>
  <c r="EP27" i="2"/>
  <c r="EO27" i="2"/>
  <c r="EN27" i="2"/>
  <c r="EM27" i="2"/>
  <c r="EL27" i="2"/>
  <c r="EK27" i="2"/>
  <c r="EJ27" i="2"/>
  <c r="EI27" i="2"/>
  <c r="EE27" i="2"/>
  <c r="ED27" i="2"/>
  <c r="EC27" i="2"/>
  <c r="EB27" i="2"/>
  <c r="EA27" i="2"/>
  <c r="DZ27" i="2"/>
  <c r="DY27" i="2"/>
  <c r="DX27" i="2"/>
  <c r="DW27" i="2"/>
  <c r="DV27" i="2"/>
  <c r="DU27" i="2"/>
  <c r="DT27" i="2"/>
  <c r="DS27" i="2"/>
  <c r="DR27" i="2"/>
  <c r="DN27" i="2"/>
  <c r="DM27" i="2"/>
  <c r="DL27" i="2"/>
  <c r="DK27" i="2"/>
  <c r="DJ27" i="2"/>
  <c r="DI27" i="2"/>
  <c r="DH27" i="2"/>
  <c r="DG27" i="2"/>
  <c r="DF27" i="2"/>
  <c r="DE27" i="2"/>
  <c r="DD27" i="2"/>
  <c r="DC27" i="2"/>
  <c r="DB27" i="2"/>
  <c r="DA27" i="2"/>
  <c r="CW27" i="2"/>
  <c r="CV27" i="2"/>
  <c r="CU27" i="2"/>
  <c r="CT27" i="2"/>
  <c r="CS27" i="2"/>
  <c r="CR27" i="2"/>
  <c r="CQ27" i="2"/>
  <c r="CP27" i="2"/>
  <c r="CO27" i="2"/>
  <c r="CN27" i="2"/>
  <c r="CM27" i="2"/>
  <c r="CL27" i="2"/>
  <c r="CK27" i="2"/>
  <c r="CJ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IV26" i="2"/>
  <c r="IU26" i="2"/>
  <c r="IE26" i="2"/>
  <c r="ID26" i="2"/>
  <c r="HN26" i="2"/>
  <c r="HM26" i="2"/>
  <c r="GW26" i="2"/>
  <c r="GV26" i="2"/>
  <c r="GF26" i="2"/>
  <c r="GE26" i="2"/>
  <c r="FO26" i="2"/>
  <c r="FN26" i="2"/>
  <c r="EX26" i="2"/>
  <c r="EW26" i="2"/>
  <c r="EG26" i="2"/>
  <c r="EF26" i="2"/>
  <c r="DP26" i="2"/>
  <c r="DO26" i="2"/>
  <c r="CY26" i="2"/>
  <c r="CX26" i="2"/>
  <c r="CH26" i="2"/>
  <c r="CG26" i="2"/>
  <c r="BQ26" i="2"/>
  <c r="BP26" i="2"/>
  <c r="AZ26" i="2"/>
  <c r="AY26" i="2"/>
  <c r="AI26" i="2"/>
  <c r="AH26" i="2"/>
  <c r="R26" i="2"/>
  <c r="Q26" i="2"/>
  <c r="IV25" i="2"/>
  <c r="IU25" i="2"/>
  <c r="IE25" i="2"/>
  <c r="ID25" i="2"/>
  <c r="HN25" i="2"/>
  <c r="HM25" i="2"/>
  <c r="GW25" i="2"/>
  <c r="GV25" i="2"/>
  <c r="GF25" i="2"/>
  <c r="GE25" i="2"/>
  <c r="FO25" i="2"/>
  <c r="FN25" i="2"/>
  <c r="EX25" i="2"/>
  <c r="EW25" i="2"/>
  <c r="EG25" i="2"/>
  <c r="EF25" i="2"/>
  <c r="DP25" i="2"/>
  <c r="DO25" i="2"/>
  <c r="CY25" i="2"/>
  <c r="CX25" i="2"/>
  <c r="CH25" i="2"/>
  <c r="CG25" i="2"/>
  <c r="BQ25" i="2"/>
  <c r="BP25" i="2"/>
  <c r="AZ25" i="2"/>
  <c r="AY25" i="2"/>
  <c r="AI25" i="2"/>
  <c r="AH25" i="2"/>
  <c r="R25" i="2"/>
  <c r="R49" i="2"/>
  <c r="Q25" i="2"/>
  <c r="Q49" i="2"/>
  <c r="IV24" i="2"/>
  <c r="IU24" i="2"/>
  <c r="IE24" i="2"/>
  <c r="ID24" i="2"/>
  <c r="HN24" i="2"/>
  <c r="HM24" i="2"/>
  <c r="GW24" i="2"/>
  <c r="GV24" i="2"/>
  <c r="GF24" i="2"/>
  <c r="GE24" i="2"/>
  <c r="FO24" i="2"/>
  <c r="FN24" i="2"/>
  <c r="EX24" i="2"/>
  <c r="EW24" i="2"/>
  <c r="EG24" i="2"/>
  <c r="EF24" i="2"/>
  <c r="DP24" i="2"/>
  <c r="DO24" i="2"/>
  <c r="CY24" i="2"/>
  <c r="CX24" i="2"/>
  <c r="CH24" i="2"/>
  <c r="CG24" i="2"/>
  <c r="BQ24" i="2"/>
  <c r="BP24" i="2"/>
  <c r="AZ24" i="2"/>
  <c r="AY24" i="2"/>
  <c r="AI24" i="2"/>
  <c r="AH24" i="2"/>
  <c r="R24" i="2"/>
  <c r="Q24" i="2"/>
  <c r="IV23" i="2"/>
  <c r="IU23" i="2"/>
  <c r="IE23" i="2"/>
  <c r="ID23" i="2"/>
  <c r="HN23" i="2"/>
  <c r="HM23" i="2"/>
  <c r="GW23" i="2"/>
  <c r="GV23" i="2"/>
  <c r="GF23" i="2"/>
  <c r="GE23" i="2"/>
  <c r="FO23" i="2"/>
  <c r="FN23" i="2"/>
  <c r="EX23" i="2"/>
  <c r="EW23" i="2"/>
  <c r="EG23" i="2"/>
  <c r="EF23" i="2"/>
  <c r="DP23" i="2"/>
  <c r="DO23" i="2"/>
  <c r="CY23" i="2"/>
  <c r="CX23" i="2"/>
  <c r="CH23" i="2"/>
  <c r="CG23" i="2"/>
  <c r="BQ23" i="2"/>
  <c r="BP23" i="2"/>
  <c r="AZ23" i="2"/>
  <c r="AY23" i="2"/>
  <c r="AI23" i="2"/>
  <c r="AH23" i="2"/>
  <c r="R23" i="2"/>
  <c r="R47" i="2"/>
  <c r="Q23" i="2"/>
  <c r="IV22" i="2"/>
  <c r="IU22" i="2"/>
  <c r="IE22" i="2"/>
  <c r="ID22" i="2"/>
  <c r="HN22" i="2"/>
  <c r="HM22" i="2"/>
  <c r="GW22" i="2"/>
  <c r="GV22" i="2"/>
  <c r="GF22" i="2"/>
  <c r="GE22" i="2"/>
  <c r="FO22" i="2"/>
  <c r="FN22" i="2"/>
  <c r="EX22" i="2"/>
  <c r="EW22" i="2"/>
  <c r="EG22" i="2"/>
  <c r="EF22" i="2"/>
  <c r="DP22" i="2"/>
  <c r="DO22" i="2"/>
  <c r="CY22" i="2"/>
  <c r="CX22" i="2"/>
  <c r="CH22" i="2"/>
  <c r="CG22" i="2"/>
  <c r="BQ22" i="2"/>
  <c r="BP22" i="2"/>
  <c r="AZ22" i="2"/>
  <c r="AY22" i="2"/>
  <c r="AI22" i="2"/>
  <c r="AH22" i="2"/>
  <c r="R22" i="2"/>
  <c r="Q22" i="2"/>
  <c r="IV21" i="2"/>
  <c r="IU21" i="2"/>
  <c r="IE21" i="2"/>
  <c r="ID21" i="2"/>
  <c r="HN21" i="2"/>
  <c r="HM21" i="2"/>
  <c r="GW21" i="2"/>
  <c r="GV21" i="2"/>
  <c r="GF21" i="2"/>
  <c r="GE21" i="2"/>
  <c r="FO21" i="2"/>
  <c r="FN21" i="2"/>
  <c r="EX21" i="2"/>
  <c r="EW21" i="2"/>
  <c r="EG21" i="2"/>
  <c r="EF21" i="2"/>
  <c r="DP21" i="2"/>
  <c r="DO21" i="2"/>
  <c r="CY21" i="2"/>
  <c r="CX21" i="2"/>
  <c r="CH21" i="2"/>
  <c r="CG21" i="2"/>
  <c r="BQ21" i="2"/>
  <c r="BP21" i="2"/>
  <c r="AZ21" i="2"/>
  <c r="AY21" i="2"/>
  <c r="AI21" i="2"/>
  <c r="AH21" i="2"/>
  <c r="R21" i="2"/>
  <c r="R45" i="2"/>
  <c r="Q21" i="2"/>
  <c r="Q45" i="2"/>
  <c r="IV20" i="2"/>
  <c r="IU20" i="2"/>
  <c r="IE20" i="2"/>
  <c r="ID20" i="2"/>
  <c r="HN20" i="2"/>
  <c r="HM20" i="2"/>
  <c r="GW20" i="2"/>
  <c r="GV20" i="2"/>
  <c r="GF20" i="2"/>
  <c r="GE20" i="2"/>
  <c r="FO20" i="2"/>
  <c r="FN20" i="2"/>
  <c r="EX20" i="2"/>
  <c r="EW20" i="2"/>
  <c r="EG20" i="2"/>
  <c r="EF20" i="2"/>
  <c r="DP20" i="2"/>
  <c r="DO20" i="2"/>
  <c r="CY20" i="2"/>
  <c r="CX20" i="2"/>
  <c r="CH20" i="2"/>
  <c r="CG20" i="2"/>
  <c r="BQ20" i="2"/>
  <c r="BP20" i="2"/>
  <c r="AZ20" i="2"/>
  <c r="AY20" i="2"/>
  <c r="AI20" i="2"/>
  <c r="AH20" i="2"/>
  <c r="R20" i="2"/>
  <c r="Q20" i="2"/>
  <c r="IV19" i="2"/>
  <c r="IU19" i="2"/>
  <c r="IE19" i="2"/>
  <c r="ID19" i="2"/>
  <c r="HN19" i="2"/>
  <c r="HM19" i="2"/>
  <c r="GW19" i="2"/>
  <c r="GV19" i="2"/>
  <c r="GF19" i="2"/>
  <c r="GE19" i="2"/>
  <c r="FO19" i="2"/>
  <c r="FN19" i="2"/>
  <c r="EX19" i="2"/>
  <c r="EW19" i="2"/>
  <c r="EG19" i="2"/>
  <c r="EF19" i="2"/>
  <c r="DP19" i="2"/>
  <c r="DO19" i="2"/>
  <c r="CY19" i="2"/>
  <c r="CX19" i="2"/>
  <c r="CH19" i="2"/>
  <c r="CG19" i="2"/>
  <c r="BQ19" i="2"/>
  <c r="BP19" i="2"/>
  <c r="AZ19" i="2"/>
  <c r="AY19" i="2"/>
  <c r="AI19" i="2"/>
  <c r="AH19" i="2"/>
  <c r="R19" i="2"/>
  <c r="R43" i="2"/>
  <c r="Q19" i="2"/>
  <c r="IV18" i="2"/>
  <c r="IU18" i="2"/>
  <c r="IE18" i="2"/>
  <c r="ID18" i="2"/>
  <c r="HN18" i="2"/>
  <c r="HM18" i="2"/>
  <c r="GW18" i="2"/>
  <c r="GV18" i="2"/>
  <c r="GF18" i="2"/>
  <c r="GE18" i="2"/>
  <c r="FO18" i="2"/>
  <c r="FN18" i="2"/>
  <c r="EX18" i="2"/>
  <c r="EW18" i="2"/>
  <c r="EG18" i="2"/>
  <c r="EF18" i="2"/>
  <c r="DP18" i="2"/>
  <c r="DO18" i="2"/>
  <c r="CY18" i="2"/>
  <c r="CX18" i="2"/>
  <c r="CH18" i="2"/>
  <c r="CG18" i="2"/>
  <c r="BQ18" i="2"/>
  <c r="BP18" i="2"/>
  <c r="AZ18" i="2"/>
  <c r="AY18" i="2"/>
  <c r="AI18" i="2"/>
  <c r="AH18" i="2"/>
  <c r="R18" i="2"/>
  <c r="Q18" i="2"/>
  <c r="IV17" i="2"/>
  <c r="IU17" i="2"/>
  <c r="IE17" i="2"/>
  <c r="ID17" i="2"/>
  <c r="HN17" i="2"/>
  <c r="HM17" i="2"/>
  <c r="GW17" i="2"/>
  <c r="GV17" i="2"/>
  <c r="GF17" i="2"/>
  <c r="GE17" i="2"/>
  <c r="FO17" i="2"/>
  <c r="FN17" i="2"/>
  <c r="EX17" i="2"/>
  <c r="EW17" i="2"/>
  <c r="EG17" i="2"/>
  <c r="EF17" i="2"/>
  <c r="DP17" i="2"/>
  <c r="DO17" i="2"/>
  <c r="CY17" i="2"/>
  <c r="CX17" i="2"/>
  <c r="CH17" i="2"/>
  <c r="CG17" i="2"/>
  <c r="BQ17" i="2"/>
  <c r="BP17" i="2"/>
  <c r="AZ17" i="2"/>
  <c r="AY17" i="2"/>
  <c r="AI17" i="2"/>
  <c r="AH17" i="2"/>
  <c r="R17" i="2"/>
  <c r="R41" i="2"/>
  <c r="Q17" i="2"/>
  <c r="IV16" i="2"/>
  <c r="IU16" i="2"/>
  <c r="IE16" i="2"/>
  <c r="ID16" i="2"/>
  <c r="HN16" i="2"/>
  <c r="HM16" i="2"/>
  <c r="GW16" i="2"/>
  <c r="GV16" i="2"/>
  <c r="GF16" i="2"/>
  <c r="GE16" i="2"/>
  <c r="FO16" i="2"/>
  <c r="FN16" i="2"/>
  <c r="EX16" i="2"/>
  <c r="EW16" i="2"/>
  <c r="EG16" i="2"/>
  <c r="EF16" i="2"/>
  <c r="DP16" i="2"/>
  <c r="DO16" i="2"/>
  <c r="CY16" i="2"/>
  <c r="CX16" i="2"/>
  <c r="CH16" i="2"/>
  <c r="CG16" i="2"/>
  <c r="BQ16" i="2"/>
  <c r="BP16" i="2"/>
  <c r="AZ16" i="2"/>
  <c r="AY16" i="2"/>
  <c r="AI16" i="2"/>
  <c r="R40" i="2"/>
  <c r="AH16" i="2"/>
  <c r="R16" i="2"/>
  <c r="Q16" i="2"/>
  <c r="IV15" i="2"/>
  <c r="IU15" i="2"/>
  <c r="IE15" i="2"/>
  <c r="ID15" i="2"/>
  <c r="HN15" i="2"/>
  <c r="HM15" i="2"/>
  <c r="GW15" i="2"/>
  <c r="GV15" i="2"/>
  <c r="GF15" i="2"/>
  <c r="GE15" i="2"/>
  <c r="FO15" i="2"/>
  <c r="FN15" i="2"/>
  <c r="EX15" i="2"/>
  <c r="EW15" i="2"/>
  <c r="EG15" i="2"/>
  <c r="EF15" i="2"/>
  <c r="DP15" i="2"/>
  <c r="DO15" i="2"/>
  <c r="CY15" i="2"/>
  <c r="CX15" i="2"/>
  <c r="CH15" i="2"/>
  <c r="CG15" i="2"/>
  <c r="BQ15" i="2"/>
  <c r="BP15" i="2"/>
  <c r="AZ15" i="2"/>
  <c r="AY15" i="2"/>
  <c r="AI15" i="2"/>
  <c r="AH15" i="2"/>
  <c r="R15" i="2"/>
  <c r="R39" i="2"/>
  <c r="Q15" i="2"/>
  <c r="Q39" i="2"/>
  <c r="IV14" i="2"/>
  <c r="IU14" i="2"/>
  <c r="IE14" i="2"/>
  <c r="ID14" i="2"/>
  <c r="HN14" i="2"/>
  <c r="HM14" i="2"/>
  <c r="GW14" i="2"/>
  <c r="GV14" i="2"/>
  <c r="GF14" i="2"/>
  <c r="GE14" i="2"/>
  <c r="FO14" i="2"/>
  <c r="FN14" i="2"/>
  <c r="EX14" i="2"/>
  <c r="EW14" i="2"/>
  <c r="EG14" i="2"/>
  <c r="EF14" i="2"/>
  <c r="DP14" i="2"/>
  <c r="DO14" i="2"/>
  <c r="CY14" i="2"/>
  <c r="CX14" i="2"/>
  <c r="CH14" i="2"/>
  <c r="CG14" i="2"/>
  <c r="BQ14" i="2"/>
  <c r="BP14" i="2"/>
  <c r="AZ14" i="2"/>
  <c r="AY14" i="2"/>
  <c r="AI14" i="2"/>
  <c r="R38" i="2"/>
  <c r="AH14" i="2"/>
  <c r="R14" i="2"/>
  <c r="Q14" i="2"/>
  <c r="IV13" i="2"/>
  <c r="IU13" i="2"/>
  <c r="IE13" i="2"/>
  <c r="ID13" i="2"/>
  <c r="HN13" i="2"/>
  <c r="HM13" i="2"/>
  <c r="GW13" i="2"/>
  <c r="GV13" i="2"/>
  <c r="GF13" i="2"/>
  <c r="GE13" i="2"/>
  <c r="FO13" i="2"/>
  <c r="FN13" i="2"/>
  <c r="EX13" i="2"/>
  <c r="EW13" i="2"/>
  <c r="EG13" i="2"/>
  <c r="EF13" i="2"/>
  <c r="DP13" i="2"/>
  <c r="DO13" i="2"/>
  <c r="CY13" i="2"/>
  <c r="CX13" i="2"/>
  <c r="CH13" i="2"/>
  <c r="CG13" i="2"/>
  <c r="BQ13" i="2"/>
  <c r="BP13" i="2"/>
  <c r="AZ13" i="2"/>
  <c r="AY13" i="2"/>
  <c r="AI13" i="2"/>
  <c r="AH13" i="2"/>
  <c r="R13" i="2"/>
  <c r="R37" i="2"/>
  <c r="Q13" i="2"/>
  <c r="Q37" i="2"/>
  <c r="IV12" i="2"/>
  <c r="IU12" i="2"/>
  <c r="IE12" i="2"/>
  <c r="ID12" i="2"/>
  <c r="HN12" i="2"/>
  <c r="HM12" i="2"/>
  <c r="GW12" i="2"/>
  <c r="GV12" i="2"/>
  <c r="GF12" i="2"/>
  <c r="GE12" i="2"/>
  <c r="FO12" i="2"/>
  <c r="FN12" i="2"/>
  <c r="EX12" i="2"/>
  <c r="EW12" i="2"/>
  <c r="EG12" i="2"/>
  <c r="EF12" i="2"/>
  <c r="DP12" i="2"/>
  <c r="DO12" i="2"/>
  <c r="CY12" i="2"/>
  <c r="CX12" i="2"/>
  <c r="CH12" i="2"/>
  <c r="CG12" i="2"/>
  <c r="BQ12" i="2"/>
  <c r="BP12" i="2"/>
  <c r="AZ12" i="2"/>
  <c r="AY12" i="2"/>
  <c r="AI12" i="2"/>
  <c r="R36" i="2"/>
  <c r="AH12" i="2"/>
  <c r="R12" i="2"/>
  <c r="Q12" i="2"/>
  <c r="IV11" i="2"/>
  <c r="IU11" i="2"/>
  <c r="IE11" i="2"/>
  <c r="ID11" i="2"/>
  <c r="HN11" i="2"/>
  <c r="HM11" i="2"/>
  <c r="GW11" i="2"/>
  <c r="GV11" i="2"/>
  <c r="GF11" i="2"/>
  <c r="GE11" i="2"/>
  <c r="FO11" i="2"/>
  <c r="FN11" i="2"/>
  <c r="EX11" i="2"/>
  <c r="EW11" i="2"/>
  <c r="EG11" i="2"/>
  <c r="EF11" i="2"/>
  <c r="DP11" i="2"/>
  <c r="DO11" i="2"/>
  <c r="CY11" i="2"/>
  <c r="CX11" i="2"/>
  <c r="CH11" i="2"/>
  <c r="CG11" i="2"/>
  <c r="BQ11" i="2"/>
  <c r="BP11" i="2"/>
  <c r="AZ11" i="2"/>
  <c r="AY11" i="2"/>
  <c r="AI11" i="2"/>
  <c r="AH11" i="2"/>
  <c r="R11" i="2"/>
  <c r="R35" i="2"/>
  <c r="Q11" i="2"/>
  <c r="Q35" i="2"/>
  <c r="IV10" i="2"/>
  <c r="IU10" i="2"/>
  <c r="IE10" i="2"/>
  <c r="ID10" i="2"/>
  <c r="HN10" i="2"/>
  <c r="HM10" i="2"/>
  <c r="GW10" i="2"/>
  <c r="GV10" i="2"/>
  <c r="GF10" i="2"/>
  <c r="GE10" i="2"/>
  <c r="FO10" i="2"/>
  <c r="FN10" i="2"/>
  <c r="EX10" i="2"/>
  <c r="EW10" i="2"/>
  <c r="EG10" i="2"/>
  <c r="EF10" i="2"/>
  <c r="DP10" i="2"/>
  <c r="DO10" i="2"/>
  <c r="CY10" i="2"/>
  <c r="CX10" i="2"/>
  <c r="CH10" i="2"/>
  <c r="CG10" i="2"/>
  <c r="BQ10" i="2"/>
  <c r="BP10" i="2"/>
  <c r="AZ10" i="2"/>
  <c r="AY10" i="2"/>
  <c r="AI10" i="2"/>
  <c r="R34" i="2"/>
  <c r="AH10" i="2"/>
  <c r="R10" i="2"/>
  <c r="Q10" i="2"/>
  <c r="IV9" i="2"/>
  <c r="IU9" i="2"/>
  <c r="IE9" i="2"/>
  <c r="ID9" i="2"/>
  <c r="HN9" i="2"/>
  <c r="HM9" i="2"/>
  <c r="GW9" i="2"/>
  <c r="GV9" i="2"/>
  <c r="GF9" i="2"/>
  <c r="GE9" i="2"/>
  <c r="FO9" i="2"/>
  <c r="FN9" i="2"/>
  <c r="EX9" i="2"/>
  <c r="EW9" i="2"/>
  <c r="EG9" i="2"/>
  <c r="EF9" i="2"/>
  <c r="DP9" i="2"/>
  <c r="DO9" i="2"/>
  <c r="CY9" i="2"/>
  <c r="CX9" i="2"/>
  <c r="CH9" i="2"/>
  <c r="CG9" i="2"/>
  <c r="BQ9" i="2"/>
  <c r="BP9" i="2"/>
  <c r="AZ9" i="2"/>
  <c r="AY9" i="2"/>
  <c r="AI9" i="2"/>
  <c r="AH9" i="2"/>
  <c r="R9" i="2"/>
  <c r="R33" i="2"/>
  <c r="Q9" i="2"/>
  <c r="Q33" i="2"/>
  <c r="IV8" i="2"/>
  <c r="IU8" i="2"/>
  <c r="IE8" i="2"/>
  <c r="IE27" i="2"/>
  <c r="ID8" i="2"/>
  <c r="HN8" i="2"/>
  <c r="HM8" i="2"/>
  <c r="GW8" i="2"/>
  <c r="GW27" i="2"/>
  <c r="GV8" i="2"/>
  <c r="GF8" i="2"/>
  <c r="GE8" i="2"/>
  <c r="FO8" i="2"/>
  <c r="FO27" i="2"/>
  <c r="FN8" i="2"/>
  <c r="EX8" i="2"/>
  <c r="EW8" i="2"/>
  <c r="EG8" i="2"/>
  <c r="EG27" i="2"/>
  <c r="EF8" i="2"/>
  <c r="DP8" i="2"/>
  <c r="DO8" i="2"/>
  <c r="CY8" i="2"/>
  <c r="CY27" i="2"/>
  <c r="CX8" i="2"/>
  <c r="CH8" i="2"/>
  <c r="CG8" i="2"/>
  <c r="BQ8" i="2"/>
  <c r="BQ27" i="2"/>
  <c r="BP8" i="2"/>
  <c r="AZ8" i="2"/>
  <c r="AY8" i="2"/>
  <c r="AI8" i="2"/>
  <c r="R32" i="2"/>
  <c r="AH8" i="2"/>
  <c r="R8" i="2"/>
  <c r="Q8" i="2"/>
  <c r="IT27" i="1"/>
  <c r="IS27" i="1"/>
  <c r="IR27" i="1"/>
  <c r="IQ27" i="1"/>
  <c r="IP27" i="1"/>
  <c r="IO27" i="1"/>
  <c r="IN27" i="1"/>
  <c r="IM27" i="1"/>
  <c r="IL27" i="1"/>
  <c r="IK27" i="1"/>
  <c r="IJ27" i="1"/>
  <c r="II27" i="1"/>
  <c r="IH27" i="1"/>
  <c r="IG27" i="1"/>
  <c r="IV26" i="1"/>
  <c r="IU26" i="1"/>
  <c r="IV25" i="1"/>
  <c r="IU25" i="1"/>
  <c r="IV24" i="1"/>
  <c r="IU24" i="1"/>
  <c r="IV23" i="1"/>
  <c r="IU23" i="1"/>
  <c r="IV22" i="1"/>
  <c r="IU22" i="1"/>
  <c r="IV21" i="1"/>
  <c r="IU21" i="1"/>
  <c r="IV20" i="1"/>
  <c r="IU20" i="1"/>
  <c r="IV19" i="1"/>
  <c r="IU19" i="1"/>
  <c r="IV18" i="1"/>
  <c r="IU18" i="1"/>
  <c r="IV17" i="1"/>
  <c r="IU17" i="1"/>
  <c r="IV16" i="1"/>
  <c r="IU16" i="1"/>
  <c r="IV15" i="1"/>
  <c r="IU15" i="1"/>
  <c r="IV14" i="1"/>
  <c r="IU14" i="1"/>
  <c r="IV13" i="1"/>
  <c r="IU13" i="1"/>
  <c r="IV12" i="1"/>
  <c r="IU12" i="1"/>
  <c r="IV11" i="1"/>
  <c r="IU11" i="1"/>
  <c r="IV10" i="1"/>
  <c r="IU10" i="1"/>
  <c r="IV9" i="1"/>
  <c r="IU9" i="1"/>
  <c r="IV8" i="1"/>
  <c r="IU8" i="1"/>
  <c r="IU27" i="1"/>
  <c r="IC27" i="1"/>
  <c r="IB27" i="1"/>
  <c r="IA27" i="1"/>
  <c r="HZ27" i="1"/>
  <c r="HY27" i="1"/>
  <c r="HX27" i="1"/>
  <c r="HW27" i="1"/>
  <c r="HV27" i="1"/>
  <c r="HU27" i="1"/>
  <c r="HT27" i="1"/>
  <c r="HS27" i="1"/>
  <c r="HR27" i="1"/>
  <c r="HQ27" i="1"/>
  <c r="HP27" i="1"/>
  <c r="IE26" i="1"/>
  <c r="ID26" i="1"/>
  <c r="IE25" i="1"/>
  <c r="ID25" i="1"/>
  <c r="IE24" i="1"/>
  <c r="ID24" i="1"/>
  <c r="IE23" i="1"/>
  <c r="ID23" i="1"/>
  <c r="IE22" i="1"/>
  <c r="ID22" i="1"/>
  <c r="IE21" i="1"/>
  <c r="ID21" i="1"/>
  <c r="IE20" i="1"/>
  <c r="ID20" i="1"/>
  <c r="IE19" i="1"/>
  <c r="ID19" i="1"/>
  <c r="IE18" i="1"/>
  <c r="ID18" i="1"/>
  <c r="IE17" i="1"/>
  <c r="ID17" i="1"/>
  <c r="IE16" i="1"/>
  <c r="ID16" i="1"/>
  <c r="IE15" i="1"/>
  <c r="ID15" i="1"/>
  <c r="IE14" i="1"/>
  <c r="ID14" i="1"/>
  <c r="IE13" i="1"/>
  <c r="ID13" i="1"/>
  <c r="IE12" i="1"/>
  <c r="ID12" i="1"/>
  <c r="IE11" i="1"/>
  <c r="ID11" i="1"/>
  <c r="IE10" i="1"/>
  <c r="ID10" i="1"/>
  <c r="IE9" i="1"/>
  <c r="ID9" i="1"/>
  <c r="IE8" i="1"/>
  <c r="ID8" i="1"/>
  <c r="ID27" i="1"/>
  <c r="HL27" i="1"/>
  <c r="HK27" i="1"/>
  <c r="HJ27" i="1"/>
  <c r="HI27" i="1"/>
  <c r="HH27" i="1"/>
  <c r="HG27" i="1"/>
  <c r="HF27" i="1"/>
  <c r="HE27" i="1"/>
  <c r="HD27" i="1"/>
  <c r="HC27" i="1"/>
  <c r="HB27" i="1"/>
  <c r="HA27" i="1"/>
  <c r="GZ27" i="1"/>
  <c r="GY27" i="1"/>
  <c r="HN26" i="1"/>
  <c r="HM26" i="1"/>
  <c r="HN25" i="1"/>
  <c r="HM25" i="1"/>
  <c r="HN24" i="1"/>
  <c r="HM24" i="1"/>
  <c r="HN23" i="1"/>
  <c r="HM23" i="1"/>
  <c r="HN22" i="1"/>
  <c r="HM22" i="1"/>
  <c r="HN21" i="1"/>
  <c r="HM21" i="1"/>
  <c r="HN20" i="1"/>
  <c r="HM20" i="1"/>
  <c r="HN19" i="1"/>
  <c r="HM19" i="1"/>
  <c r="HN18" i="1"/>
  <c r="HM18" i="1"/>
  <c r="HN17" i="1"/>
  <c r="HM17" i="1"/>
  <c r="HN16" i="1"/>
  <c r="HM16" i="1"/>
  <c r="HN15" i="1"/>
  <c r="HM15" i="1"/>
  <c r="HN14" i="1"/>
  <c r="HM14" i="1"/>
  <c r="HN13" i="1"/>
  <c r="HM13" i="1"/>
  <c r="HN12" i="1"/>
  <c r="HM12" i="1"/>
  <c r="HN11" i="1"/>
  <c r="HM11" i="1"/>
  <c r="HN10" i="1"/>
  <c r="HM10" i="1"/>
  <c r="HN9" i="1"/>
  <c r="HM9" i="1"/>
  <c r="HN8" i="1"/>
  <c r="HM8" i="1"/>
  <c r="HM27" i="1"/>
  <c r="GU27" i="1"/>
  <c r="GT27" i="1"/>
  <c r="GS27" i="1"/>
  <c r="GR27" i="1"/>
  <c r="GQ27" i="1"/>
  <c r="GP27" i="1"/>
  <c r="GO27" i="1"/>
  <c r="GN27" i="1"/>
  <c r="GM27" i="1"/>
  <c r="GL27" i="1"/>
  <c r="GK27" i="1"/>
  <c r="GJ27" i="1"/>
  <c r="GI27" i="1"/>
  <c r="GH27" i="1"/>
  <c r="GW26" i="1"/>
  <c r="GV26" i="1"/>
  <c r="GW25" i="1"/>
  <c r="GV25" i="1"/>
  <c r="GW24" i="1"/>
  <c r="GV24" i="1"/>
  <c r="GW23" i="1"/>
  <c r="GV23" i="1"/>
  <c r="GW22" i="1"/>
  <c r="GV22" i="1"/>
  <c r="GW21" i="1"/>
  <c r="GV21" i="1"/>
  <c r="GW20" i="1"/>
  <c r="GV20" i="1"/>
  <c r="GW19" i="1"/>
  <c r="GV19" i="1"/>
  <c r="GW18" i="1"/>
  <c r="GV18" i="1"/>
  <c r="GW17" i="1"/>
  <c r="GV17" i="1"/>
  <c r="GW16" i="1"/>
  <c r="GV16" i="1"/>
  <c r="GW15" i="1"/>
  <c r="GV15" i="1"/>
  <c r="GW14" i="1"/>
  <c r="GV14" i="1"/>
  <c r="GW13" i="1"/>
  <c r="GV13" i="1"/>
  <c r="GW12" i="1"/>
  <c r="GV12" i="1"/>
  <c r="GW11" i="1"/>
  <c r="GV11" i="1"/>
  <c r="GW10" i="1"/>
  <c r="GV10" i="1"/>
  <c r="GW9" i="1"/>
  <c r="GV9" i="1"/>
  <c r="GW8" i="1"/>
  <c r="GV8" i="1"/>
  <c r="GV27" i="1"/>
  <c r="GD27" i="1"/>
  <c r="GC27" i="1"/>
  <c r="GB27" i="1"/>
  <c r="GA27" i="1"/>
  <c r="FZ27" i="1"/>
  <c r="FY27" i="1"/>
  <c r="FX27" i="1"/>
  <c r="FW27" i="1"/>
  <c r="FV27" i="1"/>
  <c r="FU27" i="1"/>
  <c r="FT27" i="1"/>
  <c r="FS27" i="1"/>
  <c r="FR27" i="1"/>
  <c r="FQ27" i="1"/>
  <c r="GF26" i="1"/>
  <c r="GE26" i="1"/>
  <c r="GF25" i="1"/>
  <c r="GE25" i="1"/>
  <c r="GF24" i="1"/>
  <c r="GE24" i="1"/>
  <c r="GF23" i="1"/>
  <c r="GE23" i="1"/>
  <c r="GF22" i="1"/>
  <c r="GE22" i="1"/>
  <c r="GF21" i="1"/>
  <c r="GE21" i="1"/>
  <c r="GF20" i="1"/>
  <c r="GE20" i="1"/>
  <c r="GF19" i="1"/>
  <c r="GE19" i="1"/>
  <c r="GF18" i="1"/>
  <c r="GE18" i="1"/>
  <c r="GF17" i="1"/>
  <c r="GE17" i="1"/>
  <c r="GF16" i="1"/>
  <c r="GE16" i="1"/>
  <c r="GF15" i="1"/>
  <c r="GE15" i="1"/>
  <c r="GF14" i="1"/>
  <c r="GE14" i="1"/>
  <c r="GF13" i="1"/>
  <c r="GE13" i="1"/>
  <c r="GF12" i="1"/>
  <c r="GE12" i="1"/>
  <c r="GF11" i="1"/>
  <c r="GE11" i="1"/>
  <c r="GF10" i="1"/>
  <c r="GE10" i="1"/>
  <c r="GF9" i="1"/>
  <c r="GE9" i="1"/>
  <c r="GF8" i="1"/>
  <c r="GE8" i="1"/>
  <c r="FM27" i="1"/>
  <c r="FL27" i="1"/>
  <c r="FK27" i="1"/>
  <c r="FJ27" i="1"/>
  <c r="FI27" i="1"/>
  <c r="FH27" i="1"/>
  <c r="FG27" i="1"/>
  <c r="FF27" i="1"/>
  <c r="FE27" i="1"/>
  <c r="FD27" i="1"/>
  <c r="FC27" i="1"/>
  <c r="FB27" i="1"/>
  <c r="FA27" i="1"/>
  <c r="EZ27" i="1"/>
  <c r="FO26" i="1"/>
  <c r="FN26" i="1"/>
  <c r="FO25" i="1"/>
  <c r="FN25" i="1"/>
  <c r="FO24" i="1"/>
  <c r="FN24" i="1"/>
  <c r="FO23" i="1"/>
  <c r="FN23" i="1"/>
  <c r="FO22" i="1"/>
  <c r="FN22" i="1"/>
  <c r="FO21" i="1"/>
  <c r="FN21" i="1"/>
  <c r="FO20" i="1"/>
  <c r="FN20" i="1"/>
  <c r="FO19" i="1"/>
  <c r="FN19" i="1"/>
  <c r="FO18" i="1"/>
  <c r="FN18" i="1"/>
  <c r="FO17" i="1"/>
  <c r="FN17" i="1"/>
  <c r="FO16" i="1"/>
  <c r="FN16" i="1"/>
  <c r="FO15" i="1"/>
  <c r="FN15" i="1"/>
  <c r="FO14" i="1"/>
  <c r="FN14" i="1"/>
  <c r="FO13" i="1"/>
  <c r="FN13" i="1"/>
  <c r="FO12" i="1"/>
  <c r="FN12" i="1"/>
  <c r="FO11" i="1"/>
  <c r="FN11" i="1"/>
  <c r="FO10" i="1"/>
  <c r="FN10" i="1"/>
  <c r="FO9" i="1"/>
  <c r="FN9" i="1"/>
  <c r="FO8" i="1"/>
  <c r="FN8" i="1"/>
  <c r="EV27" i="1"/>
  <c r="EU27" i="1"/>
  <c r="ET27" i="1"/>
  <c r="ES27" i="1"/>
  <c r="ER27" i="1"/>
  <c r="EQ27" i="1"/>
  <c r="EP27" i="1"/>
  <c r="EO27" i="1"/>
  <c r="EN27" i="1"/>
  <c r="EM27" i="1"/>
  <c r="EL27" i="1"/>
  <c r="EK27" i="1"/>
  <c r="EJ27" i="1"/>
  <c r="EI27" i="1"/>
  <c r="EX26" i="1"/>
  <c r="EW26" i="1"/>
  <c r="EX25" i="1"/>
  <c r="EW25" i="1"/>
  <c r="EX24" i="1"/>
  <c r="EW24" i="1"/>
  <c r="EX23" i="1"/>
  <c r="EW23" i="1"/>
  <c r="EX22" i="1"/>
  <c r="EW22" i="1"/>
  <c r="EX21" i="1"/>
  <c r="EW21" i="1"/>
  <c r="EX20" i="1"/>
  <c r="EW20" i="1"/>
  <c r="EX19" i="1"/>
  <c r="EW19" i="1"/>
  <c r="EX18" i="1"/>
  <c r="EW18" i="1"/>
  <c r="EX17" i="1"/>
  <c r="EW17" i="1"/>
  <c r="EX16" i="1"/>
  <c r="EW16" i="1"/>
  <c r="EX15" i="1"/>
  <c r="EW15" i="1"/>
  <c r="EX14" i="1"/>
  <c r="EW14" i="1"/>
  <c r="EX13" i="1"/>
  <c r="EW13" i="1"/>
  <c r="EX12" i="1"/>
  <c r="EW12" i="1"/>
  <c r="EX11" i="1"/>
  <c r="EW11" i="1"/>
  <c r="EX10" i="1"/>
  <c r="EW10" i="1"/>
  <c r="EX9" i="1"/>
  <c r="EW9" i="1"/>
  <c r="EX8" i="1"/>
  <c r="EW8" i="1"/>
  <c r="EE27" i="1"/>
  <c r="ED27" i="1"/>
  <c r="EC27" i="1"/>
  <c r="EB27" i="1"/>
  <c r="EA27" i="1"/>
  <c r="DZ27" i="1"/>
  <c r="DY27" i="1"/>
  <c r="DX27" i="1"/>
  <c r="DW27" i="1"/>
  <c r="DV27" i="1"/>
  <c r="DU27" i="1"/>
  <c r="DT27" i="1"/>
  <c r="DS27" i="1"/>
  <c r="DR27" i="1"/>
  <c r="EG26" i="1"/>
  <c r="EF26" i="1"/>
  <c r="EG25" i="1"/>
  <c r="EF25" i="1"/>
  <c r="EG24" i="1"/>
  <c r="EF24" i="1"/>
  <c r="EG23" i="1"/>
  <c r="EF23" i="1"/>
  <c r="EG22" i="1"/>
  <c r="EF22" i="1"/>
  <c r="EG21" i="1"/>
  <c r="EF21" i="1"/>
  <c r="EG20" i="1"/>
  <c r="EF20" i="1"/>
  <c r="EG19" i="1"/>
  <c r="EF19" i="1"/>
  <c r="EG18" i="1"/>
  <c r="EF18" i="1"/>
  <c r="EG17" i="1"/>
  <c r="EF17" i="1"/>
  <c r="EG16" i="1"/>
  <c r="EF16" i="1"/>
  <c r="EG15" i="1"/>
  <c r="EF15" i="1"/>
  <c r="EG14" i="1"/>
  <c r="EF14" i="1"/>
  <c r="EG13" i="1"/>
  <c r="EF13" i="1"/>
  <c r="EG12" i="1"/>
  <c r="EF12" i="1"/>
  <c r="EG11" i="1"/>
  <c r="EF11" i="1"/>
  <c r="EG10" i="1"/>
  <c r="EF10" i="1"/>
  <c r="EG9" i="1"/>
  <c r="EF9" i="1"/>
  <c r="EG8" i="1"/>
  <c r="EF8" i="1"/>
  <c r="DN27" i="1"/>
  <c r="DM27" i="1"/>
  <c r="DL27" i="1"/>
  <c r="DK27" i="1"/>
  <c r="DJ27" i="1"/>
  <c r="DI27" i="1"/>
  <c r="DH27" i="1"/>
  <c r="DG27" i="1"/>
  <c r="DF27" i="1"/>
  <c r="DE27" i="1"/>
  <c r="DD27" i="1"/>
  <c r="DC27" i="1"/>
  <c r="DB27" i="1"/>
  <c r="DA27" i="1"/>
  <c r="DP26" i="1"/>
  <c r="DO26" i="1"/>
  <c r="DP25" i="1"/>
  <c r="DO25" i="1"/>
  <c r="DP24" i="1"/>
  <c r="DO24" i="1"/>
  <c r="DP23" i="1"/>
  <c r="DO23" i="1"/>
  <c r="DP22" i="1"/>
  <c r="DO22" i="1"/>
  <c r="DP21" i="1"/>
  <c r="DO21" i="1"/>
  <c r="DP20" i="1"/>
  <c r="DO20" i="1"/>
  <c r="DP19" i="1"/>
  <c r="DO19" i="1"/>
  <c r="DP18" i="1"/>
  <c r="DO18" i="1"/>
  <c r="DP17" i="1"/>
  <c r="DO17" i="1"/>
  <c r="DP16" i="1"/>
  <c r="DO16" i="1"/>
  <c r="DP15" i="1"/>
  <c r="DO15" i="1"/>
  <c r="DP14" i="1"/>
  <c r="DO14" i="1"/>
  <c r="DP13" i="1"/>
  <c r="DO13" i="1"/>
  <c r="DP12" i="1"/>
  <c r="DO12" i="1"/>
  <c r="DP11" i="1"/>
  <c r="DO11" i="1"/>
  <c r="DP10" i="1"/>
  <c r="DO10" i="1"/>
  <c r="DP9" i="1"/>
  <c r="DO9" i="1"/>
  <c r="DP8" i="1"/>
  <c r="DO8" i="1"/>
  <c r="CW27" i="1"/>
  <c r="CV27" i="1"/>
  <c r="CU27" i="1"/>
  <c r="CT27" i="1"/>
  <c r="CS27" i="1"/>
  <c r="CR27" i="1"/>
  <c r="CQ27" i="1"/>
  <c r="CP27" i="1"/>
  <c r="CO27" i="1"/>
  <c r="CN27" i="1"/>
  <c r="CM27" i="1"/>
  <c r="CL27" i="1"/>
  <c r="CK27" i="1"/>
  <c r="CJ27" i="1"/>
  <c r="CY26" i="1"/>
  <c r="CX26" i="1"/>
  <c r="CY25" i="1"/>
  <c r="CX25" i="1"/>
  <c r="CY24" i="1"/>
  <c r="CX24" i="1"/>
  <c r="CY23" i="1"/>
  <c r="CX23" i="1"/>
  <c r="CY22" i="1"/>
  <c r="CX22" i="1"/>
  <c r="CY21" i="1"/>
  <c r="CX21" i="1"/>
  <c r="CY20" i="1"/>
  <c r="CX20" i="1"/>
  <c r="CY19" i="1"/>
  <c r="CX19" i="1"/>
  <c r="CY18" i="1"/>
  <c r="CX18" i="1"/>
  <c r="CY17" i="1"/>
  <c r="CX17" i="1"/>
  <c r="CY16" i="1"/>
  <c r="CX16" i="1"/>
  <c r="CY15" i="1"/>
  <c r="CX15" i="1"/>
  <c r="CY14" i="1"/>
  <c r="CX14" i="1"/>
  <c r="CY13" i="1"/>
  <c r="CX13" i="1"/>
  <c r="CY12" i="1"/>
  <c r="CX12" i="1"/>
  <c r="CY11" i="1"/>
  <c r="CX11" i="1"/>
  <c r="CY10" i="1"/>
  <c r="CX10" i="1"/>
  <c r="CY9" i="1"/>
  <c r="CX9" i="1"/>
  <c r="CY8" i="1"/>
  <c r="CX8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CH26" i="1"/>
  <c r="CG26" i="1"/>
  <c r="CH25" i="1"/>
  <c r="CG25" i="1"/>
  <c r="CH24" i="1"/>
  <c r="CG24" i="1"/>
  <c r="CH23" i="1"/>
  <c r="CG23" i="1"/>
  <c r="CH22" i="1"/>
  <c r="CG22" i="1"/>
  <c r="CH21" i="1"/>
  <c r="CG21" i="1"/>
  <c r="CH20" i="1"/>
  <c r="CG20" i="1"/>
  <c r="CH19" i="1"/>
  <c r="CG19" i="1"/>
  <c r="CH18" i="1"/>
  <c r="CG18" i="1"/>
  <c r="CH17" i="1"/>
  <c r="CG17" i="1"/>
  <c r="CH16" i="1"/>
  <c r="CG16" i="1"/>
  <c r="CH15" i="1"/>
  <c r="CG15" i="1"/>
  <c r="CH14" i="1"/>
  <c r="CG14" i="1"/>
  <c r="CH13" i="1"/>
  <c r="CG13" i="1"/>
  <c r="CH12" i="1"/>
  <c r="CG12" i="1"/>
  <c r="CH11" i="1"/>
  <c r="CG11" i="1"/>
  <c r="CH10" i="1"/>
  <c r="CG10" i="1"/>
  <c r="CH9" i="1"/>
  <c r="CG9" i="1"/>
  <c r="CH8" i="1"/>
  <c r="CG8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Q26" i="1"/>
  <c r="BP26" i="1"/>
  <c r="BQ25" i="1"/>
  <c r="BP25" i="1"/>
  <c r="BQ24" i="1"/>
  <c r="BP24" i="1"/>
  <c r="BQ23" i="1"/>
  <c r="BP23" i="1"/>
  <c r="BQ22" i="1"/>
  <c r="BP22" i="1"/>
  <c r="BQ21" i="1"/>
  <c r="BP21" i="1"/>
  <c r="BQ20" i="1"/>
  <c r="BP20" i="1"/>
  <c r="BQ19" i="1"/>
  <c r="BP19" i="1"/>
  <c r="BQ18" i="1"/>
  <c r="BP18" i="1"/>
  <c r="BQ17" i="1"/>
  <c r="BP17" i="1"/>
  <c r="BQ16" i="1"/>
  <c r="BP16" i="1"/>
  <c r="BQ15" i="1"/>
  <c r="BP15" i="1"/>
  <c r="BQ14" i="1"/>
  <c r="BP14" i="1"/>
  <c r="BQ13" i="1"/>
  <c r="BP13" i="1"/>
  <c r="BQ12" i="1"/>
  <c r="BP12" i="1"/>
  <c r="BQ11" i="1"/>
  <c r="BP11" i="1"/>
  <c r="BQ10" i="1"/>
  <c r="BP10" i="1"/>
  <c r="BQ9" i="1"/>
  <c r="BP9" i="1"/>
  <c r="BQ8" i="1"/>
  <c r="BP8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Z26" i="1"/>
  <c r="AY26" i="1"/>
  <c r="AZ25" i="1"/>
  <c r="AY25" i="1"/>
  <c r="AZ24" i="1"/>
  <c r="AY24" i="1"/>
  <c r="AZ23" i="1"/>
  <c r="AY23" i="1"/>
  <c r="AZ22" i="1"/>
  <c r="AY22" i="1"/>
  <c r="AZ21" i="1"/>
  <c r="AY21" i="1"/>
  <c r="AZ20" i="1"/>
  <c r="AY20" i="1"/>
  <c r="AZ19" i="1"/>
  <c r="AY19" i="1"/>
  <c r="AZ18" i="1"/>
  <c r="AY18" i="1"/>
  <c r="AZ17" i="1"/>
  <c r="AY17" i="1"/>
  <c r="AZ16" i="1"/>
  <c r="AY16" i="1"/>
  <c r="AZ15" i="1"/>
  <c r="AY15" i="1"/>
  <c r="AZ14" i="1"/>
  <c r="AY14" i="1"/>
  <c r="AZ13" i="1"/>
  <c r="AY13" i="1"/>
  <c r="AZ12" i="1"/>
  <c r="AY12" i="1"/>
  <c r="AZ11" i="1"/>
  <c r="AY11" i="1"/>
  <c r="AZ10" i="1"/>
  <c r="AY10" i="1"/>
  <c r="AZ9" i="1"/>
  <c r="AY9" i="1"/>
  <c r="AZ8" i="1"/>
  <c r="AY8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AI26" i="1"/>
  <c r="AH26" i="1"/>
  <c r="AI25" i="1"/>
  <c r="AH25" i="1"/>
  <c r="AI24" i="1"/>
  <c r="AH24" i="1"/>
  <c r="AI23" i="1"/>
  <c r="AH23" i="1"/>
  <c r="AI22" i="1"/>
  <c r="AH22" i="1"/>
  <c r="AI21" i="1"/>
  <c r="AH21" i="1"/>
  <c r="AI20" i="1"/>
  <c r="AH20" i="1"/>
  <c r="AI19" i="1"/>
  <c r="AH19" i="1"/>
  <c r="AI18" i="1"/>
  <c r="AH18" i="1"/>
  <c r="AI17" i="1"/>
  <c r="AH17" i="1"/>
  <c r="AI16" i="1"/>
  <c r="AH16" i="1"/>
  <c r="AI15" i="1"/>
  <c r="AH15" i="1"/>
  <c r="AI14" i="1"/>
  <c r="AH14" i="1"/>
  <c r="AI13" i="1"/>
  <c r="AH13" i="1"/>
  <c r="AI12" i="1"/>
  <c r="AH12" i="1"/>
  <c r="AI11" i="1"/>
  <c r="AH11" i="1"/>
  <c r="AI10" i="1"/>
  <c r="AH10" i="1"/>
  <c r="AI9" i="1"/>
  <c r="AH9" i="1"/>
  <c r="AI8" i="1"/>
  <c r="AH8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P50" i="1"/>
  <c r="Q26" i="13"/>
  <c r="P49" i="1"/>
  <c r="Q25" i="13"/>
  <c r="P48" i="1"/>
  <c r="Q24" i="13"/>
  <c r="P47" i="1"/>
  <c r="Q23" i="13"/>
  <c r="P46" i="1"/>
  <c r="Q22" i="13"/>
  <c r="P45" i="1"/>
  <c r="Q21" i="13"/>
  <c r="P44" i="1"/>
  <c r="Q20" i="13"/>
  <c r="P43" i="1"/>
  <c r="Q19" i="13"/>
  <c r="P42" i="1"/>
  <c r="Q18" i="13"/>
  <c r="P41" i="1"/>
  <c r="Q17" i="13"/>
  <c r="P40" i="1"/>
  <c r="Q16" i="13"/>
  <c r="P39" i="1"/>
  <c r="Q15" i="13"/>
  <c r="P38" i="1"/>
  <c r="Q14" i="13"/>
  <c r="P37" i="1"/>
  <c r="Q13" i="13"/>
  <c r="P36" i="1"/>
  <c r="Q12" i="13"/>
  <c r="P35" i="1"/>
  <c r="Q11" i="13"/>
  <c r="P34" i="1"/>
  <c r="Q10" i="13"/>
  <c r="P33" i="1"/>
  <c r="Q9" i="13"/>
  <c r="O50" i="1"/>
  <c r="P26" i="13"/>
  <c r="O49" i="1"/>
  <c r="P25" i="13"/>
  <c r="O48" i="1"/>
  <c r="P24" i="13"/>
  <c r="O47" i="1"/>
  <c r="P23" i="13"/>
  <c r="O46" i="1"/>
  <c r="P22" i="13"/>
  <c r="O45" i="1"/>
  <c r="P21" i="13"/>
  <c r="O44" i="1"/>
  <c r="P20" i="13"/>
  <c r="O43" i="1"/>
  <c r="P19" i="13"/>
  <c r="O42" i="1"/>
  <c r="P18" i="13"/>
  <c r="O41" i="1"/>
  <c r="P17" i="13"/>
  <c r="O40" i="1"/>
  <c r="P16" i="13"/>
  <c r="O39" i="1"/>
  <c r="P15" i="13"/>
  <c r="O38" i="1"/>
  <c r="P14" i="13"/>
  <c r="O37" i="1"/>
  <c r="P13" i="13"/>
  <c r="O36" i="1"/>
  <c r="O35" i="1"/>
  <c r="P11" i="13"/>
  <c r="O34" i="1"/>
  <c r="P10" i="13"/>
  <c r="O33" i="1"/>
  <c r="P9" i="13"/>
  <c r="N50" i="1"/>
  <c r="O26" i="13"/>
  <c r="N49" i="1"/>
  <c r="O25" i="13"/>
  <c r="N48" i="1"/>
  <c r="O24" i="13"/>
  <c r="N47" i="1"/>
  <c r="O23" i="13"/>
  <c r="N46" i="1"/>
  <c r="O22" i="13"/>
  <c r="N45" i="1"/>
  <c r="O21" i="13"/>
  <c r="N44" i="1"/>
  <c r="O20" i="13"/>
  <c r="N43" i="1"/>
  <c r="O19" i="13"/>
  <c r="N42" i="1"/>
  <c r="O18" i="13"/>
  <c r="N41" i="1"/>
  <c r="O17" i="13"/>
  <c r="N40" i="1"/>
  <c r="O16" i="13"/>
  <c r="N39" i="1"/>
  <c r="O15" i="13"/>
  <c r="N38" i="1"/>
  <c r="O14" i="13"/>
  <c r="N37" i="1"/>
  <c r="O13" i="13"/>
  <c r="N36" i="1"/>
  <c r="O12" i="13"/>
  <c r="N35" i="1"/>
  <c r="O11" i="13"/>
  <c r="N34" i="1"/>
  <c r="O10" i="13"/>
  <c r="N33" i="1"/>
  <c r="O9" i="13"/>
  <c r="M50" i="1"/>
  <c r="N26" i="13"/>
  <c r="M49" i="1"/>
  <c r="N25" i="13"/>
  <c r="M48" i="1"/>
  <c r="N24" i="13"/>
  <c r="M47" i="1"/>
  <c r="N23" i="13"/>
  <c r="M46" i="1"/>
  <c r="N22" i="13"/>
  <c r="M45" i="1"/>
  <c r="N21" i="13"/>
  <c r="M44" i="1"/>
  <c r="N20" i="13"/>
  <c r="M43" i="1"/>
  <c r="N19" i="13"/>
  <c r="M42" i="1"/>
  <c r="N18" i="13"/>
  <c r="M41" i="1"/>
  <c r="N17" i="13"/>
  <c r="M40" i="1"/>
  <c r="N16" i="13"/>
  <c r="M39" i="1"/>
  <c r="N15" i="13"/>
  <c r="M38" i="1"/>
  <c r="N14" i="13"/>
  <c r="M37" i="1"/>
  <c r="N13" i="13"/>
  <c r="M36" i="1"/>
  <c r="N12" i="13"/>
  <c r="M35" i="1"/>
  <c r="N11" i="13"/>
  <c r="M34" i="1"/>
  <c r="N10" i="13"/>
  <c r="M33" i="1"/>
  <c r="N9" i="13"/>
  <c r="L50" i="1"/>
  <c r="M26" i="13"/>
  <c r="L49" i="1"/>
  <c r="M25" i="13"/>
  <c r="L48" i="1"/>
  <c r="M24" i="13"/>
  <c r="L47" i="1"/>
  <c r="M23" i="13"/>
  <c r="L46" i="1"/>
  <c r="M22" i="13"/>
  <c r="L45" i="1"/>
  <c r="M21" i="13"/>
  <c r="L44" i="1"/>
  <c r="M20" i="13"/>
  <c r="L43" i="1"/>
  <c r="M19" i="13"/>
  <c r="L42" i="1"/>
  <c r="M18" i="13"/>
  <c r="L41" i="1"/>
  <c r="M17" i="13"/>
  <c r="L40" i="1"/>
  <c r="M16" i="13"/>
  <c r="L39" i="1"/>
  <c r="M15" i="13"/>
  <c r="L38" i="1"/>
  <c r="M14" i="13"/>
  <c r="L37" i="1"/>
  <c r="M13" i="13"/>
  <c r="L36" i="1"/>
  <c r="M12" i="13"/>
  <c r="L35" i="1"/>
  <c r="M11" i="13"/>
  <c r="L34" i="1"/>
  <c r="M10" i="13"/>
  <c r="L33" i="1"/>
  <c r="M9" i="13"/>
  <c r="K50" i="1"/>
  <c r="L26" i="13"/>
  <c r="K49" i="1"/>
  <c r="L25" i="13"/>
  <c r="K48" i="1"/>
  <c r="L24" i="13"/>
  <c r="K47" i="1"/>
  <c r="L23" i="13"/>
  <c r="K46" i="1"/>
  <c r="L22" i="13"/>
  <c r="K45" i="1"/>
  <c r="L21" i="13"/>
  <c r="K44" i="1"/>
  <c r="L20" i="13"/>
  <c r="K43" i="1"/>
  <c r="L19" i="13"/>
  <c r="K42" i="1"/>
  <c r="L18" i="13"/>
  <c r="K41" i="1"/>
  <c r="L17" i="13"/>
  <c r="K40" i="1"/>
  <c r="L16" i="13"/>
  <c r="K39" i="1"/>
  <c r="L15" i="13"/>
  <c r="K38" i="1"/>
  <c r="L14" i="13"/>
  <c r="K37" i="1"/>
  <c r="L13" i="13"/>
  <c r="K36" i="1"/>
  <c r="L12" i="13"/>
  <c r="K35" i="1"/>
  <c r="L11" i="13"/>
  <c r="K34" i="1"/>
  <c r="L10" i="13"/>
  <c r="K33" i="1"/>
  <c r="L9" i="13"/>
  <c r="J50" i="1"/>
  <c r="K26" i="13"/>
  <c r="J49" i="1"/>
  <c r="K25" i="13"/>
  <c r="J48" i="1"/>
  <c r="K24" i="13"/>
  <c r="J47" i="1"/>
  <c r="K23" i="13"/>
  <c r="J46" i="1"/>
  <c r="K22" i="13"/>
  <c r="J45" i="1"/>
  <c r="K21" i="13"/>
  <c r="J44" i="1"/>
  <c r="K20" i="13"/>
  <c r="J43" i="1"/>
  <c r="K19" i="13"/>
  <c r="J42" i="1"/>
  <c r="K18" i="13"/>
  <c r="J41" i="1"/>
  <c r="K17" i="13"/>
  <c r="J40" i="1"/>
  <c r="K16" i="13"/>
  <c r="J39" i="1"/>
  <c r="K15" i="13"/>
  <c r="J38" i="1"/>
  <c r="K14" i="13"/>
  <c r="J37" i="1"/>
  <c r="K13" i="13"/>
  <c r="J36" i="1"/>
  <c r="K12" i="13"/>
  <c r="J35" i="1"/>
  <c r="K11" i="13"/>
  <c r="J34" i="1"/>
  <c r="K10" i="13"/>
  <c r="J33" i="1"/>
  <c r="K9" i="13"/>
  <c r="I50" i="1"/>
  <c r="J26" i="13"/>
  <c r="I49" i="1"/>
  <c r="J25" i="13"/>
  <c r="I48" i="1"/>
  <c r="J24" i="13"/>
  <c r="I47" i="1"/>
  <c r="J23" i="13"/>
  <c r="I46" i="1"/>
  <c r="J22" i="13"/>
  <c r="I45" i="1"/>
  <c r="J21" i="13"/>
  <c r="I44" i="1"/>
  <c r="J20" i="13"/>
  <c r="I43" i="1"/>
  <c r="J19" i="13"/>
  <c r="I42" i="1"/>
  <c r="J18" i="13"/>
  <c r="I41" i="1"/>
  <c r="J17" i="13"/>
  <c r="I40" i="1"/>
  <c r="J16" i="13"/>
  <c r="I39" i="1"/>
  <c r="J15" i="13"/>
  <c r="I38" i="1"/>
  <c r="J14" i="13"/>
  <c r="I37" i="1"/>
  <c r="J13" i="13"/>
  <c r="I36" i="1"/>
  <c r="J12" i="13"/>
  <c r="I35" i="1"/>
  <c r="J11" i="13"/>
  <c r="I34" i="1"/>
  <c r="J10" i="13"/>
  <c r="I33" i="1"/>
  <c r="J9" i="13"/>
  <c r="H50" i="1"/>
  <c r="I26" i="13"/>
  <c r="H49" i="1"/>
  <c r="I25" i="13"/>
  <c r="H48" i="1"/>
  <c r="I24" i="13"/>
  <c r="H47" i="1"/>
  <c r="I23" i="13"/>
  <c r="H46" i="1"/>
  <c r="I22" i="13"/>
  <c r="H45" i="1"/>
  <c r="I21" i="13"/>
  <c r="H44" i="1"/>
  <c r="I20" i="13"/>
  <c r="H43" i="1"/>
  <c r="I19" i="13"/>
  <c r="H42" i="1"/>
  <c r="I18" i="13"/>
  <c r="H41" i="1"/>
  <c r="I17" i="13"/>
  <c r="H40" i="1"/>
  <c r="I16" i="13"/>
  <c r="H39" i="1"/>
  <c r="I15" i="13"/>
  <c r="H38" i="1"/>
  <c r="I14" i="13"/>
  <c r="H37" i="1"/>
  <c r="I13" i="13"/>
  <c r="H36" i="1"/>
  <c r="I12" i="13"/>
  <c r="H35" i="1"/>
  <c r="I11" i="13"/>
  <c r="H34" i="1"/>
  <c r="I10" i="13"/>
  <c r="H33" i="1"/>
  <c r="I9" i="13"/>
  <c r="G50" i="1"/>
  <c r="H26" i="13"/>
  <c r="G49" i="1"/>
  <c r="H25" i="13"/>
  <c r="G48" i="1"/>
  <c r="H24" i="13"/>
  <c r="G47" i="1"/>
  <c r="H23" i="13"/>
  <c r="G46" i="1"/>
  <c r="H22" i="13"/>
  <c r="G45" i="1"/>
  <c r="H21" i="13"/>
  <c r="G44" i="1"/>
  <c r="H20" i="13"/>
  <c r="G43" i="1"/>
  <c r="H19" i="13"/>
  <c r="G42" i="1"/>
  <c r="H18" i="13"/>
  <c r="G41" i="1"/>
  <c r="H17" i="13"/>
  <c r="G40" i="1"/>
  <c r="H16" i="13"/>
  <c r="G39" i="1"/>
  <c r="H15" i="13"/>
  <c r="G38" i="1"/>
  <c r="H14" i="13"/>
  <c r="G37" i="1"/>
  <c r="H13" i="13"/>
  <c r="G36" i="1"/>
  <c r="H12" i="13"/>
  <c r="G35" i="1"/>
  <c r="H11" i="13"/>
  <c r="G34" i="1"/>
  <c r="H10" i="13"/>
  <c r="G33" i="1"/>
  <c r="H9" i="13"/>
  <c r="F50" i="1"/>
  <c r="G26" i="13"/>
  <c r="F49" i="1"/>
  <c r="G25" i="13"/>
  <c r="F48" i="1"/>
  <c r="G24" i="13"/>
  <c r="F47" i="1"/>
  <c r="G23" i="13"/>
  <c r="F46" i="1"/>
  <c r="G22" i="13"/>
  <c r="F45" i="1"/>
  <c r="G21" i="13"/>
  <c r="F44" i="1"/>
  <c r="G20" i="13"/>
  <c r="F43" i="1"/>
  <c r="G19" i="13"/>
  <c r="F42" i="1"/>
  <c r="G18" i="13"/>
  <c r="F41" i="1"/>
  <c r="G17" i="13"/>
  <c r="F40" i="1"/>
  <c r="G16" i="13"/>
  <c r="F39" i="1"/>
  <c r="G15" i="13"/>
  <c r="F38" i="1"/>
  <c r="G14" i="13"/>
  <c r="F37" i="1"/>
  <c r="G13" i="13"/>
  <c r="F36" i="1"/>
  <c r="G12" i="13"/>
  <c r="F35" i="1"/>
  <c r="G11" i="13"/>
  <c r="F34" i="1"/>
  <c r="G10" i="13"/>
  <c r="F33" i="1"/>
  <c r="G9" i="13"/>
  <c r="E50" i="1"/>
  <c r="F26" i="13"/>
  <c r="E49" i="1"/>
  <c r="F25" i="13"/>
  <c r="E48" i="1"/>
  <c r="F24" i="13"/>
  <c r="E47" i="1"/>
  <c r="F23" i="13"/>
  <c r="E46" i="1"/>
  <c r="F22" i="13"/>
  <c r="E45" i="1"/>
  <c r="F21" i="13"/>
  <c r="E44" i="1"/>
  <c r="F20" i="13"/>
  <c r="E43" i="1"/>
  <c r="F19" i="13"/>
  <c r="E42" i="1"/>
  <c r="F18" i="13"/>
  <c r="E41" i="1"/>
  <c r="F17" i="13"/>
  <c r="E40" i="1"/>
  <c r="F16" i="13"/>
  <c r="E39" i="1"/>
  <c r="F15" i="13"/>
  <c r="E38" i="1"/>
  <c r="F14" i="13"/>
  <c r="E37" i="1"/>
  <c r="F13" i="13"/>
  <c r="E36" i="1"/>
  <c r="F12" i="13"/>
  <c r="E35" i="1"/>
  <c r="F11" i="13"/>
  <c r="E34" i="1"/>
  <c r="F10" i="13"/>
  <c r="E33" i="1"/>
  <c r="F9" i="13"/>
  <c r="D50" i="1"/>
  <c r="E26" i="13"/>
  <c r="D49" i="1"/>
  <c r="E25" i="13"/>
  <c r="D48" i="1"/>
  <c r="E24" i="13"/>
  <c r="D47" i="1"/>
  <c r="E23" i="13"/>
  <c r="D46" i="1"/>
  <c r="E22" i="13"/>
  <c r="D45" i="1"/>
  <c r="E21" i="13"/>
  <c r="D44" i="1"/>
  <c r="E20" i="13"/>
  <c r="D43" i="1"/>
  <c r="E19" i="13"/>
  <c r="D42" i="1"/>
  <c r="E18" i="13"/>
  <c r="D41" i="1"/>
  <c r="E17" i="13"/>
  <c r="D40" i="1"/>
  <c r="E16" i="13"/>
  <c r="D39" i="1"/>
  <c r="E15" i="13"/>
  <c r="D38" i="1"/>
  <c r="E14" i="13"/>
  <c r="D37" i="1"/>
  <c r="E13" i="13"/>
  <c r="D36" i="1"/>
  <c r="E12" i="13"/>
  <c r="D35" i="1"/>
  <c r="E11" i="13"/>
  <c r="D34" i="1"/>
  <c r="E10" i="13"/>
  <c r="D33" i="1"/>
  <c r="E9" i="13"/>
  <c r="R26" i="1"/>
  <c r="R50" i="1"/>
  <c r="S26" i="13"/>
  <c r="Q26" i="1"/>
  <c r="R25" i="1"/>
  <c r="R49" i="1"/>
  <c r="S25" i="13"/>
  <c r="Q25" i="1"/>
  <c r="R24" i="1"/>
  <c r="R48" i="1"/>
  <c r="S24" i="13"/>
  <c r="Q24" i="1"/>
  <c r="R23" i="1"/>
  <c r="R47" i="1"/>
  <c r="S23" i="13"/>
  <c r="Q23" i="1"/>
  <c r="R22" i="1"/>
  <c r="R46" i="1"/>
  <c r="S22" i="13"/>
  <c r="Q22" i="1"/>
  <c r="R21" i="1"/>
  <c r="R45" i="1"/>
  <c r="S21" i="13"/>
  <c r="Q21" i="1"/>
  <c r="R20" i="1"/>
  <c r="R44" i="1"/>
  <c r="S20" i="13"/>
  <c r="Q27" i="1"/>
  <c r="R19" i="1"/>
  <c r="R43" i="1"/>
  <c r="S19" i="13"/>
  <c r="Q19" i="1"/>
  <c r="R18" i="1"/>
  <c r="R42" i="1"/>
  <c r="S18" i="13"/>
  <c r="Q18" i="1"/>
  <c r="Q42" i="1"/>
  <c r="R18" i="13"/>
  <c r="R17" i="1"/>
  <c r="R41" i="1"/>
  <c r="S17" i="13"/>
  <c r="Q17" i="1"/>
  <c r="R16" i="1"/>
  <c r="R40" i="1"/>
  <c r="S16" i="13"/>
  <c r="Q16" i="1"/>
  <c r="Q40" i="1"/>
  <c r="R16" i="13"/>
  <c r="R15" i="1"/>
  <c r="R39" i="1"/>
  <c r="S15" i="13"/>
  <c r="Q15" i="1"/>
  <c r="R14" i="1"/>
  <c r="R38" i="1"/>
  <c r="S14" i="13"/>
  <c r="Q14" i="1"/>
  <c r="R13" i="1"/>
  <c r="R37" i="1"/>
  <c r="S13" i="13"/>
  <c r="Q13" i="1"/>
  <c r="R12" i="1"/>
  <c r="R36" i="1"/>
  <c r="S12" i="13"/>
  <c r="Q12" i="1"/>
  <c r="R11" i="1"/>
  <c r="R35" i="1"/>
  <c r="S11" i="13"/>
  <c r="Q11" i="1"/>
  <c r="R10" i="1"/>
  <c r="R34" i="1"/>
  <c r="S10" i="13"/>
  <c r="Q10" i="1"/>
  <c r="R9" i="1"/>
  <c r="R33" i="1"/>
  <c r="S9" i="13"/>
  <c r="Q9" i="1"/>
  <c r="P32" i="1"/>
  <c r="O32" i="1"/>
  <c r="P8" i="13"/>
  <c r="N32" i="1"/>
  <c r="M32" i="1"/>
  <c r="L32" i="1"/>
  <c r="K32" i="1"/>
  <c r="L8" i="13"/>
  <c r="J32" i="1"/>
  <c r="I32" i="1"/>
  <c r="H32" i="1"/>
  <c r="G32" i="1"/>
  <c r="H8" i="13"/>
  <c r="F32" i="1"/>
  <c r="E32" i="1"/>
  <c r="D32" i="1"/>
  <c r="C50" i="1"/>
  <c r="U50" i="1"/>
  <c r="V26" i="13"/>
  <c r="C49" i="1"/>
  <c r="U49" i="1"/>
  <c r="V25" i="13"/>
  <c r="C48" i="1"/>
  <c r="T48" i="1"/>
  <c r="U24" i="13"/>
  <c r="C47" i="1"/>
  <c r="T47" i="1"/>
  <c r="U23" i="13"/>
  <c r="C46" i="1"/>
  <c r="U46" i="1"/>
  <c r="V22" i="13"/>
  <c r="C45" i="1"/>
  <c r="U45" i="1"/>
  <c r="V21" i="13"/>
  <c r="C44" i="1"/>
  <c r="T44" i="1"/>
  <c r="U20" i="13"/>
  <c r="C43" i="1"/>
  <c r="T43" i="1"/>
  <c r="U19" i="13"/>
  <c r="C42" i="1"/>
  <c r="U42" i="1"/>
  <c r="V18" i="13"/>
  <c r="C41" i="1"/>
  <c r="D17" i="13"/>
  <c r="C40" i="1"/>
  <c r="T40" i="1"/>
  <c r="U16" i="13"/>
  <c r="C39" i="1"/>
  <c r="T39" i="1"/>
  <c r="U15" i="13"/>
  <c r="C38" i="1"/>
  <c r="D14" i="13"/>
  <c r="C37" i="1"/>
  <c r="D13" i="13"/>
  <c r="C36" i="1"/>
  <c r="T36" i="1"/>
  <c r="U12" i="13"/>
  <c r="C35" i="1"/>
  <c r="T35" i="1"/>
  <c r="U11" i="13"/>
  <c r="C34" i="1"/>
  <c r="D10" i="13"/>
  <c r="C33" i="1"/>
  <c r="D9" i="13"/>
  <c r="C32" i="1"/>
  <c r="A50" i="1"/>
  <c r="A26" i="13"/>
  <c r="A49" i="1"/>
  <c r="A25" i="13"/>
  <c r="A48" i="1"/>
  <c r="A24" i="13"/>
  <c r="A47" i="1"/>
  <c r="A23" i="13"/>
  <c r="A46" i="1"/>
  <c r="A22" i="13"/>
  <c r="A45" i="1"/>
  <c r="A21" i="13"/>
  <c r="A44" i="1"/>
  <c r="A20" i="13"/>
  <c r="A43" i="1"/>
  <c r="A19" i="13"/>
  <c r="A42" i="1"/>
  <c r="A18" i="13"/>
  <c r="A41" i="1"/>
  <c r="A17" i="13"/>
  <c r="A40" i="1"/>
  <c r="A16" i="13"/>
  <c r="A39" i="1"/>
  <c r="A15" i="13"/>
  <c r="A38" i="1"/>
  <c r="A14" i="13"/>
  <c r="A37" i="1"/>
  <c r="A13" i="13"/>
  <c r="A36" i="1"/>
  <c r="A12" i="13"/>
  <c r="A35" i="1"/>
  <c r="A11" i="13"/>
  <c r="A34" i="1"/>
  <c r="A10" i="13"/>
  <c r="A33" i="1"/>
  <c r="A9" i="13"/>
  <c r="A32" i="1"/>
  <c r="A8" i="13"/>
  <c r="B50" i="1"/>
  <c r="B26" i="13"/>
  <c r="B49" i="1"/>
  <c r="B25" i="13"/>
  <c r="B48" i="1"/>
  <c r="B24" i="13"/>
  <c r="B47" i="1"/>
  <c r="B23" i="13"/>
  <c r="B46" i="1"/>
  <c r="B22" i="13"/>
  <c r="B45" i="1"/>
  <c r="B21" i="13"/>
  <c r="B44" i="1"/>
  <c r="B20" i="13"/>
  <c r="B43" i="1"/>
  <c r="B19" i="13"/>
  <c r="B42" i="1"/>
  <c r="B18" i="13"/>
  <c r="B41" i="1"/>
  <c r="B17" i="13"/>
  <c r="B40" i="1"/>
  <c r="B16" i="13"/>
  <c r="B39" i="1"/>
  <c r="B15" i="13"/>
  <c r="B38" i="1"/>
  <c r="B14" i="13"/>
  <c r="B37" i="1"/>
  <c r="B13" i="13"/>
  <c r="B36" i="1"/>
  <c r="B12" i="13"/>
  <c r="B35" i="1"/>
  <c r="B11" i="13"/>
  <c r="B34" i="1"/>
  <c r="B10" i="13"/>
  <c r="B33" i="1"/>
  <c r="B9" i="13"/>
  <c r="B32" i="1"/>
  <c r="B8" i="13"/>
  <c r="R8" i="1"/>
  <c r="R32" i="1"/>
  <c r="S8" i="13"/>
  <c r="T32" i="1"/>
  <c r="U8" i="13"/>
  <c r="E51" i="12"/>
  <c r="I51" i="12"/>
  <c r="M51" i="12"/>
  <c r="U35" i="12"/>
  <c r="U45" i="12"/>
  <c r="U49" i="12"/>
  <c r="R27" i="12"/>
  <c r="AZ27" i="12"/>
  <c r="CH27" i="12"/>
  <c r="DP27" i="12"/>
  <c r="EX27" i="12"/>
  <c r="GF27" i="12"/>
  <c r="HN27" i="12"/>
  <c r="IV27" i="12"/>
  <c r="AI27" i="12"/>
  <c r="BQ27" i="12"/>
  <c r="CY27" i="12"/>
  <c r="EG27" i="12"/>
  <c r="FO27" i="12"/>
  <c r="GW27" i="12"/>
  <c r="IE27" i="12"/>
  <c r="R34" i="12"/>
  <c r="R36" i="12"/>
  <c r="R38" i="12"/>
  <c r="R40" i="12"/>
  <c r="R42" i="12"/>
  <c r="R44" i="12"/>
  <c r="R46" i="12"/>
  <c r="R48" i="12"/>
  <c r="R50" i="12"/>
  <c r="F51" i="12"/>
  <c r="J51" i="12"/>
  <c r="N51" i="12"/>
  <c r="U42" i="12"/>
  <c r="U46" i="12"/>
  <c r="U50" i="12"/>
  <c r="AH27" i="12"/>
  <c r="BP27" i="12"/>
  <c r="CX27" i="12"/>
  <c r="EF27" i="12"/>
  <c r="FN27" i="12"/>
  <c r="GV27" i="12"/>
  <c r="ID27" i="12"/>
  <c r="Q33" i="12"/>
  <c r="U33" i="12"/>
  <c r="Q34" i="12"/>
  <c r="U34" i="12"/>
  <c r="Q35" i="12"/>
  <c r="Q36" i="12"/>
  <c r="U36" i="12"/>
  <c r="Q37" i="12"/>
  <c r="U37" i="12"/>
  <c r="Q38" i="12"/>
  <c r="U38" i="12"/>
  <c r="Q39" i="12"/>
  <c r="U39" i="12"/>
  <c r="Q40" i="12"/>
  <c r="U40" i="12"/>
  <c r="Q41" i="12"/>
  <c r="U41" i="12"/>
  <c r="Q43" i="12"/>
  <c r="Q45" i="12"/>
  <c r="Q47" i="12"/>
  <c r="Q49" i="12"/>
  <c r="G51" i="12"/>
  <c r="K51" i="12"/>
  <c r="U43" i="12"/>
  <c r="U47" i="12"/>
  <c r="C51" i="12"/>
  <c r="Q27" i="11"/>
  <c r="AY27" i="11"/>
  <c r="CG27" i="11"/>
  <c r="DO27" i="11"/>
  <c r="EW27" i="11"/>
  <c r="GE27" i="11"/>
  <c r="HM27" i="11"/>
  <c r="IU27" i="11"/>
  <c r="Q42" i="11"/>
  <c r="Q44" i="11"/>
  <c r="Q46" i="11"/>
  <c r="Q48" i="11"/>
  <c r="Q50" i="11"/>
  <c r="E51" i="11"/>
  <c r="I51" i="11"/>
  <c r="M51" i="11"/>
  <c r="U35" i="11"/>
  <c r="U45" i="11"/>
  <c r="U49" i="11"/>
  <c r="R27" i="11"/>
  <c r="AZ27" i="11"/>
  <c r="CH27" i="11"/>
  <c r="DP27" i="11"/>
  <c r="EX27" i="11"/>
  <c r="GF27" i="11"/>
  <c r="HN27" i="11"/>
  <c r="IV27" i="11"/>
  <c r="AI27" i="11"/>
  <c r="BQ27" i="11"/>
  <c r="CY27" i="11"/>
  <c r="EG27" i="11"/>
  <c r="FO27" i="11"/>
  <c r="GW27" i="11"/>
  <c r="IE27" i="11"/>
  <c r="R34" i="11"/>
  <c r="R36" i="11"/>
  <c r="R38" i="11"/>
  <c r="R40" i="11"/>
  <c r="R42" i="11"/>
  <c r="R44" i="11"/>
  <c r="R46" i="11"/>
  <c r="R48" i="11"/>
  <c r="R50" i="11"/>
  <c r="F51" i="11"/>
  <c r="J51" i="11"/>
  <c r="N51" i="11"/>
  <c r="U42" i="11"/>
  <c r="U46" i="11"/>
  <c r="U50" i="11"/>
  <c r="U36" i="11"/>
  <c r="U37" i="11"/>
  <c r="U38" i="11"/>
  <c r="U39" i="11"/>
  <c r="U40" i="11"/>
  <c r="G51" i="11"/>
  <c r="K51" i="11"/>
  <c r="C51" i="11"/>
  <c r="T51" i="11"/>
  <c r="C51" i="10"/>
  <c r="R27" i="10"/>
  <c r="AZ27" i="10"/>
  <c r="CH27" i="10"/>
  <c r="DP27" i="10"/>
  <c r="EX27" i="10"/>
  <c r="GF27" i="10"/>
  <c r="HN27" i="10"/>
  <c r="IV27" i="10"/>
  <c r="F51" i="10"/>
  <c r="J51" i="10"/>
  <c r="N51" i="10"/>
  <c r="T43" i="10"/>
  <c r="Q32" i="10"/>
  <c r="BP27" i="10"/>
  <c r="CX27" i="10"/>
  <c r="EF27" i="10"/>
  <c r="FN27" i="10"/>
  <c r="GV27" i="10"/>
  <c r="ID27" i="10"/>
  <c r="Q33" i="10"/>
  <c r="Q34" i="10"/>
  <c r="Q35" i="10"/>
  <c r="Q36" i="10"/>
  <c r="U36" i="10"/>
  <c r="Q37" i="10"/>
  <c r="Q38" i="10"/>
  <c r="Q39" i="10"/>
  <c r="Q40" i="10"/>
  <c r="U40" i="10"/>
  <c r="Q41" i="10"/>
  <c r="Q43" i="10"/>
  <c r="Q45" i="10"/>
  <c r="Q46" i="10"/>
  <c r="Q49" i="10"/>
  <c r="Q50" i="10"/>
  <c r="G51" i="10"/>
  <c r="K51" i="10"/>
  <c r="R32" i="9"/>
  <c r="AZ27" i="9"/>
  <c r="CH27" i="9"/>
  <c r="DP27" i="9"/>
  <c r="EX27" i="9"/>
  <c r="GF27" i="9"/>
  <c r="HN27" i="9"/>
  <c r="IV27" i="9"/>
  <c r="R34" i="9"/>
  <c r="R36" i="9"/>
  <c r="R38" i="9"/>
  <c r="R40" i="9"/>
  <c r="Q33" i="9"/>
  <c r="Q51" i="9"/>
  <c r="Q35" i="9"/>
  <c r="Q37" i="9"/>
  <c r="U37" i="9"/>
  <c r="Q39" i="9"/>
  <c r="Q41" i="9"/>
  <c r="Q45" i="9"/>
  <c r="Q49" i="9"/>
  <c r="T36" i="9"/>
  <c r="E51" i="7"/>
  <c r="I51" i="7"/>
  <c r="M51" i="7"/>
  <c r="U35" i="7"/>
  <c r="U45" i="7"/>
  <c r="U49" i="7"/>
  <c r="R27" i="7"/>
  <c r="AZ27" i="7"/>
  <c r="CH27" i="7"/>
  <c r="DP27" i="7"/>
  <c r="EX27" i="7"/>
  <c r="GF27" i="7"/>
  <c r="HN27" i="7"/>
  <c r="IV27" i="7"/>
  <c r="AI27" i="7"/>
  <c r="BQ27" i="7"/>
  <c r="CY27" i="7"/>
  <c r="EG27" i="7"/>
  <c r="FO27" i="7"/>
  <c r="GW27" i="7"/>
  <c r="IE27" i="7"/>
  <c r="R34" i="7"/>
  <c r="R36" i="7"/>
  <c r="R38" i="7"/>
  <c r="R40" i="7"/>
  <c r="R42" i="7"/>
  <c r="R44" i="7"/>
  <c r="R46" i="7"/>
  <c r="R48" i="7"/>
  <c r="R50" i="7"/>
  <c r="F51" i="7"/>
  <c r="J51" i="7"/>
  <c r="N51" i="7"/>
  <c r="U42" i="7"/>
  <c r="U46" i="7"/>
  <c r="U50" i="7"/>
  <c r="Q34" i="7"/>
  <c r="U34" i="7"/>
  <c r="Q35" i="7"/>
  <c r="Q36" i="7"/>
  <c r="U36" i="7"/>
  <c r="Q37" i="7"/>
  <c r="U37" i="7"/>
  <c r="Q38" i="7"/>
  <c r="U38" i="7"/>
  <c r="Q39" i="7"/>
  <c r="U39" i="7"/>
  <c r="Q40" i="7"/>
  <c r="U40" i="7"/>
  <c r="Q41" i="7"/>
  <c r="U41" i="7"/>
  <c r="Q43" i="7"/>
  <c r="Q45" i="7"/>
  <c r="Q47" i="7"/>
  <c r="Q49" i="7"/>
  <c r="T32" i="7"/>
  <c r="G51" i="7"/>
  <c r="K51" i="7"/>
  <c r="U43" i="7"/>
  <c r="U47" i="7"/>
  <c r="C51" i="7"/>
  <c r="T51" i="7"/>
  <c r="AH27" i="6"/>
  <c r="BP27" i="6"/>
  <c r="CX27" i="6"/>
  <c r="EF27" i="6"/>
  <c r="FN27" i="6"/>
  <c r="GV27" i="6"/>
  <c r="ID27" i="6"/>
  <c r="Q34" i="6"/>
  <c r="U34" i="6"/>
  <c r="Q36" i="6"/>
  <c r="Q38" i="6"/>
  <c r="Q40" i="6"/>
  <c r="Q42" i="6"/>
  <c r="Q43" i="6"/>
  <c r="Q44" i="6"/>
  <c r="Q46" i="6"/>
  <c r="Q47" i="6"/>
  <c r="Q48" i="6"/>
  <c r="Q50" i="6"/>
  <c r="R32" i="6"/>
  <c r="AZ27" i="6"/>
  <c r="CH27" i="6"/>
  <c r="DP27" i="6"/>
  <c r="EX27" i="6"/>
  <c r="GF27" i="6"/>
  <c r="HN27" i="6"/>
  <c r="IV27" i="6"/>
  <c r="R34" i="6"/>
  <c r="R36" i="6"/>
  <c r="R38" i="6"/>
  <c r="R40" i="6"/>
  <c r="U36" i="6"/>
  <c r="U38" i="6"/>
  <c r="AI27" i="5"/>
  <c r="BQ27" i="5"/>
  <c r="CY27" i="5"/>
  <c r="EG27" i="5"/>
  <c r="FO27" i="5"/>
  <c r="GW27" i="5"/>
  <c r="IE27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Q32" i="5"/>
  <c r="AY27" i="5"/>
  <c r="CG27" i="5"/>
  <c r="DO27" i="5"/>
  <c r="EW27" i="5"/>
  <c r="GE27" i="5"/>
  <c r="HM27" i="5"/>
  <c r="IU27" i="5"/>
  <c r="AH27" i="5"/>
  <c r="BP27" i="5"/>
  <c r="CX27" i="5"/>
  <c r="EF27" i="5"/>
  <c r="Q34" i="5"/>
  <c r="Q35" i="5"/>
  <c r="Q36" i="5"/>
  <c r="U36" i="5"/>
  <c r="Q37" i="5"/>
  <c r="Q38" i="5"/>
  <c r="Q39" i="5"/>
  <c r="Q40" i="5"/>
  <c r="U40" i="5"/>
  <c r="Q41" i="5"/>
  <c r="Q42" i="5"/>
  <c r="Q43" i="5"/>
  <c r="Q44" i="5"/>
  <c r="Q45" i="5"/>
  <c r="Q46" i="5"/>
  <c r="Q47" i="5"/>
  <c r="Q48" i="5"/>
  <c r="Q49" i="5"/>
  <c r="Q50" i="5"/>
  <c r="Q41" i="2"/>
  <c r="AY27" i="2"/>
  <c r="DO27" i="2"/>
  <c r="GE27" i="2"/>
  <c r="AH27" i="2"/>
  <c r="CX27" i="2"/>
  <c r="GV27" i="2"/>
  <c r="Q34" i="2"/>
  <c r="Q36" i="2"/>
  <c r="Q40" i="2"/>
  <c r="Q42" i="2"/>
  <c r="Q48" i="2"/>
  <c r="Q32" i="2"/>
  <c r="CG27" i="2"/>
  <c r="EW27" i="2"/>
  <c r="HM27" i="2"/>
  <c r="IU27" i="2"/>
  <c r="BP27" i="2"/>
  <c r="EF27" i="2"/>
  <c r="FN27" i="2"/>
  <c r="ID27" i="2"/>
  <c r="Q38" i="2"/>
  <c r="Q43" i="2"/>
  <c r="Q44" i="2"/>
  <c r="Q46" i="2"/>
  <c r="Q47" i="2"/>
  <c r="Q50" i="2"/>
  <c r="R27" i="2"/>
  <c r="AZ27" i="2"/>
  <c r="CH27" i="2"/>
  <c r="DP27" i="2"/>
  <c r="EX27" i="2"/>
  <c r="GF27" i="2"/>
  <c r="HN27" i="2"/>
  <c r="IV27" i="2"/>
  <c r="R27" i="3"/>
  <c r="AZ27" i="3"/>
  <c r="CH27" i="3"/>
  <c r="DP27" i="3"/>
  <c r="EX27" i="3"/>
  <c r="GF27" i="3"/>
  <c r="HN27" i="3"/>
  <c r="IV27" i="3"/>
  <c r="R40" i="3"/>
  <c r="F51" i="3"/>
  <c r="J51" i="3"/>
  <c r="N51" i="3"/>
  <c r="AH27" i="3"/>
  <c r="BP27" i="3"/>
  <c r="CX27" i="3"/>
  <c r="EF27" i="3"/>
  <c r="FN27" i="3"/>
  <c r="GV27" i="3"/>
  <c r="ID27" i="3"/>
  <c r="Q33" i="3"/>
  <c r="U33" i="3"/>
  <c r="Q35" i="3"/>
  <c r="Q37" i="3"/>
  <c r="U37" i="3"/>
  <c r="Q39" i="3"/>
  <c r="Q41" i="3"/>
  <c r="Q45" i="3"/>
  <c r="Q49" i="3"/>
  <c r="Q50" i="3"/>
  <c r="T32" i="3"/>
  <c r="G51" i="3"/>
  <c r="K51" i="3"/>
  <c r="T33" i="3"/>
  <c r="T34" i="3"/>
  <c r="D51" i="3"/>
  <c r="H51" i="3"/>
  <c r="L51" i="3"/>
  <c r="P51" i="3"/>
  <c r="O51" i="3"/>
  <c r="D51" i="1"/>
  <c r="E8" i="13"/>
  <c r="H51" i="1"/>
  <c r="I8" i="13"/>
  <c r="L51" i="1"/>
  <c r="M8" i="13"/>
  <c r="P51" i="1"/>
  <c r="Q8" i="13"/>
  <c r="D23" i="13"/>
  <c r="D21" i="13"/>
  <c r="D19" i="13"/>
  <c r="D15" i="13"/>
  <c r="D11" i="13"/>
  <c r="E51" i="1"/>
  <c r="F8" i="13"/>
  <c r="I51" i="1"/>
  <c r="J8" i="13"/>
  <c r="M51" i="1"/>
  <c r="N8" i="13"/>
  <c r="U35" i="1"/>
  <c r="V11" i="13"/>
  <c r="D26" i="13"/>
  <c r="D25" i="13"/>
  <c r="F51" i="1"/>
  <c r="G8" i="13"/>
  <c r="J51" i="1"/>
  <c r="K8" i="13"/>
  <c r="N51" i="1"/>
  <c r="O8" i="13"/>
  <c r="G51" i="1"/>
  <c r="K51" i="1"/>
  <c r="O51" i="1"/>
  <c r="IV27" i="1"/>
  <c r="U43" i="1"/>
  <c r="V19" i="13"/>
  <c r="D24" i="13"/>
  <c r="D22" i="13"/>
  <c r="D20" i="13"/>
  <c r="D18" i="13"/>
  <c r="D16" i="13"/>
  <c r="D12" i="13"/>
  <c r="D8" i="13"/>
  <c r="U47" i="1"/>
  <c r="V23" i="13"/>
  <c r="P12" i="13"/>
  <c r="Q32" i="12"/>
  <c r="T51" i="12"/>
  <c r="R41" i="12"/>
  <c r="R43" i="12"/>
  <c r="R45" i="12"/>
  <c r="R47" i="12"/>
  <c r="R49" i="12"/>
  <c r="R32" i="12"/>
  <c r="T41" i="12"/>
  <c r="U41" i="11"/>
  <c r="Q32" i="11"/>
  <c r="R41" i="11"/>
  <c r="R43" i="11"/>
  <c r="R45" i="11"/>
  <c r="R47" i="11"/>
  <c r="R49" i="11"/>
  <c r="R32" i="11"/>
  <c r="R51" i="11"/>
  <c r="T41" i="11"/>
  <c r="U32" i="10"/>
  <c r="U33" i="10"/>
  <c r="U34" i="10"/>
  <c r="U37" i="10"/>
  <c r="U38" i="10"/>
  <c r="U39" i="10"/>
  <c r="AH27" i="10"/>
  <c r="T32" i="10"/>
  <c r="T33" i="10"/>
  <c r="T34" i="10"/>
  <c r="T35" i="10"/>
  <c r="T36" i="10"/>
  <c r="T37" i="10"/>
  <c r="T38" i="10"/>
  <c r="T39" i="10"/>
  <c r="T40" i="10"/>
  <c r="U41" i="10"/>
  <c r="R32" i="10"/>
  <c r="R42" i="10"/>
  <c r="R44" i="10"/>
  <c r="R46" i="10"/>
  <c r="R48" i="10"/>
  <c r="R50" i="10"/>
  <c r="T42" i="10"/>
  <c r="E51" i="10"/>
  <c r="T51" i="10"/>
  <c r="I51" i="10"/>
  <c r="M51" i="10"/>
  <c r="U44" i="10"/>
  <c r="T44" i="10"/>
  <c r="T45" i="10"/>
  <c r="T46" i="10"/>
  <c r="T47" i="10"/>
  <c r="T48" i="10"/>
  <c r="T49" i="10"/>
  <c r="T50" i="10"/>
  <c r="U32" i="9"/>
  <c r="U33" i="9"/>
  <c r="U34" i="9"/>
  <c r="U38" i="9"/>
  <c r="U39" i="9"/>
  <c r="U40" i="9"/>
  <c r="Q27" i="9"/>
  <c r="T32" i="9"/>
  <c r="T33" i="9"/>
  <c r="T34" i="9"/>
  <c r="T35" i="9"/>
  <c r="T37" i="9"/>
  <c r="T38" i="9"/>
  <c r="T39" i="9"/>
  <c r="T40" i="9"/>
  <c r="C51" i="9"/>
  <c r="R42" i="9"/>
  <c r="R51" i="9"/>
  <c r="R44" i="9"/>
  <c r="R46" i="9"/>
  <c r="R48" i="9"/>
  <c r="R50" i="9"/>
  <c r="R27" i="9"/>
  <c r="U36" i="9"/>
  <c r="U41" i="9"/>
  <c r="T41" i="9"/>
  <c r="E51" i="9"/>
  <c r="I51" i="9"/>
  <c r="M51" i="9"/>
  <c r="T42" i="9"/>
  <c r="T43" i="9"/>
  <c r="T44" i="9"/>
  <c r="T45" i="9"/>
  <c r="T46" i="9"/>
  <c r="T47" i="9"/>
  <c r="T48" i="9"/>
  <c r="T49" i="9"/>
  <c r="T50" i="9"/>
  <c r="Q32" i="7"/>
  <c r="R41" i="7"/>
  <c r="R43" i="7"/>
  <c r="R45" i="7"/>
  <c r="R47" i="7"/>
  <c r="R49" i="7"/>
  <c r="R32" i="7"/>
  <c r="T41" i="7"/>
  <c r="U37" i="6"/>
  <c r="U39" i="6"/>
  <c r="U33" i="6"/>
  <c r="T32" i="6"/>
  <c r="T33" i="6"/>
  <c r="T36" i="6"/>
  <c r="T37" i="6"/>
  <c r="T38" i="6"/>
  <c r="T39" i="6"/>
  <c r="U41" i="6"/>
  <c r="C51" i="6"/>
  <c r="R42" i="6"/>
  <c r="R44" i="6"/>
  <c r="R46" i="6"/>
  <c r="R48" i="6"/>
  <c r="R50" i="6"/>
  <c r="R27" i="6"/>
  <c r="U35" i="6"/>
  <c r="U40" i="6"/>
  <c r="E51" i="6"/>
  <c r="I51" i="6"/>
  <c r="M51" i="6"/>
  <c r="Q32" i="6"/>
  <c r="T41" i="6"/>
  <c r="T42" i="6"/>
  <c r="T43" i="6"/>
  <c r="T44" i="6"/>
  <c r="T45" i="6"/>
  <c r="T46" i="6"/>
  <c r="T47" i="6"/>
  <c r="T48" i="6"/>
  <c r="T49" i="6"/>
  <c r="T50" i="6"/>
  <c r="R32" i="5"/>
  <c r="Q33" i="5"/>
  <c r="Q27" i="5"/>
  <c r="GF27" i="5"/>
  <c r="HN27" i="5"/>
  <c r="IV27" i="5"/>
  <c r="U32" i="5"/>
  <c r="U34" i="5"/>
  <c r="U38" i="5"/>
  <c r="FN27" i="5"/>
  <c r="GV27" i="5"/>
  <c r="ID27" i="5"/>
  <c r="E51" i="5"/>
  <c r="T51" i="5"/>
  <c r="I51" i="5"/>
  <c r="M51" i="5"/>
  <c r="U33" i="5"/>
  <c r="U37" i="5"/>
  <c r="U39" i="5"/>
  <c r="U4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Q51" i="3"/>
  <c r="U32" i="3"/>
  <c r="R32" i="3"/>
  <c r="Q27" i="3"/>
  <c r="U39" i="3"/>
  <c r="T39" i="3"/>
  <c r="U42" i="3"/>
  <c r="T42" i="3"/>
  <c r="U40" i="3"/>
  <c r="R42" i="3"/>
  <c r="R44" i="3"/>
  <c r="R46" i="3"/>
  <c r="R48" i="3"/>
  <c r="R50" i="3"/>
  <c r="T40" i="3"/>
  <c r="C51" i="3"/>
  <c r="E51" i="3"/>
  <c r="I51" i="3"/>
  <c r="M51" i="3"/>
  <c r="U41" i="3"/>
  <c r="T43" i="3"/>
  <c r="T44" i="3"/>
  <c r="T45" i="3"/>
  <c r="T46" i="3"/>
  <c r="T47" i="3"/>
  <c r="T48" i="3"/>
  <c r="T49" i="3"/>
  <c r="T50" i="3"/>
  <c r="U34" i="2"/>
  <c r="T34" i="2"/>
  <c r="T35" i="2"/>
  <c r="U41" i="2"/>
  <c r="T41" i="2"/>
  <c r="C51" i="2"/>
  <c r="R42" i="2"/>
  <c r="R44" i="2"/>
  <c r="R46" i="2"/>
  <c r="R48" i="2"/>
  <c r="R50" i="2"/>
  <c r="AI27" i="2"/>
  <c r="U32" i="2"/>
  <c r="U33" i="2"/>
  <c r="U36" i="2"/>
  <c r="U37" i="2"/>
  <c r="U38" i="2"/>
  <c r="U39" i="2"/>
  <c r="U40" i="2"/>
  <c r="Q27" i="2"/>
  <c r="E51" i="2"/>
  <c r="I51" i="2"/>
  <c r="M51" i="2"/>
  <c r="T42" i="2"/>
  <c r="T43" i="2"/>
  <c r="T44" i="2"/>
  <c r="T45" i="2"/>
  <c r="T46" i="2"/>
  <c r="T47" i="2"/>
  <c r="T48" i="2"/>
  <c r="T49" i="2"/>
  <c r="T50" i="2"/>
  <c r="R51" i="1"/>
  <c r="T33" i="1"/>
  <c r="U9" i="13"/>
  <c r="T37" i="1"/>
  <c r="U13" i="13"/>
  <c r="T41" i="1"/>
  <c r="U17" i="13"/>
  <c r="T45" i="1"/>
  <c r="U21" i="13"/>
  <c r="T49" i="1"/>
  <c r="U25" i="13"/>
  <c r="C51" i="1"/>
  <c r="T51" i="1"/>
  <c r="T34" i="1"/>
  <c r="U10" i="13"/>
  <c r="T38" i="1"/>
  <c r="U14" i="13"/>
  <c r="T42" i="1"/>
  <c r="U18" i="13"/>
  <c r="T46" i="1"/>
  <c r="U22" i="13"/>
  <c r="T50" i="1"/>
  <c r="U26" i="13"/>
  <c r="U40" i="1"/>
  <c r="V16" i="13"/>
  <c r="U44" i="1"/>
  <c r="V20" i="13"/>
  <c r="U48" i="1"/>
  <c r="V24" i="13"/>
  <c r="Q32" i="1"/>
  <c r="R8" i="13"/>
  <c r="R27" i="1"/>
  <c r="AH27" i="1"/>
  <c r="Q34" i="1"/>
  <c r="Q36" i="1"/>
  <c r="Q38" i="1"/>
  <c r="Q44" i="1"/>
  <c r="R20" i="13"/>
  <c r="Q46" i="1"/>
  <c r="R22" i="13"/>
  <c r="Q48" i="1"/>
  <c r="R24" i="13"/>
  <c r="Q50" i="1"/>
  <c r="R26" i="13"/>
  <c r="AY27" i="1"/>
  <c r="BP27" i="1"/>
  <c r="CG27" i="1"/>
  <c r="CX27" i="1"/>
  <c r="DO27" i="1"/>
  <c r="EF27" i="1"/>
  <c r="EW27" i="1"/>
  <c r="FN27" i="1"/>
  <c r="GE27" i="1"/>
  <c r="AZ27" i="1"/>
  <c r="BQ27" i="1"/>
  <c r="CH27" i="1"/>
  <c r="CY27" i="1"/>
  <c r="DP27" i="1"/>
  <c r="EG27" i="1"/>
  <c r="EX27" i="1"/>
  <c r="FO27" i="1"/>
  <c r="GF27" i="1"/>
  <c r="GW27" i="1"/>
  <c r="HN27" i="1"/>
  <c r="IE27" i="1"/>
  <c r="Q33" i="1"/>
  <c r="Q35" i="1"/>
  <c r="R11" i="13"/>
  <c r="Q37" i="1"/>
  <c r="Q39" i="1"/>
  <c r="Q43" i="1"/>
  <c r="R19" i="13"/>
  <c r="Q45" i="1"/>
  <c r="R21" i="13"/>
  <c r="Q47" i="1"/>
  <c r="R23" i="13"/>
  <c r="Q49" i="1"/>
  <c r="R25" i="13"/>
  <c r="Q41" i="1"/>
  <c r="AI27" i="1"/>
  <c r="R51" i="12"/>
  <c r="Q51" i="10"/>
  <c r="U51" i="10"/>
  <c r="R51" i="6"/>
  <c r="Q51" i="6"/>
  <c r="U51" i="6"/>
  <c r="Q51" i="5"/>
  <c r="U51" i="5"/>
  <c r="R51" i="5"/>
  <c r="R51" i="2"/>
  <c r="Q51" i="2"/>
  <c r="U36" i="1"/>
  <c r="V12" i="13"/>
  <c r="R12" i="13"/>
  <c r="U41" i="1"/>
  <c r="V17" i="13"/>
  <c r="R17" i="13"/>
  <c r="U33" i="1"/>
  <c r="V9" i="13"/>
  <c r="R9" i="13"/>
  <c r="U34" i="1"/>
  <c r="V10" i="13"/>
  <c r="R10" i="13"/>
  <c r="U39" i="1"/>
  <c r="V15" i="13"/>
  <c r="R15" i="13"/>
  <c r="U37" i="1"/>
  <c r="V13" i="13"/>
  <c r="R13" i="13"/>
  <c r="U38" i="1"/>
  <c r="V14" i="13"/>
  <c r="R14" i="13"/>
  <c r="Q51" i="12"/>
  <c r="U51" i="12"/>
  <c r="U32" i="12"/>
  <c r="Q51" i="11"/>
  <c r="U51" i="11"/>
  <c r="U32" i="11"/>
  <c r="R51" i="10"/>
  <c r="U51" i="9"/>
  <c r="T51" i="9"/>
  <c r="R51" i="7"/>
  <c r="Q51" i="7"/>
  <c r="U51" i="7"/>
  <c r="U32" i="7"/>
  <c r="T51" i="6"/>
  <c r="U32" i="6"/>
  <c r="R51" i="3"/>
  <c r="U51" i="3"/>
  <c r="T51" i="3"/>
  <c r="U51" i="2"/>
  <c r="T51" i="2"/>
  <c r="Q51" i="1"/>
  <c r="U32" i="1"/>
  <c r="V8" i="13"/>
  <c r="U51" i="1"/>
  <c r="B105" i="13"/>
  <c r="B109" i="13"/>
  <c r="B113" i="13"/>
  <c r="B106" i="13"/>
  <c r="B110" i="13"/>
  <c r="B114" i="13"/>
  <c r="B107" i="13"/>
  <c r="B111" i="13"/>
  <c r="B123" i="13"/>
  <c r="A104" i="13"/>
  <c r="A106" i="13"/>
  <c r="A108" i="13"/>
  <c r="A110" i="13"/>
  <c r="A112" i="13"/>
  <c r="A114" i="13"/>
  <c r="A116" i="13"/>
  <c r="A118" i="13"/>
  <c r="A103" i="13"/>
  <c r="A124" i="13"/>
  <c r="A128" i="13"/>
  <c r="A132" i="13"/>
  <c r="A136" i="13"/>
  <c r="A130" i="13"/>
</calcChain>
</file>

<file path=xl/sharedStrings.xml><?xml version="1.0" encoding="utf-8"?>
<sst xmlns="http://schemas.openxmlformats.org/spreadsheetml/2006/main" count="3267" uniqueCount="75">
  <si>
    <t>CORPORACION CRIOLLITOS DE VENEZUELA</t>
  </si>
  <si>
    <t>LIGA DE BEISBOL MENOR JUAN GUILLERMO GUZMAN</t>
  </si>
  <si>
    <t>LIDERATOS INDIVIDUAL</t>
  </si>
  <si>
    <t xml:space="preserve">CATEGORIA : INFANTIL    </t>
  </si>
  <si>
    <t>JUEGOS VS    DELFINES "B"</t>
  </si>
  <si>
    <t>AQUÍ MIL</t>
  </si>
  <si>
    <t xml:space="preserve">JUEGOS VS    </t>
  </si>
  <si>
    <t>GOLDEN BOY</t>
  </si>
  <si>
    <t>caribitos A</t>
  </si>
  <si>
    <t>hospinex</t>
  </si>
  <si>
    <t>olivos b</t>
  </si>
  <si>
    <t>MIRABAL</t>
  </si>
  <si>
    <t>pelahuesos</t>
  </si>
  <si>
    <t>sardinitas B</t>
  </si>
  <si>
    <t>santa marta</t>
  </si>
  <si>
    <t>delfines</t>
  </si>
  <si>
    <t>mirabal</t>
  </si>
  <si>
    <t>O   F   E   N   S   I   V   A       I   N   D   I   V   I   D   U   A   L</t>
  </si>
  <si>
    <t>No</t>
  </si>
  <si>
    <t xml:space="preserve">NOMBRE  </t>
  </si>
  <si>
    <t xml:space="preserve">  VB</t>
  </si>
  <si>
    <t>CA</t>
  </si>
  <si>
    <t xml:space="preserve"> H</t>
  </si>
  <si>
    <t>2B</t>
  </si>
  <si>
    <t>3B</t>
  </si>
  <si>
    <t>HR</t>
  </si>
  <si>
    <t>CI</t>
  </si>
  <si>
    <t>K</t>
  </si>
  <si>
    <t>BB</t>
  </si>
  <si>
    <t>BR</t>
  </si>
  <si>
    <t>GP</t>
  </si>
  <si>
    <t>SH</t>
  </si>
  <si>
    <t>SF</t>
  </si>
  <si>
    <t>INT</t>
  </si>
  <si>
    <t>BAL</t>
  </si>
  <si>
    <t>AL</t>
  </si>
  <si>
    <t>JESUS HERNANDEZ</t>
  </si>
  <si>
    <t>JOSEPH MENDOZA</t>
  </si>
  <si>
    <t>ABRAHAN RODRIGUZ</t>
  </si>
  <si>
    <t>ALEXANDER HERNANDEZ</t>
  </si>
  <si>
    <t>DANIEL LIENDO</t>
  </si>
  <si>
    <t>SEBASTIAN MUJICA</t>
  </si>
  <si>
    <t>ANGEL RODRIGUEZ</t>
  </si>
  <si>
    <t>FRANCISCO MONASTERIO</t>
  </si>
  <si>
    <t>MARCOS MORALES</t>
  </si>
  <si>
    <t>ADRIAN MURILLO</t>
  </si>
  <si>
    <t>DARGREYBER RODRIGUEZ</t>
  </si>
  <si>
    <t>JENSE FLORES</t>
  </si>
  <si>
    <t>TOTALES :</t>
  </si>
  <si>
    <t>LIDERES INDIVIDUAL</t>
  </si>
  <si>
    <t>AV</t>
  </si>
  <si>
    <t>SLG</t>
  </si>
  <si>
    <t>organización</t>
  </si>
  <si>
    <t>equipo1</t>
  </si>
  <si>
    <t>equipo2</t>
  </si>
  <si>
    <t>equipo3</t>
  </si>
  <si>
    <t>equipo4</t>
  </si>
  <si>
    <t>equipo5</t>
  </si>
  <si>
    <t>equipo6</t>
  </si>
  <si>
    <t>equipo7</t>
  </si>
  <si>
    <t>equipo8</t>
  </si>
  <si>
    <t>equipo9</t>
  </si>
  <si>
    <t>equipo10</t>
  </si>
  <si>
    <t>JESUS  PAEZ EQUIPO 2</t>
  </si>
  <si>
    <t>PEDRO GUERRA EQUIPO3</t>
  </si>
  <si>
    <t>JOSE MOTATERIO EQUIPO4</t>
  </si>
  <si>
    <t>JESUS  ALFONZO EQUIPO5</t>
  </si>
  <si>
    <t>JESUS MENDOZA EQUIPO6</t>
  </si>
  <si>
    <t>LUIS HERNANDEZ EQUIPO7</t>
  </si>
  <si>
    <t>ALI GOMEZ EQUIPO8</t>
  </si>
  <si>
    <t>LUIS TORRENS EQUIPO9</t>
  </si>
  <si>
    <t>RONALD ACUÑA EQUIPO10</t>
  </si>
  <si>
    <t xml:space="preserve">RESUMEN GENERAL </t>
  </si>
  <si>
    <t>no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</si>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</sst>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  <family val="2"/>
    </font>
    <font>
      <sz val="10"/>
      <color indexed="9"/>
      <name val="Lucida Sans"/>
      <family val="2"/>
    </font>
    <font>
      <sz val="10"/>
      <color indexed="8"/>
      <name val="Lucida Sans"/>
      <family val="2"/>
    </font>
    <font>
      <sz val="10"/>
      <color indexed="10"/>
      <name val="Lucida Sans"/>
      <family val="2"/>
    </font>
    <font>
      <sz val="10"/>
      <color indexed="23"/>
      <name val="Lucida Sans"/>
      <family val="2"/>
    </font>
    <font>
      <sz val="10"/>
      <color indexed="17"/>
      <name val="Lucida Sans"/>
      <family val="2"/>
    </font>
    <font>
      <u/>
      <sz val="10"/>
      <color indexed="12"/>
      <name val="Lucida Sans"/>
      <family val="2"/>
    </font>
    <font>
      <sz val="10"/>
      <color indexed="19"/>
      <name val="Lucida Sans"/>
      <family val="2"/>
    </font>
    <font>
      <sz val="10"/>
      <color indexed="63"/>
      <name val="Lucida Sans"/>
      <family val="2"/>
    </font>
    <font>
      <sz val="10"/>
      <name val="Lucida Sans"/>
      <family val="2"/>
    </font>
    <font>
      <b/>
      <sz val="10"/>
      <name val="Arial"/>
      <family val="2"/>
    </font>
    <font>
      <b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indexed="63"/>
        <bgColor indexed="59"/>
      </patternFill>
    </fill>
    <fill>
      <patternFill patternType="solid">
        <fgColor indexed="22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theme="0" tint="-0.34998626667073579"/>
        <bgColor indexed="59"/>
      </patternFill>
    </fill>
    <fill>
      <patternFill patternType="solid">
        <fgColor theme="0" tint="-0.34998626667073579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medium">
        <color indexed="59"/>
      </left>
      <right/>
      <top style="medium">
        <color indexed="59"/>
      </top>
      <bottom style="thin">
        <color indexed="59"/>
      </bottom>
      <diagonal/>
    </border>
    <border>
      <left/>
      <right/>
      <top style="medium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/>
      <bottom style="thin">
        <color indexed="59"/>
      </bottom>
      <diagonal/>
    </border>
    <border>
      <left style="thin">
        <color indexed="59"/>
      </left>
      <right/>
      <top/>
      <bottom style="thin">
        <color indexed="59"/>
      </bottom>
      <diagonal/>
    </border>
    <border>
      <left style="medium">
        <color indexed="59"/>
      </left>
      <right style="thin">
        <color indexed="59"/>
      </right>
      <top/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59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 style="medium">
        <color indexed="59"/>
      </bottom>
      <diagonal/>
    </border>
    <border>
      <left style="thin">
        <color indexed="59"/>
      </left>
      <right style="medium">
        <color indexed="59"/>
      </right>
      <top/>
      <bottom style="thin">
        <color indexed="59"/>
      </bottom>
      <diagonal/>
    </border>
    <border>
      <left style="medium">
        <color indexed="59"/>
      </left>
      <right style="thin">
        <color indexed="59"/>
      </right>
      <top style="medium">
        <color indexed="59"/>
      </top>
      <bottom style="medium">
        <color indexed="59"/>
      </bottom>
      <diagonal/>
    </border>
    <border>
      <left/>
      <right/>
      <top style="medium">
        <color indexed="59"/>
      </top>
      <bottom style="medium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59"/>
      </top>
      <bottom style="medium">
        <color indexed="59"/>
      </bottom>
      <diagonal/>
    </border>
    <border>
      <left style="thin">
        <color indexed="59"/>
      </left>
      <right style="medium">
        <color indexed="59"/>
      </right>
      <top style="medium">
        <color indexed="59"/>
      </top>
      <bottom style="medium">
        <color indexed="59"/>
      </bottom>
      <diagonal/>
    </border>
    <border>
      <left/>
      <right style="thin">
        <color indexed="59"/>
      </right>
      <top/>
      <bottom style="thin">
        <color indexed="5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 style="medium">
        <color indexed="59"/>
      </right>
      <top style="thin">
        <color indexed="59"/>
      </top>
      <bottom style="thin">
        <color indexed="59"/>
      </bottom>
      <diagonal/>
    </border>
    <border>
      <left/>
      <right style="thin">
        <color indexed="59"/>
      </right>
      <top style="thin">
        <color indexed="59"/>
      </top>
      <bottom style="thin">
        <color indexed="59"/>
      </bottom>
      <diagonal/>
    </border>
    <border>
      <left/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 applyNumberFormat="0" applyFill="0" applyBorder="0" applyAlignment="0" applyProtection="0"/>
    <xf numFmtId="0" fontId="3" fillId="5" borderId="0" applyNumberFormat="0" applyBorder="0" applyAlignment="0" applyProtection="0"/>
    <xf numFmtId="0" fontId="1" fillId="6" borderId="0" applyNumberFormat="0" applyBorder="0" applyAlignment="0" applyProtection="0"/>
    <xf numFmtId="0" fontId="4" fillId="0" borderId="0" applyNumberFormat="0" applyFill="0" applyBorder="0" applyAlignment="0" applyProtection="0"/>
    <xf numFmtId="0" fontId="5" fillId="7" borderId="0" applyNumberFormat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8" borderId="0" applyNumberFormat="0" applyBorder="0" applyAlignment="0" applyProtection="0"/>
    <xf numFmtId="0" fontId="8" fillId="8" borderId="1" applyNumberFormat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9">
    <xf numFmtId="0" fontId="0" fillId="0" borderId="0" xfId="0"/>
    <xf numFmtId="0" fontId="10" fillId="9" borderId="0" xfId="0" applyFont="1" applyFill="1" applyAlignment="1"/>
    <xf numFmtId="0" fontId="0" fillId="10" borderId="0" xfId="0" applyFill="1"/>
    <xf numFmtId="0" fontId="0" fillId="9" borderId="0" xfId="0" applyFont="1" applyFill="1" applyAlignment="1">
      <alignment horizontal="center"/>
    </xf>
    <xf numFmtId="0" fontId="0" fillId="0" borderId="0" xfId="0" applyFont="1"/>
    <xf numFmtId="0" fontId="10" fillId="11" borderId="3" xfId="0" applyFont="1" applyFill="1" applyBorder="1" applyAlignment="1">
      <alignment horizontal="center"/>
    </xf>
    <xf numFmtId="0" fontId="10" fillId="11" borderId="4" xfId="0" applyFont="1" applyFill="1" applyBorder="1" applyAlignment="1"/>
    <xf numFmtId="0" fontId="10" fillId="11" borderId="5" xfId="0" applyFont="1" applyFill="1" applyBorder="1" applyAlignment="1"/>
    <xf numFmtId="0" fontId="10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0" fillId="10" borderId="2" xfId="0" applyFill="1" applyBorder="1"/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0" fillId="9" borderId="2" xfId="0" applyFont="1" applyFill="1" applyBorder="1"/>
    <xf numFmtId="0" fontId="0" fillId="0" borderId="2" xfId="0" applyFont="1" applyBorder="1" applyAlignment="1">
      <alignment horizontal="left"/>
    </xf>
    <xf numFmtId="0" fontId="0" fillId="0" borderId="2" xfId="0" applyFont="1" applyBorder="1" applyAlignment="1">
      <alignment horizontal="center"/>
    </xf>
    <xf numFmtId="0" fontId="0" fillId="10" borderId="2" xfId="0" applyFont="1" applyFill="1" applyBorder="1"/>
    <xf numFmtId="0" fontId="0" fillId="10" borderId="0" xfId="0" applyFont="1" applyFill="1"/>
    <xf numFmtId="0" fontId="0" fillId="0" borderId="2" xfId="0" applyFont="1" applyBorder="1"/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10" borderId="0" xfId="0" applyFont="1" applyFill="1" applyBorder="1"/>
    <xf numFmtId="0" fontId="12" fillId="0" borderId="0" xfId="0" applyFont="1"/>
    <xf numFmtId="0" fontId="12" fillId="10" borderId="0" xfId="0" applyFont="1" applyFill="1"/>
    <xf numFmtId="0" fontId="10" fillId="9" borderId="6" xfId="0" applyFont="1" applyFill="1" applyBorder="1"/>
    <xf numFmtId="0" fontId="10" fillId="0" borderId="6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2" fillId="9" borderId="2" xfId="0" applyNumberFormat="1" applyFont="1" applyFill="1" applyBorder="1"/>
    <xf numFmtId="0" fontId="12" fillId="0" borderId="2" xfId="0" applyFont="1" applyBorder="1" applyAlignment="1">
      <alignment horizontal="center"/>
    </xf>
    <xf numFmtId="0" fontId="10" fillId="0" borderId="12" xfId="0" applyFont="1" applyFill="1" applyBorder="1" applyAlignment="1">
      <alignment horizontal="center"/>
    </xf>
    <xf numFmtId="0" fontId="10" fillId="10" borderId="13" xfId="0" applyFont="1" applyFill="1" applyBorder="1"/>
    <xf numFmtId="0" fontId="13" fillId="0" borderId="14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0" fillId="9" borderId="0" xfId="0" applyFont="1" applyFill="1" applyAlignment="1">
      <alignment horizontal="center" vertical="center"/>
    </xf>
    <xf numFmtId="0" fontId="12" fillId="0" borderId="6" xfId="0" applyFont="1" applyBorder="1" applyAlignment="1">
      <alignment horizontal="center"/>
    </xf>
    <xf numFmtId="0" fontId="12" fillId="13" borderId="0" xfId="0" applyFont="1" applyFill="1"/>
    <xf numFmtId="0" fontId="12" fillId="14" borderId="2" xfId="0" applyFont="1" applyFill="1" applyBorder="1" applyAlignment="1">
      <alignment horizontal="center"/>
    </xf>
    <xf numFmtId="0" fontId="0" fillId="14" borderId="0" xfId="0" applyFill="1"/>
    <xf numFmtId="0" fontId="12" fillId="0" borderId="0" xfId="0" applyFont="1" applyAlignment="1">
      <alignment horizontal="center"/>
    </xf>
    <xf numFmtId="0" fontId="12" fillId="9" borderId="2" xfId="0" applyNumberFormat="1" applyFont="1" applyFill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9" borderId="2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13" fillId="9" borderId="0" xfId="0" applyFont="1" applyFill="1" applyAlignment="1"/>
    <xf numFmtId="0" fontId="12" fillId="9" borderId="0" xfId="0" applyFont="1" applyFill="1" applyAlignment="1">
      <alignment horizontal="center"/>
    </xf>
    <xf numFmtId="0" fontId="12" fillId="0" borderId="2" xfId="0" applyFont="1" applyBorder="1" applyAlignment="1">
      <alignment horizontal="left"/>
    </xf>
    <xf numFmtId="0" fontId="12" fillId="0" borderId="2" xfId="0" applyFont="1" applyBorder="1"/>
    <xf numFmtId="0" fontId="13" fillId="9" borderId="0" xfId="0" applyFont="1" applyFill="1" applyAlignment="1">
      <alignment horizontal="center"/>
    </xf>
    <xf numFmtId="0" fontId="13" fillId="9" borderId="0" xfId="0" applyFont="1" applyFill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center"/>
    </xf>
    <xf numFmtId="0" fontId="10" fillId="12" borderId="20" xfId="0" applyFont="1" applyFill="1" applyBorder="1" applyAlignment="1">
      <alignment horizontal="center"/>
    </xf>
    <xf numFmtId="0" fontId="10" fillId="11" borderId="21" xfId="0" applyFont="1" applyFill="1" applyBorder="1" applyAlignment="1">
      <alignment horizontal="center"/>
    </xf>
    <xf numFmtId="0" fontId="10" fillId="11" borderId="18" xfId="0" applyFont="1" applyFill="1" applyBorder="1" applyAlignment="1">
      <alignment horizontal="center"/>
    </xf>
    <xf numFmtId="0" fontId="10" fillId="11" borderId="19" xfId="0" applyFont="1" applyFill="1" applyBorder="1" applyAlignment="1">
      <alignment horizontal="center"/>
    </xf>
    <xf numFmtId="0" fontId="10" fillId="11" borderId="10" xfId="0" applyFont="1" applyFill="1" applyBorder="1" applyAlignment="1">
      <alignment horizontal="center"/>
    </xf>
    <xf numFmtId="0" fontId="10" fillId="11" borderId="2" xfId="0" applyFont="1" applyFill="1" applyBorder="1" applyAlignment="1">
      <alignment horizontal="center"/>
    </xf>
    <xf numFmtId="0" fontId="10" fillId="11" borderId="22" xfId="0" applyFont="1" applyFill="1" applyBorder="1" applyAlignment="1">
      <alignment horizontal="center"/>
    </xf>
    <xf numFmtId="0" fontId="10" fillId="11" borderId="23" xfId="0" applyFont="1" applyFill="1" applyBorder="1" applyAlignment="1">
      <alignment horizontal="center"/>
    </xf>
    <xf numFmtId="0" fontId="10" fillId="11" borderId="24" xfId="0" applyFont="1" applyFill="1" applyBorder="1" applyAlignment="1">
      <alignment horizontal="center"/>
    </xf>
  </cellXfs>
  <cellStyles count="18">
    <cellStyle name="Accent 1 1" xfId="1" xr:uid="{45F256A8-0FEE-4B86-98E1-60AD31A92E2D}"/>
    <cellStyle name="Accent 2 1" xfId="2" xr:uid="{C8D259D0-0237-4F36-AFA2-48B510D25654}"/>
    <cellStyle name="Accent 3 1" xfId="3" xr:uid="{DB353FE2-9D96-4963-8EA0-F9568E67BD19}"/>
    <cellStyle name="Accent 4" xfId="4" xr:uid="{F2194705-3249-48D0-B093-86DE7C6C8B6B}"/>
    <cellStyle name="Bad 1" xfId="5" xr:uid="{F1F8DFFF-9DE5-47BA-8C28-775A931F622E}"/>
    <cellStyle name="Error 1" xfId="6" xr:uid="{548724AC-EF45-4E6E-90C9-39DCC4C4A123}"/>
    <cellStyle name="Footnote 1" xfId="7" xr:uid="{BBB706E9-EF0A-4BDA-A368-64CFCDC971BF}"/>
    <cellStyle name="Good 1" xfId="8" xr:uid="{7335B944-C8DE-4C4F-89BD-C860747AD1CA}"/>
    <cellStyle name="Heading 1 1" xfId="9" xr:uid="{6FC8F75A-31E5-4711-8686-9EBC96D25CDE}"/>
    <cellStyle name="Heading 2 1" xfId="10" xr:uid="{C0FC9A52-C515-485B-B8C7-AF0A6DF36122}"/>
    <cellStyle name="Heading 3" xfId="11" xr:uid="{857B03EE-80A4-4E9D-B5C3-FCDE3AD83C25}"/>
    <cellStyle name="Hyperlink 1" xfId="12" xr:uid="{8C3BC66A-8E31-4C36-B4E3-8AA219D1326B}"/>
    <cellStyle name="Neutral 1" xfId="13" xr:uid="{52E6A9EF-FF9E-4DF5-B66B-13D55D166C83}"/>
    <cellStyle name="Normal" xfId="0" builtinId="0"/>
    <cellStyle name="Note 1" xfId="14" xr:uid="{E236EECE-CF3C-4B6F-B802-45B2E72EC180}"/>
    <cellStyle name="Status 1" xfId="15" xr:uid="{3FDAC34E-C53F-4ACF-BE75-EF23E938F576}"/>
    <cellStyle name="Text 1" xfId="16" xr:uid="{CDE999AD-E221-4C8A-ADC6-2BAE1BD2E6F9}"/>
    <cellStyle name="Warning 1" xfId="17" xr:uid="{B68B1097-D06E-4D9B-9A21-BE4F79C14FCF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0000"/>
      <rgbColor rgb="0000FF00"/>
      <rgbColor rgb="000000EE"/>
      <rgbColor rgb="00FFFF00"/>
      <rgbColor rgb="00FF00FF"/>
      <rgbColor rgb="0000FFFF"/>
      <rgbColor rgb="00800000"/>
      <rgbColor rgb="00006600"/>
      <rgbColor rgb="00000080"/>
      <rgbColor rgb="009966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CC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C3C3C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E40C9-69CB-47F5-89CE-F978CED04731}">
  <dimension ref="A1:IV54"/>
  <sheetViews>
    <sheetView zoomScale="180" zoomScaleNormal="180" workbookViewId="0">
      <pane xSplit="1" topLeftCell="B1" activePane="topRight" state="frozen"/>
      <selection pane="topRight" activeCell="A10" sqref="A10"/>
    </sheetView>
  </sheetViews>
  <sheetFormatPr baseColWidth="10" defaultColWidth="4.33203125" defaultRowHeight="13.2" x14ac:dyDescent="0.25"/>
  <cols>
    <col min="1" max="1" width="25.88671875" customWidth="1"/>
    <col min="2" max="2" width="2.88671875" style="23" customWidth="1"/>
    <col min="19" max="19" width="1" customWidth="1"/>
    <col min="36" max="36" width="1.5546875" customWidth="1"/>
    <col min="53" max="53" width="1.33203125" customWidth="1"/>
    <col min="70" max="70" width="1.33203125" customWidth="1"/>
    <col min="87" max="87" width="1.109375" customWidth="1"/>
    <col min="104" max="104" width="1.44140625" customWidth="1"/>
    <col min="121" max="121" width="1.5546875" customWidth="1"/>
    <col min="138" max="138" width="1.44140625" customWidth="1"/>
    <col min="155" max="155" width="1.33203125" customWidth="1"/>
    <col min="172" max="172" width="1.33203125" customWidth="1"/>
    <col min="189" max="189" width="1.33203125" customWidth="1"/>
    <col min="206" max="206" width="1.109375" customWidth="1"/>
    <col min="223" max="223" width="1.33203125" customWidth="1"/>
    <col min="240" max="240" width="1.44140625" customWidth="1"/>
  </cols>
  <sheetData>
    <row r="1" spans="1:256" x14ac:dyDescent="0.25">
      <c r="A1" s="1" t="s">
        <v>0</v>
      </c>
      <c r="B1" s="51"/>
      <c r="C1" s="1"/>
      <c r="D1" s="1"/>
      <c r="E1" s="1"/>
      <c r="F1" s="1"/>
      <c r="G1" s="1"/>
      <c r="S1" s="2"/>
      <c r="AJ1" s="2"/>
      <c r="BA1" s="2"/>
      <c r="BR1" s="2"/>
      <c r="CI1" s="2"/>
      <c r="CZ1" s="2"/>
      <c r="DQ1" s="2"/>
      <c r="EH1" s="2"/>
      <c r="EY1" s="2"/>
      <c r="FP1" s="2"/>
      <c r="GG1" s="2"/>
      <c r="GX1" s="2"/>
      <c r="HO1" s="2"/>
      <c r="IF1" s="2"/>
    </row>
    <row r="2" spans="1:256" x14ac:dyDescent="0.25">
      <c r="A2" s="1" t="s">
        <v>1</v>
      </c>
      <c r="B2" s="51"/>
      <c r="C2" s="1"/>
      <c r="D2" s="1"/>
      <c r="E2" s="1"/>
      <c r="F2" s="1"/>
      <c r="G2" s="1"/>
      <c r="S2" s="2"/>
      <c r="AJ2" s="2"/>
      <c r="BA2" s="2"/>
      <c r="BR2" s="2"/>
      <c r="CI2" s="2"/>
      <c r="CZ2" s="2"/>
      <c r="DQ2" s="2"/>
      <c r="EH2" s="2"/>
      <c r="EY2" s="2"/>
      <c r="FP2" s="2"/>
      <c r="GG2" s="2"/>
      <c r="GX2" s="2"/>
      <c r="HO2" s="2"/>
      <c r="IF2" s="2"/>
    </row>
    <row r="3" spans="1:256" x14ac:dyDescent="0.25">
      <c r="B3" s="52" t="s">
        <v>2</v>
      </c>
      <c r="C3" s="3"/>
      <c r="D3" s="3"/>
      <c r="E3" s="3"/>
      <c r="F3" s="3"/>
      <c r="G3" s="3"/>
      <c r="S3" s="2"/>
      <c r="AJ3" s="2"/>
      <c r="BA3" s="2"/>
      <c r="BR3" s="2"/>
      <c r="CI3" s="2"/>
      <c r="CZ3" s="2"/>
      <c r="DQ3" s="2"/>
      <c r="EH3" s="2"/>
      <c r="EY3" s="2"/>
      <c r="FP3" s="2"/>
      <c r="GG3" s="2"/>
      <c r="GX3" s="2"/>
      <c r="HO3" s="2"/>
      <c r="IF3" s="2"/>
    </row>
    <row r="4" spans="1:256" x14ac:dyDescent="0.25">
      <c r="B4" s="23" t="s">
        <v>3</v>
      </c>
      <c r="S4" s="2"/>
      <c r="AJ4" s="2"/>
      <c r="BA4" s="2"/>
      <c r="BR4" s="2"/>
      <c r="CI4" s="2"/>
      <c r="CZ4" s="2"/>
      <c r="DQ4" s="2"/>
      <c r="EH4" s="2"/>
      <c r="EY4" s="2"/>
      <c r="FP4" s="2"/>
      <c r="GG4" s="2"/>
      <c r="GX4" s="2"/>
      <c r="HO4" s="2"/>
      <c r="IF4" s="2"/>
    </row>
    <row r="5" spans="1:256" ht="13.8" thickBot="1" x14ac:dyDescent="0.3">
      <c r="C5" t="s">
        <v>4</v>
      </c>
      <c r="F5" t="s">
        <v>5</v>
      </c>
      <c r="S5" s="2"/>
      <c r="U5" s="4" t="s">
        <v>6</v>
      </c>
      <c r="Y5" s="4" t="s">
        <v>7</v>
      </c>
      <c r="AC5">
        <v>2</v>
      </c>
      <c r="AJ5" s="2"/>
      <c r="AL5" s="4" t="s">
        <v>6</v>
      </c>
      <c r="AP5" t="s">
        <v>8</v>
      </c>
      <c r="AT5">
        <v>3</v>
      </c>
      <c r="BA5" s="2"/>
      <c r="BC5" s="4" t="s">
        <v>6</v>
      </c>
      <c r="BG5" t="s">
        <v>9</v>
      </c>
      <c r="BK5">
        <v>4</v>
      </c>
      <c r="BR5" s="2"/>
      <c r="BT5" s="4" t="s">
        <v>6</v>
      </c>
      <c r="BY5" t="s">
        <v>10</v>
      </c>
      <c r="CB5">
        <v>5</v>
      </c>
      <c r="CI5" s="2"/>
      <c r="CK5" s="4" t="s">
        <v>6</v>
      </c>
      <c r="CO5" t="s">
        <v>11</v>
      </c>
      <c r="CS5">
        <v>6</v>
      </c>
      <c r="CZ5" s="2"/>
      <c r="DB5" s="4" t="s">
        <v>6</v>
      </c>
      <c r="DF5" t="s">
        <v>12</v>
      </c>
      <c r="DJ5">
        <v>7</v>
      </c>
      <c r="DQ5" s="2"/>
      <c r="DS5" s="4" t="s">
        <v>6</v>
      </c>
      <c r="DW5" t="s">
        <v>13</v>
      </c>
      <c r="EA5">
        <v>8</v>
      </c>
      <c r="EH5" s="2"/>
      <c r="EJ5" s="4" t="s">
        <v>6</v>
      </c>
      <c r="EN5" t="s">
        <v>14</v>
      </c>
      <c r="ER5">
        <v>9</v>
      </c>
      <c r="EY5" s="2"/>
      <c r="FA5" s="4" t="s">
        <v>6</v>
      </c>
      <c r="FE5" t="s">
        <v>15</v>
      </c>
      <c r="FI5">
        <v>10</v>
      </c>
      <c r="FP5" s="2"/>
      <c r="FR5" s="4" t="s">
        <v>6</v>
      </c>
      <c r="FV5" t="s">
        <v>15</v>
      </c>
      <c r="FZ5">
        <v>11</v>
      </c>
      <c r="GG5" s="2"/>
      <c r="GI5" s="4" t="s">
        <v>6</v>
      </c>
      <c r="GM5" t="s">
        <v>16</v>
      </c>
      <c r="GQ5">
        <v>12</v>
      </c>
      <c r="GX5" s="2"/>
      <c r="GZ5" s="4" t="s">
        <v>6</v>
      </c>
      <c r="HH5">
        <v>13</v>
      </c>
      <c r="HO5" s="2"/>
      <c r="HQ5" s="4" t="s">
        <v>6</v>
      </c>
      <c r="HY5">
        <v>14</v>
      </c>
      <c r="IF5" s="2"/>
      <c r="IH5" s="4" t="s">
        <v>6</v>
      </c>
      <c r="IP5">
        <v>15</v>
      </c>
    </row>
    <row r="6" spans="1:256" s="5" customFormat="1" x14ac:dyDescent="0.25">
      <c r="A6" s="60" t="s">
        <v>53</v>
      </c>
      <c r="B6" s="60"/>
      <c r="C6" s="61" t="s">
        <v>17</v>
      </c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2"/>
      <c r="T6" s="59" t="s">
        <v>17</v>
      </c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2"/>
      <c r="AK6" s="59" t="s">
        <v>17</v>
      </c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2"/>
      <c r="BB6" s="59" t="s">
        <v>17</v>
      </c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59"/>
      <c r="BN6" s="59"/>
      <c r="BO6" s="59"/>
      <c r="BP6" s="59"/>
      <c r="BQ6" s="59"/>
      <c r="BR6" s="2"/>
      <c r="BS6" s="59" t="s">
        <v>17</v>
      </c>
      <c r="BT6" s="59"/>
      <c r="BU6" s="59"/>
      <c r="BV6" s="59"/>
      <c r="BW6" s="59"/>
      <c r="BX6" s="59"/>
      <c r="BY6" s="59"/>
      <c r="BZ6" s="59"/>
      <c r="CA6" s="59"/>
      <c r="CB6" s="59"/>
      <c r="CC6" s="59"/>
      <c r="CD6" s="59"/>
      <c r="CE6" s="59"/>
      <c r="CF6" s="59"/>
      <c r="CG6" s="59"/>
      <c r="CH6" s="59"/>
      <c r="CI6" s="2"/>
      <c r="CJ6" s="59" t="s">
        <v>17</v>
      </c>
      <c r="CK6" s="59"/>
      <c r="CL6" s="59"/>
      <c r="CM6" s="59"/>
      <c r="CN6" s="59"/>
      <c r="CO6" s="59"/>
      <c r="CP6" s="59"/>
      <c r="CQ6" s="59"/>
      <c r="CR6" s="59"/>
      <c r="CS6" s="59"/>
      <c r="CT6" s="59"/>
      <c r="CU6" s="59"/>
      <c r="CV6" s="59"/>
      <c r="CW6" s="59"/>
      <c r="CX6" s="59"/>
      <c r="CY6" s="59"/>
      <c r="CZ6" s="2"/>
      <c r="DA6" s="59" t="s">
        <v>17</v>
      </c>
      <c r="DB6" s="59"/>
      <c r="DC6" s="59"/>
      <c r="DD6" s="59"/>
      <c r="DE6" s="59"/>
      <c r="DF6" s="59"/>
      <c r="DG6" s="59"/>
      <c r="DH6" s="59"/>
      <c r="DI6" s="59"/>
      <c r="DJ6" s="59"/>
      <c r="DK6" s="59"/>
      <c r="DL6" s="59"/>
      <c r="DM6" s="59"/>
      <c r="DN6" s="59"/>
      <c r="DO6" s="59"/>
      <c r="DP6" s="59"/>
      <c r="DQ6" s="2"/>
      <c r="DR6" s="59" t="s">
        <v>17</v>
      </c>
      <c r="DS6" s="59"/>
      <c r="DT6" s="59"/>
      <c r="DU6" s="59"/>
      <c r="DV6" s="59"/>
      <c r="DW6" s="59"/>
      <c r="DX6" s="59"/>
      <c r="DY6" s="59"/>
      <c r="DZ6" s="59"/>
      <c r="EA6" s="59"/>
      <c r="EB6" s="59"/>
      <c r="EC6" s="59"/>
      <c r="ED6" s="59"/>
      <c r="EE6" s="59"/>
      <c r="EF6" s="59"/>
      <c r="EG6" s="59"/>
      <c r="EH6" s="2"/>
      <c r="EI6" s="59" t="s">
        <v>17</v>
      </c>
      <c r="EJ6" s="59"/>
      <c r="EK6" s="59"/>
      <c r="EL6" s="59"/>
      <c r="EM6" s="59"/>
      <c r="EN6" s="59"/>
      <c r="EO6" s="59"/>
      <c r="EP6" s="59"/>
      <c r="EQ6" s="59"/>
      <c r="ER6" s="59"/>
      <c r="ES6" s="59"/>
      <c r="ET6" s="59"/>
      <c r="EU6" s="59"/>
      <c r="EV6" s="59"/>
      <c r="EW6" s="59"/>
      <c r="EX6" s="59"/>
      <c r="EY6" s="2"/>
      <c r="EZ6" s="59" t="s">
        <v>17</v>
      </c>
      <c r="FA6" s="59"/>
      <c r="FB6" s="59"/>
      <c r="FC6" s="59"/>
      <c r="FD6" s="59"/>
      <c r="FE6" s="59"/>
      <c r="FF6" s="59"/>
      <c r="FG6" s="59"/>
      <c r="FH6" s="59"/>
      <c r="FI6" s="59"/>
      <c r="FJ6" s="59"/>
      <c r="FK6" s="59"/>
      <c r="FL6" s="59"/>
      <c r="FM6" s="59"/>
      <c r="FN6" s="59"/>
      <c r="FO6" s="59"/>
      <c r="FP6" s="2"/>
      <c r="FQ6" s="59" t="s">
        <v>17</v>
      </c>
      <c r="FR6" s="59"/>
      <c r="FS6" s="59"/>
      <c r="FT6" s="59"/>
      <c r="FU6" s="59"/>
      <c r="FV6" s="59"/>
      <c r="FW6" s="59"/>
      <c r="FX6" s="59"/>
      <c r="FY6" s="59"/>
      <c r="FZ6" s="59"/>
      <c r="GA6" s="59"/>
      <c r="GB6" s="59"/>
      <c r="GC6" s="59"/>
      <c r="GD6" s="59"/>
      <c r="GE6" s="59"/>
      <c r="GF6" s="59"/>
      <c r="GG6" s="2"/>
      <c r="GH6" s="59" t="s">
        <v>17</v>
      </c>
      <c r="GI6" s="59"/>
      <c r="GJ6" s="59"/>
      <c r="GK6" s="59"/>
      <c r="GL6" s="59"/>
      <c r="GM6" s="59"/>
      <c r="GN6" s="59"/>
      <c r="GO6" s="59"/>
      <c r="GP6" s="59"/>
      <c r="GQ6" s="59"/>
      <c r="GR6" s="59"/>
      <c r="GS6" s="59"/>
      <c r="GT6" s="59"/>
      <c r="GU6" s="59"/>
      <c r="GV6" s="59"/>
      <c r="GW6" s="59"/>
      <c r="GX6" s="2"/>
      <c r="GY6" s="59" t="s">
        <v>17</v>
      </c>
      <c r="GZ6" s="59"/>
      <c r="HA6" s="59"/>
      <c r="HB6" s="59"/>
      <c r="HC6" s="59"/>
      <c r="HD6" s="59"/>
      <c r="HE6" s="59"/>
      <c r="HF6" s="59"/>
      <c r="HG6" s="59"/>
      <c r="HH6" s="59"/>
      <c r="HI6" s="59"/>
      <c r="HJ6" s="59"/>
      <c r="HK6" s="59"/>
      <c r="HL6" s="59"/>
      <c r="HM6" s="59"/>
      <c r="HN6" s="59"/>
      <c r="HO6" s="2"/>
      <c r="HP6" s="59" t="s">
        <v>17</v>
      </c>
      <c r="HQ6" s="59"/>
      <c r="HR6" s="59"/>
      <c r="HS6" s="59"/>
      <c r="HT6" s="59"/>
      <c r="HU6" s="59"/>
      <c r="HV6" s="59"/>
      <c r="HW6" s="59"/>
      <c r="HX6" s="59"/>
      <c r="HY6" s="59"/>
      <c r="HZ6" s="59"/>
      <c r="IA6" s="59"/>
      <c r="IB6" s="59"/>
      <c r="IC6" s="59"/>
      <c r="ID6" s="59"/>
      <c r="IE6" s="59"/>
      <c r="IF6" s="2"/>
      <c r="IG6" s="6" t="s">
        <v>17</v>
      </c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</row>
    <row r="7" spans="1:256" s="2" customFormat="1" x14ac:dyDescent="0.25">
      <c r="A7" s="8" t="s">
        <v>19</v>
      </c>
      <c r="B7" s="50" t="s">
        <v>18</v>
      </c>
      <c r="C7" s="9" t="s">
        <v>20</v>
      </c>
      <c r="D7" s="9" t="s">
        <v>21</v>
      </c>
      <c r="E7" s="9" t="s">
        <v>22</v>
      </c>
      <c r="F7" s="9" t="s">
        <v>23</v>
      </c>
      <c r="G7" s="9" t="s">
        <v>24</v>
      </c>
      <c r="H7" s="9" t="s">
        <v>25</v>
      </c>
      <c r="I7" s="9" t="s">
        <v>26</v>
      </c>
      <c r="J7" s="9" t="s">
        <v>27</v>
      </c>
      <c r="K7" s="9" t="s">
        <v>28</v>
      </c>
      <c r="L7" s="9" t="s">
        <v>29</v>
      </c>
      <c r="M7" s="9" t="s">
        <v>30</v>
      </c>
      <c r="N7" s="9" t="s">
        <v>31</v>
      </c>
      <c r="O7" s="9" t="s">
        <v>32</v>
      </c>
      <c r="P7" s="9" t="s">
        <v>33</v>
      </c>
      <c r="Q7" s="9" t="s">
        <v>34</v>
      </c>
      <c r="R7" s="9" t="s">
        <v>35</v>
      </c>
      <c r="S7" s="10"/>
      <c r="T7" s="9" t="s">
        <v>20</v>
      </c>
      <c r="U7" s="9" t="s">
        <v>21</v>
      </c>
      <c r="V7" s="9" t="s">
        <v>22</v>
      </c>
      <c r="W7" s="9" t="s">
        <v>23</v>
      </c>
      <c r="X7" s="9" t="s">
        <v>24</v>
      </c>
      <c r="Y7" s="9" t="s">
        <v>25</v>
      </c>
      <c r="Z7" s="9" t="s">
        <v>26</v>
      </c>
      <c r="AA7" s="9" t="s">
        <v>27</v>
      </c>
      <c r="AB7" s="9" t="s">
        <v>28</v>
      </c>
      <c r="AC7" s="9" t="s">
        <v>29</v>
      </c>
      <c r="AD7" s="9" t="s">
        <v>30</v>
      </c>
      <c r="AE7" s="9" t="s">
        <v>31</v>
      </c>
      <c r="AF7" s="9" t="s">
        <v>32</v>
      </c>
      <c r="AG7" s="9" t="s">
        <v>33</v>
      </c>
      <c r="AH7" s="9" t="s">
        <v>34</v>
      </c>
      <c r="AI7" s="9" t="s">
        <v>35</v>
      </c>
      <c r="AK7" s="9" t="s">
        <v>20</v>
      </c>
      <c r="AL7" s="9" t="s">
        <v>21</v>
      </c>
      <c r="AM7" s="9" t="s">
        <v>22</v>
      </c>
      <c r="AN7" s="9" t="s">
        <v>23</v>
      </c>
      <c r="AO7" s="9" t="s">
        <v>24</v>
      </c>
      <c r="AP7" s="9" t="s">
        <v>25</v>
      </c>
      <c r="AQ7" s="9" t="s">
        <v>26</v>
      </c>
      <c r="AR7" s="9" t="s">
        <v>27</v>
      </c>
      <c r="AS7" s="9" t="s">
        <v>28</v>
      </c>
      <c r="AT7" s="9" t="s">
        <v>29</v>
      </c>
      <c r="AU7" s="9" t="s">
        <v>30</v>
      </c>
      <c r="AV7" s="9" t="s">
        <v>31</v>
      </c>
      <c r="AW7" s="9" t="s">
        <v>32</v>
      </c>
      <c r="AX7" s="9" t="s">
        <v>33</v>
      </c>
      <c r="AY7" s="9" t="s">
        <v>34</v>
      </c>
      <c r="AZ7" s="9" t="s">
        <v>35</v>
      </c>
      <c r="BB7" s="9" t="s">
        <v>20</v>
      </c>
      <c r="BC7" s="9" t="s">
        <v>21</v>
      </c>
      <c r="BD7" s="9" t="s">
        <v>22</v>
      </c>
      <c r="BE7" s="9" t="s">
        <v>23</v>
      </c>
      <c r="BF7" s="9" t="s">
        <v>24</v>
      </c>
      <c r="BG7" s="9" t="s">
        <v>25</v>
      </c>
      <c r="BH7" s="9" t="s">
        <v>26</v>
      </c>
      <c r="BI7" s="9" t="s">
        <v>27</v>
      </c>
      <c r="BJ7" s="9" t="s">
        <v>28</v>
      </c>
      <c r="BK7" s="9" t="s">
        <v>29</v>
      </c>
      <c r="BL7" s="9" t="s">
        <v>30</v>
      </c>
      <c r="BM7" s="9" t="s">
        <v>31</v>
      </c>
      <c r="BN7" s="9" t="s">
        <v>32</v>
      </c>
      <c r="BO7" s="9" t="s">
        <v>33</v>
      </c>
      <c r="BP7" s="9" t="s">
        <v>34</v>
      </c>
      <c r="BQ7" s="9" t="s">
        <v>35</v>
      </c>
      <c r="BS7" s="9" t="s">
        <v>20</v>
      </c>
      <c r="BT7" s="9" t="s">
        <v>21</v>
      </c>
      <c r="BU7" s="9" t="s">
        <v>22</v>
      </c>
      <c r="BV7" s="9" t="s">
        <v>23</v>
      </c>
      <c r="BW7" s="9" t="s">
        <v>24</v>
      </c>
      <c r="BX7" s="9" t="s">
        <v>25</v>
      </c>
      <c r="BY7" s="9" t="s">
        <v>26</v>
      </c>
      <c r="BZ7" s="9" t="s">
        <v>27</v>
      </c>
      <c r="CA7" s="9" t="s">
        <v>28</v>
      </c>
      <c r="CB7" s="9" t="s">
        <v>29</v>
      </c>
      <c r="CC7" s="9" t="s">
        <v>30</v>
      </c>
      <c r="CD7" s="9" t="s">
        <v>31</v>
      </c>
      <c r="CE7" s="9" t="s">
        <v>32</v>
      </c>
      <c r="CF7" s="9" t="s">
        <v>33</v>
      </c>
      <c r="CG7" s="9" t="s">
        <v>34</v>
      </c>
      <c r="CH7" s="9" t="s">
        <v>35</v>
      </c>
      <c r="CJ7" s="9" t="s">
        <v>20</v>
      </c>
      <c r="CK7" s="9" t="s">
        <v>21</v>
      </c>
      <c r="CL7" s="9" t="s">
        <v>22</v>
      </c>
      <c r="CM7" s="9" t="s">
        <v>23</v>
      </c>
      <c r="CN7" s="9" t="s">
        <v>24</v>
      </c>
      <c r="CO7" s="9" t="s">
        <v>25</v>
      </c>
      <c r="CP7" s="9" t="s">
        <v>26</v>
      </c>
      <c r="CQ7" s="9" t="s">
        <v>27</v>
      </c>
      <c r="CR7" s="9" t="s">
        <v>28</v>
      </c>
      <c r="CS7" s="9" t="s">
        <v>29</v>
      </c>
      <c r="CT7" s="9" t="s">
        <v>30</v>
      </c>
      <c r="CU7" s="9" t="s">
        <v>31</v>
      </c>
      <c r="CV7" s="9" t="s">
        <v>32</v>
      </c>
      <c r="CW7" s="9" t="s">
        <v>33</v>
      </c>
      <c r="CX7" s="9" t="s">
        <v>34</v>
      </c>
      <c r="CY7" s="9" t="s">
        <v>35</v>
      </c>
      <c r="DA7" s="9" t="s">
        <v>20</v>
      </c>
      <c r="DB7" s="9" t="s">
        <v>21</v>
      </c>
      <c r="DC7" s="9" t="s">
        <v>22</v>
      </c>
      <c r="DD7" s="9" t="s">
        <v>23</v>
      </c>
      <c r="DE7" s="9" t="s">
        <v>24</v>
      </c>
      <c r="DF7" s="9" t="s">
        <v>25</v>
      </c>
      <c r="DG7" s="9" t="s">
        <v>26</v>
      </c>
      <c r="DH7" s="9" t="s">
        <v>27</v>
      </c>
      <c r="DI7" s="9" t="s">
        <v>28</v>
      </c>
      <c r="DJ7" s="9" t="s">
        <v>29</v>
      </c>
      <c r="DK7" s="9" t="s">
        <v>30</v>
      </c>
      <c r="DL7" s="9" t="s">
        <v>31</v>
      </c>
      <c r="DM7" s="9" t="s">
        <v>32</v>
      </c>
      <c r="DN7" s="9" t="s">
        <v>33</v>
      </c>
      <c r="DO7" s="9" t="s">
        <v>34</v>
      </c>
      <c r="DP7" s="9" t="s">
        <v>35</v>
      </c>
      <c r="DR7" s="9" t="s">
        <v>20</v>
      </c>
      <c r="DS7" s="9" t="s">
        <v>21</v>
      </c>
      <c r="DT7" s="9" t="s">
        <v>22</v>
      </c>
      <c r="DU7" s="9" t="s">
        <v>23</v>
      </c>
      <c r="DV7" s="9" t="s">
        <v>24</v>
      </c>
      <c r="DW7" s="9" t="s">
        <v>25</v>
      </c>
      <c r="DX7" s="9" t="s">
        <v>26</v>
      </c>
      <c r="DY7" s="9" t="s">
        <v>27</v>
      </c>
      <c r="DZ7" s="9" t="s">
        <v>28</v>
      </c>
      <c r="EA7" s="9" t="s">
        <v>29</v>
      </c>
      <c r="EB7" s="9" t="s">
        <v>30</v>
      </c>
      <c r="EC7" s="9" t="s">
        <v>31</v>
      </c>
      <c r="ED7" s="9" t="s">
        <v>32</v>
      </c>
      <c r="EE7" s="9" t="s">
        <v>33</v>
      </c>
      <c r="EF7" s="9" t="s">
        <v>34</v>
      </c>
      <c r="EG7" s="9" t="s">
        <v>35</v>
      </c>
      <c r="EI7" s="9" t="s">
        <v>20</v>
      </c>
      <c r="EJ7" s="9" t="s">
        <v>21</v>
      </c>
      <c r="EK7" s="9" t="s">
        <v>22</v>
      </c>
      <c r="EL7" s="9" t="s">
        <v>23</v>
      </c>
      <c r="EM7" s="9" t="s">
        <v>24</v>
      </c>
      <c r="EN7" s="9" t="s">
        <v>25</v>
      </c>
      <c r="EO7" s="9" t="s">
        <v>26</v>
      </c>
      <c r="EP7" s="9" t="s">
        <v>27</v>
      </c>
      <c r="EQ7" s="9" t="s">
        <v>28</v>
      </c>
      <c r="ER7" s="9" t="s">
        <v>29</v>
      </c>
      <c r="ES7" s="9" t="s">
        <v>30</v>
      </c>
      <c r="ET7" s="9" t="s">
        <v>31</v>
      </c>
      <c r="EU7" s="9" t="s">
        <v>32</v>
      </c>
      <c r="EV7" s="9" t="s">
        <v>33</v>
      </c>
      <c r="EW7" s="9" t="s">
        <v>34</v>
      </c>
      <c r="EX7" s="9" t="s">
        <v>35</v>
      </c>
      <c r="EZ7" s="9" t="s">
        <v>20</v>
      </c>
      <c r="FA7" s="9" t="s">
        <v>21</v>
      </c>
      <c r="FB7" s="9" t="s">
        <v>22</v>
      </c>
      <c r="FC7" s="9" t="s">
        <v>23</v>
      </c>
      <c r="FD7" s="9" t="s">
        <v>24</v>
      </c>
      <c r="FE7" s="9" t="s">
        <v>25</v>
      </c>
      <c r="FF7" s="9" t="s">
        <v>26</v>
      </c>
      <c r="FG7" s="9" t="s">
        <v>27</v>
      </c>
      <c r="FH7" s="9" t="s">
        <v>28</v>
      </c>
      <c r="FI7" s="9" t="s">
        <v>29</v>
      </c>
      <c r="FJ7" s="9" t="s">
        <v>30</v>
      </c>
      <c r="FK7" s="9" t="s">
        <v>31</v>
      </c>
      <c r="FL7" s="9" t="s">
        <v>32</v>
      </c>
      <c r="FM7" s="9" t="s">
        <v>33</v>
      </c>
      <c r="FN7" s="9" t="s">
        <v>34</v>
      </c>
      <c r="FO7" s="9" t="s">
        <v>35</v>
      </c>
      <c r="FQ7" s="9" t="s">
        <v>20</v>
      </c>
      <c r="FR7" s="9" t="s">
        <v>21</v>
      </c>
      <c r="FS7" s="9" t="s">
        <v>22</v>
      </c>
      <c r="FT7" s="9" t="s">
        <v>23</v>
      </c>
      <c r="FU7" s="9" t="s">
        <v>24</v>
      </c>
      <c r="FV7" s="9" t="s">
        <v>25</v>
      </c>
      <c r="FW7" s="9" t="s">
        <v>26</v>
      </c>
      <c r="FX7" s="9" t="s">
        <v>27</v>
      </c>
      <c r="FY7" s="9" t="s">
        <v>28</v>
      </c>
      <c r="FZ7" s="9" t="s">
        <v>29</v>
      </c>
      <c r="GA7" s="9" t="s">
        <v>30</v>
      </c>
      <c r="GB7" s="9" t="s">
        <v>31</v>
      </c>
      <c r="GC7" s="9" t="s">
        <v>32</v>
      </c>
      <c r="GD7" s="9" t="s">
        <v>33</v>
      </c>
      <c r="GE7" s="9" t="s">
        <v>34</v>
      </c>
      <c r="GF7" s="9" t="s">
        <v>35</v>
      </c>
      <c r="GH7" s="9" t="s">
        <v>20</v>
      </c>
      <c r="GI7" s="9" t="s">
        <v>21</v>
      </c>
      <c r="GJ7" s="9" t="s">
        <v>22</v>
      </c>
      <c r="GK7" s="9" t="s">
        <v>23</v>
      </c>
      <c r="GL7" s="9" t="s">
        <v>24</v>
      </c>
      <c r="GM7" s="9" t="s">
        <v>25</v>
      </c>
      <c r="GN7" s="9" t="s">
        <v>26</v>
      </c>
      <c r="GO7" s="9" t="s">
        <v>27</v>
      </c>
      <c r="GP7" s="9" t="s">
        <v>28</v>
      </c>
      <c r="GQ7" s="9" t="s">
        <v>29</v>
      </c>
      <c r="GR7" s="9" t="s">
        <v>30</v>
      </c>
      <c r="GS7" s="9" t="s">
        <v>31</v>
      </c>
      <c r="GT7" s="9" t="s">
        <v>32</v>
      </c>
      <c r="GU7" s="9" t="s">
        <v>33</v>
      </c>
      <c r="GV7" s="9" t="s">
        <v>34</v>
      </c>
      <c r="GW7" s="9" t="s">
        <v>35</v>
      </c>
      <c r="GY7" s="9" t="s">
        <v>20</v>
      </c>
      <c r="GZ7" s="9" t="s">
        <v>21</v>
      </c>
      <c r="HA7" s="9" t="s">
        <v>22</v>
      </c>
      <c r="HB7" s="9" t="s">
        <v>23</v>
      </c>
      <c r="HC7" s="9" t="s">
        <v>24</v>
      </c>
      <c r="HD7" s="9" t="s">
        <v>25</v>
      </c>
      <c r="HE7" s="9" t="s">
        <v>26</v>
      </c>
      <c r="HF7" s="9" t="s">
        <v>27</v>
      </c>
      <c r="HG7" s="9" t="s">
        <v>28</v>
      </c>
      <c r="HH7" s="9" t="s">
        <v>29</v>
      </c>
      <c r="HI7" s="9" t="s">
        <v>30</v>
      </c>
      <c r="HJ7" s="9" t="s">
        <v>31</v>
      </c>
      <c r="HK7" s="9" t="s">
        <v>32</v>
      </c>
      <c r="HL7" s="9" t="s">
        <v>33</v>
      </c>
      <c r="HM7" s="9" t="s">
        <v>34</v>
      </c>
      <c r="HN7" s="9" t="s">
        <v>35</v>
      </c>
      <c r="HP7" s="9" t="s">
        <v>20</v>
      </c>
      <c r="HQ7" s="9" t="s">
        <v>21</v>
      </c>
      <c r="HR7" s="9" t="s">
        <v>22</v>
      </c>
      <c r="HS7" s="9" t="s">
        <v>23</v>
      </c>
      <c r="HT7" s="9" t="s">
        <v>24</v>
      </c>
      <c r="HU7" s="9" t="s">
        <v>25</v>
      </c>
      <c r="HV7" s="9" t="s">
        <v>26</v>
      </c>
      <c r="HW7" s="9" t="s">
        <v>27</v>
      </c>
      <c r="HX7" s="9" t="s">
        <v>28</v>
      </c>
      <c r="HY7" s="9" t="s">
        <v>29</v>
      </c>
      <c r="HZ7" s="9" t="s">
        <v>30</v>
      </c>
      <c r="IA7" s="9" t="s">
        <v>31</v>
      </c>
      <c r="IB7" s="9" t="s">
        <v>32</v>
      </c>
      <c r="IC7" s="9" t="s">
        <v>33</v>
      </c>
      <c r="ID7" s="9" t="s">
        <v>34</v>
      </c>
      <c r="IE7" s="9" t="s">
        <v>35</v>
      </c>
      <c r="IG7" s="9" t="s">
        <v>20</v>
      </c>
      <c r="IH7" s="9" t="s">
        <v>21</v>
      </c>
      <c r="II7" s="9" t="s">
        <v>22</v>
      </c>
      <c r="IJ7" s="9" t="s">
        <v>23</v>
      </c>
      <c r="IK7" s="9" t="s">
        <v>24</v>
      </c>
      <c r="IL7" s="9" t="s">
        <v>25</v>
      </c>
      <c r="IM7" s="9" t="s">
        <v>26</v>
      </c>
      <c r="IN7" s="9" t="s">
        <v>27</v>
      </c>
      <c r="IO7" s="9" t="s">
        <v>28</v>
      </c>
      <c r="IP7" s="9" t="s">
        <v>29</v>
      </c>
      <c r="IQ7" s="9" t="s">
        <v>30</v>
      </c>
      <c r="IR7" s="9" t="s">
        <v>31</v>
      </c>
      <c r="IS7" s="9" t="s">
        <v>32</v>
      </c>
      <c r="IT7" s="9" t="s">
        <v>33</v>
      </c>
      <c r="IU7" s="9" t="s">
        <v>34</v>
      </c>
      <c r="IV7" s="9" t="s">
        <v>35</v>
      </c>
    </row>
    <row r="8" spans="1:256" s="16" customFormat="1" x14ac:dyDescent="0.25">
      <c r="A8" s="15" t="s">
        <v>36</v>
      </c>
      <c r="B8" s="53">
        <v>5</v>
      </c>
      <c r="C8" s="16">
        <v>4</v>
      </c>
      <c r="D8" s="16">
        <v>1</v>
      </c>
      <c r="E8" s="16">
        <v>1</v>
      </c>
      <c r="H8" s="16">
        <v>1</v>
      </c>
      <c r="I8" s="16">
        <v>2</v>
      </c>
      <c r="L8" s="16">
        <v>1</v>
      </c>
      <c r="Q8" s="16">
        <f>(E8-(F8+G8+H8))+(F8*2)+(G8*3)+(H8*4)</f>
        <v>4</v>
      </c>
      <c r="R8" s="16">
        <f>+C8+K8+M8+N8+O8+P8</f>
        <v>4</v>
      </c>
      <c r="S8" s="17"/>
      <c r="T8" s="16">
        <v>4</v>
      </c>
      <c r="V8" s="16">
        <v>1</v>
      </c>
      <c r="AH8" s="16">
        <f t="shared" ref="AH8:AH26" si="0">(V8-(W8+X8+Y8))+(W8*2)+(X8*3)+(Y8*4)</f>
        <v>1</v>
      </c>
      <c r="AI8" s="16">
        <f t="shared" ref="AI8:AI26" si="1">+T8+AB8+AD8+AE8+AF8+AG8</f>
        <v>4</v>
      </c>
      <c r="AJ8" s="18"/>
      <c r="AK8" s="16">
        <v>4</v>
      </c>
      <c r="AM8" s="16">
        <v>4</v>
      </c>
      <c r="AY8" s="16">
        <f t="shared" ref="AY8:AY26" si="2">(AM8-(AN8+AO8+AP8))+(AN8*2)+(AO8*3)+(AP8*4)</f>
        <v>4</v>
      </c>
      <c r="AZ8" s="16">
        <f t="shared" ref="AZ8:AZ26" si="3">+AK8+AS8+AU8+AV8+AW8+AX8</f>
        <v>4</v>
      </c>
      <c r="BA8" s="18"/>
      <c r="BB8" s="16">
        <v>2</v>
      </c>
      <c r="BD8" s="16">
        <v>0</v>
      </c>
      <c r="BP8" s="16">
        <f t="shared" ref="BP8:BP26" si="4">(BD8-(BE8+BF8+BG8))+(BE8*2)+(BF8*3)+(BG8*4)</f>
        <v>0</v>
      </c>
      <c r="BQ8" s="16">
        <f t="shared" ref="BQ8:BQ26" si="5">+BB8+BJ8+BL8+BM8+BN8+BO8</f>
        <v>2</v>
      </c>
      <c r="BR8" s="18"/>
      <c r="BS8" s="16">
        <v>1</v>
      </c>
      <c r="BU8" s="16">
        <v>1</v>
      </c>
      <c r="CG8" s="16">
        <f t="shared" ref="CG8:CG26" si="6">(BU8-(BV8+BW8+BX8))+(BV8*2)+(BW8*3)+(BX8*4)</f>
        <v>1</v>
      </c>
      <c r="CH8" s="16">
        <f t="shared" ref="CH8:CH26" si="7">+BS8+CA8+CC8+CD8+CE8+CF8</f>
        <v>1</v>
      </c>
      <c r="CI8" s="18"/>
      <c r="CJ8" s="16">
        <v>5</v>
      </c>
      <c r="CL8" s="16">
        <v>0</v>
      </c>
      <c r="CX8" s="16">
        <f t="shared" ref="CX8:CX26" si="8">(CL8-(CM8+CN8+CO8))+(CM8*2)+(CN8*3)+(CO8*4)</f>
        <v>0</v>
      </c>
      <c r="CY8" s="16">
        <f t="shared" ref="CY8:CY26" si="9">+CJ8+CR8+CT8+CU8+CV8+CW8</f>
        <v>5</v>
      </c>
      <c r="CZ8" s="18"/>
      <c r="DA8" s="16">
        <v>4</v>
      </c>
      <c r="DC8" s="16">
        <v>1</v>
      </c>
      <c r="DO8" s="16">
        <f t="shared" ref="DO8:DO26" si="10">(DC8-(DD8+DE8+DF8))+(DD8*2)+(DE8*3)+(DF8*4)</f>
        <v>1</v>
      </c>
      <c r="DP8" s="16">
        <f t="shared" ref="DP8:DP26" si="11">+DA8+DI8+DK8+DL8+DM8+DN8</f>
        <v>4</v>
      </c>
      <c r="DQ8" s="18"/>
      <c r="DR8" s="16">
        <v>5</v>
      </c>
      <c r="DT8" s="16">
        <v>0</v>
      </c>
      <c r="EF8" s="16">
        <f t="shared" ref="EF8:EF26" si="12">(DT8-(DU8+DV8+DW8))+(DU8*2)+(DV8*3)+(DW8*4)</f>
        <v>0</v>
      </c>
      <c r="EG8" s="16">
        <f t="shared" ref="EG8:EG26" si="13">+DR8+DZ8+EB8+EC8+ED8+EE8</f>
        <v>5</v>
      </c>
      <c r="EH8" s="18"/>
      <c r="EI8" s="16">
        <v>3</v>
      </c>
      <c r="EK8" s="16">
        <v>0</v>
      </c>
      <c r="EW8" s="16">
        <f t="shared" ref="EW8:EW26" si="14">(EK8-(EL8+EM8+EN8))+(EL8*2)+(EM8*3)+(EN8*4)</f>
        <v>0</v>
      </c>
      <c r="EX8" s="16">
        <f t="shared" ref="EX8:EX26" si="15">+EI8+EQ8+ES8+ET8+EU8+EV8</f>
        <v>3</v>
      </c>
      <c r="EY8" s="18"/>
      <c r="EZ8" s="16">
        <v>5</v>
      </c>
      <c r="FB8" s="16">
        <v>5</v>
      </c>
      <c r="FN8" s="16">
        <f t="shared" ref="FN8:FN26" si="16">(FB8-(FC8+FD8+FE8))+(FC8*2)+(FD8*3)+(FE8*4)</f>
        <v>5</v>
      </c>
      <c r="FO8" s="16">
        <f t="shared" ref="FO8:FO26" si="17">+EZ8+FH8+FJ8+FK8+FL8+FM8</f>
        <v>5</v>
      </c>
      <c r="FP8" s="18"/>
      <c r="FQ8" s="16">
        <v>2</v>
      </c>
      <c r="FR8" s="16">
        <v>1</v>
      </c>
      <c r="FS8" s="16">
        <v>1</v>
      </c>
      <c r="GE8" s="16">
        <f t="shared" ref="GE8:GE26" si="18">(FS8-(FT8+FU8+FV8))+(FT8*2)+(FU8*3)+(FV8*4)</f>
        <v>1</v>
      </c>
      <c r="GF8" s="16">
        <f t="shared" ref="GF8:GF26" si="19">+FQ8+FY8+GA8+GB8+GC8+GD8</f>
        <v>2</v>
      </c>
      <c r="GG8" s="18"/>
      <c r="GH8" s="16">
        <v>2</v>
      </c>
      <c r="GJ8" s="16">
        <v>0</v>
      </c>
      <c r="GV8" s="16">
        <f t="shared" ref="GV8:GV26" si="20">(GJ8-(GK8+GL8+GM8))+(GK8*2)+(GL8*3)+(GM8*4)</f>
        <v>0</v>
      </c>
      <c r="GW8" s="16">
        <f t="shared" ref="GW8:GW26" si="21">+GH8+GP8+GR8+GS8+GT8+GU8</f>
        <v>2</v>
      </c>
      <c r="GX8" s="18"/>
      <c r="GY8" s="16">
        <v>3</v>
      </c>
      <c r="HA8" s="16">
        <v>1</v>
      </c>
      <c r="HM8" s="16">
        <f t="shared" ref="HM8:HM26" si="22">(HA8-(HB8+HC8+HD8))+(HB8*2)+(HC8*3)+(HD8*4)</f>
        <v>1</v>
      </c>
      <c r="HN8" s="16">
        <f t="shared" ref="HN8:HN26" si="23">+GY8+HG8+HI8+HJ8+HK8+HL8</f>
        <v>3</v>
      </c>
      <c r="HO8" s="18"/>
      <c r="HP8" s="16">
        <v>2</v>
      </c>
      <c r="HR8" s="16">
        <v>1</v>
      </c>
      <c r="ID8" s="16">
        <f t="shared" ref="ID8:ID26" si="24">(HR8-(HS8+HT8+HU8))+(HS8*2)+(HT8*3)+(HU8*4)</f>
        <v>1</v>
      </c>
      <c r="IE8" s="16">
        <f t="shared" ref="IE8:IE26" si="25">+HP8+HX8+HZ8+IA8+IB8+IC8</f>
        <v>2</v>
      </c>
      <c r="IF8" s="18"/>
      <c r="IG8" s="16">
        <v>5</v>
      </c>
      <c r="II8" s="16">
        <v>0</v>
      </c>
      <c r="IU8" s="16">
        <f t="shared" ref="IU8:IU26" si="26">(II8-(IJ8+IK8+IL8))+(IJ8*2)+(IK8*3)+(IL8*4)</f>
        <v>0</v>
      </c>
      <c r="IV8" s="16">
        <f t="shared" ref="IV8:IV26" si="27">+IG8+IO8+IQ8+IR8+IS8+IT8</f>
        <v>5</v>
      </c>
    </row>
    <row r="9" spans="1:256" s="16" customFormat="1" x14ac:dyDescent="0.25">
      <c r="A9" s="15" t="s">
        <v>37</v>
      </c>
      <c r="B9" s="53">
        <v>6</v>
      </c>
      <c r="C9" s="16">
        <v>3</v>
      </c>
      <c r="D9" s="16">
        <v>1</v>
      </c>
      <c r="E9" s="16">
        <v>1</v>
      </c>
      <c r="F9" s="16">
        <v>1</v>
      </c>
      <c r="K9" s="16">
        <v>2</v>
      </c>
      <c r="Q9" s="16">
        <f t="shared" ref="Q9:Q26" si="28">(E9-(F9+G9+H9))+(F9*2)+(G9*3)+(H9*4)</f>
        <v>2</v>
      </c>
      <c r="R9" s="16">
        <f t="shared" ref="R9:R26" si="29">+C9+K9+M9+N9+O9+P9</f>
        <v>5</v>
      </c>
      <c r="S9" s="17"/>
      <c r="AH9" s="16">
        <f t="shared" si="0"/>
        <v>0</v>
      </c>
      <c r="AI9" s="16">
        <f t="shared" si="1"/>
        <v>0</v>
      </c>
      <c r="AJ9" s="18"/>
      <c r="AY9" s="16">
        <f t="shared" si="2"/>
        <v>0</v>
      </c>
      <c r="AZ9" s="16">
        <f t="shared" si="3"/>
        <v>0</v>
      </c>
      <c r="BA9" s="18"/>
      <c r="BP9" s="16">
        <f t="shared" si="4"/>
        <v>0</v>
      </c>
      <c r="BQ9" s="16">
        <f t="shared" si="5"/>
        <v>0</v>
      </c>
      <c r="BR9" s="18"/>
      <c r="CG9" s="16">
        <f t="shared" si="6"/>
        <v>0</v>
      </c>
      <c r="CH9" s="16">
        <f t="shared" si="7"/>
        <v>0</v>
      </c>
      <c r="CI9" s="18"/>
      <c r="CX9" s="16">
        <f t="shared" si="8"/>
        <v>0</v>
      </c>
      <c r="CY9" s="16">
        <f t="shared" si="9"/>
        <v>0</v>
      </c>
      <c r="CZ9" s="18"/>
      <c r="DO9" s="16">
        <f t="shared" si="10"/>
        <v>0</v>
      </c>
      <c r="DP9" s="16">
        <f t="shared" si="11"/>
        <v>0</v>
      </c>
      <c r="DQ9" s="18"/>
      <c r="EF9" s="16">
        <f t="shared" si="12"/>
        <v>0</v>
      </c>
      <c r="EG9" s="16">
        <f t="shared" si="13"/>
        <v>0</v>
      </c>
      <c r="EH9" s="18"/>
      <c r="EW9" s="16">
        <f t="shared" si="14"/>
        <v>0</v>
      </c>
      <c r="EX9" s="16">
        <f t="shared" si="15"/>
        <v>0</v>
      </c>
      <c r="EY9" s="18"/>
      <c r="FN9" s="16">
        <f t="shared" si="16"/>
        <v>0</v>
      </c>
      <c r="FO9" s="16">
        <f t="shared" si="17"/>
        <v>0</v>
      </c>
      <c r="FP9" s="18"/>
      <c r="GE9" s="16">
        <f t="shared" si="18"/>
        <v>0</v>
      </c>
      <c r="GF9" s="16">
        <f t="shared" si="19"/>
        <v>0</v>
      </c>
      <c r="GG9" s="18"/>
      <c r="GV9" s="16">
        <f t="shared" si="20"/>
        <v>0</v>
      </c>
      <c r="GW9" s="16">
        <f t="shared" si="21"/>
        <v>0</v>
      </c>
      <c r="GX9" s="18"/>
      <c r="HM9" s="16">
        <f t="shared" si="22"/>
        <v>0</v>
      </c>
      <c r="HN9" s="16">
        <f t="shared" si="23"/>
        <v>0</v>
      </c>
      <c r="HO9" s="18"/>
      <c r="ID9" s="16">
        <f t="shared" si="24"/>
        <v>0</v>
      </c>
      <c r="IE9" s="16">
        <f t="shared" si="25"/>
        <v>0</v>
      </c>
      <c r="IF9" s="18"/>
      <c r="IU9" s="16">
        <f t="shared" si="26"/>
        <v>0</v>
      </c>
      <c r="IV9" s="16">
        <f t="shared" si="27"/>
        <v>0</v>
      </c>
    </row>
    <row r="10" spans="1:256" s="16" customFormat="1" x14ac:dyDescent="0.25">
      <c r="A10" s="15" t="s">
        <v>38</v>
      </c>
      <c r="B10" s="53">
        <v>2</v>
      </c>
      <c r="C10" s="16">
        <v>4</v>
      </c>
      <c r="E10" s="16">
        <v>1</v>
      </c>
      <c r="Q10" s="16">
        <f t="shared" si="28"/>
        <v>1</v>
      </c>
      <c r="R10" s="16">
        <f t="shared" si="29"/>
        <v>4</v>
      </c>
      <c r="S10" s="17"/>
      <c r="AH10" s="16">
        <f t="shared" si="0"/>
        <v>0</v>
      </c>
      <c r="AI10" s="16">
        <f t="shared" si="1"/>
        <v>0</v>
      </c>
      <c r="AJ10" s="18"/>
      <c r="AY10" s="16">
        <f t="shared" si="2"/>
        <v>0</v>
      </c>
      <c r="AZ10" s="16">
        <f t="shared" si="3"/>
        <v>0</v>
      </c>
      <c r="BA10" s="18"/>
      <c r="BP10" s="16">
        <f t="shared" si="4"/>
        <v>0</v>
      </c>
      <c r="BQ10" s="16">
        <f t="shared" si="5"/>
        <v>0</v>
      </c>
      <c r="BR10" s="18"/>
      <c r="CG10" s="16">
        <f t="shared" si="6"/>
        <v>0</v>
      </c>
      <c r="CH10" s="16">
        <f t="shared" si="7"/>
        <v>0</v>
      </c>
      <c r="CI10" s="18"/>
      <c r="CX10" s="16">
        <f t="shared" si="8"/>
        <v>0</v>
      </c>
      <c r="CY10" s="16">
        <f t="shared" si="9"/>
        <v>0</v>
      </c>
      <c r="CZ10" s="18"/>
      <c r="DO10" s="16">
        <f t="shared" si="10"/>
        <v>0</v>
      </c>
      <c r="DP10" s="16">
        <f t="shared" si="11"/>
        <v>0</v>
      </c>
      <c r="DQ10" s="18"/>
      <c r="EF10" s="16">
        <f t="shared" si="12"/>
        <v>0</v>
      </c>
      <c r="EG10" s="16">
        <f t="shared" si="13"/>
        <v>0</v>
      </c>
      <c r="EH10" s="18"/>
      <c r="EW10" s="16">
        <f t="shared" si="14"/>
        <v>0</v>
      </c>
      <c r="EX10" s="16">
        <f t="shared" si="15"/>
        <v>0</v>
      </c>
      <c r="EY10" s="18"/>
      <c r="FN10" s="16">
        <f t="shared" si="16"/>
        <v>0</v>
      </c>
      <c r="FO10" s="16">
        <f t="shared" si="17"/>
        <v>0</v>
      </c>
      <c r="FP10" s="18"/>
      <c r="GE10" s="16">
        <f t="shared" si="18"/>
        <v>0</v>
      </c>
      <c r="GF10" s="16">
        <f t="shared" si="19"/>
        <v>0</v>
      </c>
      <c r="GG10" s="18"/>
      <c r="GV10" s="16">
        <f t="shared" si="20"/>
        <v>0</v>
      </c>
      <c r="GW10" s="16">
        <f t="shared" si="21"/>
        <v>0</v>
      </c>
      <c r="GX10" s="18"/>
      <c r="HM10" s="16">
        <f t="shared" si="22"/>
        <v>0</v>
      </c>
      <c r="HN10" s="16">
        <f t="shared" si="23"/>
        <v>0</v>
      </c>
      <c r="HO10" s="18"/>
      <c r="ID10" s="16">
        <f t="shared" si="24"/>
        <v>0</v>
      </c>
      <c r="IE10" s="16">
        <f t="shared" si="25"/>
        <v>0</v>
      </c>
      <c r="IF10" s="18"/>
      <c r="IU10" s="16">
        <f t="shared" si="26"/>
        <v>0</v>
      </c>
      <c r="IV10" s="16">
        <f t="shared" si="27"/>
        <v>0</v>
      </c>
    </row>
    <row r="11" spans="1:256" s="16" customFormat="1" x14ac:dyDescent="0.25">
      <c r="A11" s="15" t="s">
        <v>39</v>
      </c>
      <c r="B11" s="53"/>
      <c r="D11" s="16">
        <v>1</v>
      </c>
      <c r="I11" s="16">
        <v>1</v>
      </c>
      <c r="K11" s="16">
        <v>3</v>
      </c>
      <c r="L11" s="16">
        <v>3</v>
      </c>
      <c r="Q11" s="16">
        <f t="shared" si="28"/>
        <v>0</v>
      </c>
      <c r="R11" s="16">
        <f t="shared" si="29"/>
        <v>3</v>
      </c>
      <c r="S11" s="17"/>
      <c r="AH11" s="16">
        <f t="shared" si="0"/>
        <v>0</v>
      </c>
      <c r="AI11" s="16">
        <f t="shared" si="1"/>
        <v>0</v>
      </c>
      <c r="AJ11" s="18"/>
      <c r="AY11" s="16">
        <f t="shared" si="2"/>
        <v>0</v>
      </c>
      <c r="AZ11" s="16">
        <f t="shared" si="3"/>
        <v>0</v>
      </c>
      <c r="BA11" s="18"/>
      <c r="BP11" s="16">
        <f t="shared" si="4"/>
        <v>0</v>
      </c>
      <c r="BQ11" s="16">
        <f t="shared" si="5"/>
        <v>0</v>
      </c>
      <c r="BR11" s="18"/>
      <c r="CG11" s="16">
        <f t="shared" si="6"/>
        <v>0</v>
      </c>
      <c r="CH11" s="16">
        <f t="shared" si="7"/>
        <v>0</v>
      </c>
      <c r="CI11" s="18"/>
      <c r="CX11" s="16">
        <f t="shared" si="8"/>
        <v>0</v>
      </c>
      <c r="CY11" s="16">
        <f t="shared" si="9"/>
        <v>0</v>
      </c>
      <c r="CZ11" s="18"/>
      <c r="DO11" s="16">
        <f t="shared" si="10"/>
        <v>0</v>
      </c>
      <c r="DP11" s="16">
        <f t="shared" si="11"/>
        <v>0</v>
      </c>
      <c r="DQ11" s="18"/>
      <c r="EF11" s="16">
        <f t="shared" si="12"/>
        <v>0</v>
      </c>
      <c r="EG11" s="16">
        <f t="shared" si="13"/>
        <v>0</v>
      </c>
      <c r="EH11" s="18"/>
      <c r="EW11" s="16">
        <f t="shared" si="14"/>
        <v>0</v>
      </c>
      <c r="EX11" s="16">
        <f t="shared" si="15"/>
        <v>0</v>
      </c>
      <c r="EY11" s="18"/>
      <c r="FN11" s="16">
        <f t="shared" si="16"/>
        <v>0</v>
      </c>
      <c r="FO11" s="16">
        <f t="shared" si="17"/>
        <v>0</v>
      </c>
      <c r="FP11" s="18"/>
      <c r="GE11" s="16">
        <f t="shared" si="18"/>
        <v>0</v>
      </c>
      <c r="GF11" s="16">
        <f t="shared" si="19"/>
        <v>0</v>
      </c>
      <c r="GG11" s="18"/>
      <c r="GV11" s="16">
        <f t="shared" si="20"/>
        <v>0</v>
      </c>
      <c r="GW11" s="16">
        <f t="shared" si="21"/>
        <v>0</v>
      </c>
      <c r="GX11" s="18"/>
      <c r="HM11" s="16">
        <f t="shared" si="22"/>
        <v>0</v>
      </c>
      <c r="HN11" s="16">
        <f t="shared" si="23"/>
        <v>0</v>
      </c>
      <c r="HO11" s="18"/>
      <c r="ID11" s="16">
        <f t="shared" si="24"/>
        <v>0</v>
      </c>
      <c r="IE11" s="16">
        <f t="shared" si="25"/>
        <v>0</v>
      </c>
      <c r="IF11" s="18"/>
      <c r="IU11" s="16">
        <f t="shared" si="26"/>
        <v>0</v>
      </c>
      <c r="IV11" s="16">
        <f t="shared" si="27"/>
        <v>0</v>
      </c>
    </row>
    <row r="12" spans="1:256" s="16" customFormat="1" x14ac:dyDescent="0.25">
      <c r="A12" s="15" t="s">
        <v>40</v>
      </c>
      <c r="B12" s="53"/>
      <c r="C12" s="16">
        <v>1</v>
      </c>
      <c r="Q12" s="16">
        <f t="shared" si="28"/>
        <v>0</v>
      </c>
      <c r="R12" s="16">
        <f t="shared" si="29"/>
        <v>1</v>
      </c>
      <c r="S12" s="17"/>
      <c r="AH12" s="16">
        <f t="shared" si="0"/>
        <v>0</v>
      </c>
      <c r="AI12" s="16">
        <f t="shared" si="1"/>
        <v>0</v>
      </c>
      <c r="AJ12" s="18"/>
      <c r="AY12" s="16">
        <f t="shared" si="2"/>
        <v>0</v>
      </c>
      <c r="AZ12" s="16">
        <f t="shared" si="3"/>
        <v>0</v>
      </c>
      <c r="BA12" s="18"/>
      <c r="BP12" s="16">
        <f t="shared" si="4"/>
        <v>0</v>
      </c>
      <c r="BQ12" s="16">
        <f t="shared" si="5"/>
        <v>0</v>
      </c>
      <c r="BR12" s="18"/>
      <c r="CG12" s="16">
        <f t="shared" si="6"/>
        <v>0</v>
      </c>
      <c r="CH12" s="16">
        <f t="shared" si="7"/>
        <v>0</v>
      </c>
      <c r="CI12" s="18"/>
      <c r="CX12" s="16">
        <f t="shared" si="8"/>
        <v>0</v>
      </c>
      <c r="CY12" s="16">
        <f t="shared" si="9"/>
        <v>0</v>
      </c>
      <c r="CZ12" s="18"/>
      <c r="DO12" s="16">
        <f t="shared" si="10"/>
        <v>0</v>
      </c>
      <c r="DP12" s="16">
        <f t="shared" si="11"/>
        <v>0</v>
      </c>
      <c r="DQ12" s="18"/>
      <c r="EF12" s="16">
        <f t="shared" si="12"/>
        <v>0</v>
      </c>
      <c r="EG12" s="16">
        <f t="shared" si="13"/>
        <v>0</v>
      </c>
      <c r="EH12" s="18"/>
      <c r="EW12" s="16">
        <f t="shared" si="14"/>
        <v>0</v>
      </c>
      <c r="EX12" s="16">
        <f t="shared" si="15"/>
        <v>0</v>
      </c>
      <c r="EY12" s="18"/>
      <c r="FN12" s="16">
        <f t="shared" si="16"/>
        <v>0</v>
      </c>
      <c r="FO12" s="16">
        <f t="shared" si="17"/>
        <v>0</v>
      </c>
      <c r="FP12" s="18"/>
      <c r="GE12" s="16">
        <f t="shared" si="18"/>
        <v>0</v>
      </c>
      <c r="GF12" s="16">
        <f t="shared" si="19"/>
        <v>0</v>
      </c>
      <c r="GG12" s="18"/>
      <c r="GV12" s="16">
        <f t="shared" si="20"/>
        <v>0</v>
      </c>
      <c r="GW12" s="16">
        <f t="shared" si="21"/>
        <v>0</v>
      </c>
      <c r="GX12" s="18"/>
      <c r="HM12" s="16">
        <f t="shared" si="22"/>
        <v>0</v>
      </c>
      <c r="HN12" s="16">
        <f t="shared" si="23"/>
        <v>0</v>
      </c>
      <c r="HO12" s="18"/>
      <c r="ID12" s="16">
        <f t="shared" si="24"/>
        <v>0</v>
      </c>
      <c r="IE12" s="16">
        <f t="shared" si="25"/>
        <v>0</v>
      </c>
      <c r="IF12" s="18"/>
      <c r="IU12" s="16">
        <f t="shared" si="26"/>
        <v>0</v>
      </c>
      <c r="IV12" s="16">
        <f t="shared" si="27"/>
        <v>0</v>
      </c>
    </row>
    <row r="13" spans="1:256" s="16" customFormat="1" x14ac:dyDescent="0.25">
      <c r="A13" s="15" t="s">
        <v>41</v>
      </c>
      <c r="B13" s="53"/>
      <c r="C13" s="16">
        <v>2</v>
      </c>
      <c r="J13" s="16">
        <v>1</v>
      </c>
      <c r="Q13" s="16">
        <f t="shared" si="28"/>
        <v>0</v>
      </c>
      <c r="R13" s="16">
        <f t="shared" si="29"/>
        <v>2</v>
      </c>
      <c r="S13" s="17"/>
      <c r="AH13" s="16">
        <f t="shared" si="0"/>
        <v>0</v>
      </c>
      <c r="AI13" s="16">
        <f t="shared" si="1"/>
        <v>0</v>
      </c>
      <c r="AJ13" s="18"/>
      <c r="AY13" s="16">
        <f t="shared" si="2"/>
        <v>0</v>
      </c>
      <c r="AZ13" s="16">
        <f t="shared" si="3"/>
        <v>0</v>
      </c>
      <c r="BA13" s="18"/>
      <c r="BP13" s="16">
        <f t="shared" si="4"/>
        <v>0</v>
      </c>
      <c r="BQ13" s="16">
        <f t="shared" si="5"/>
        <v>0</v>
      </c>
      <c r="BR13" s="18"/>
      <c r="CG13" s="16">
        <f t="shared" si="6"/>
        <v>0</v>
      </c>
      <c r="CH13" s="16">
        <f t="shared" si="7"/>
        <v>0</v>
      </c>
      <c r="CI13" s="18"/>
      <c r="CX13" s="16">
        <f t="shared" si="8"/>
        <v>0</v>
      </c>
      <c r="CY13" s="16">
        <f t="shared" si="9"/>
        <v>0</v>
      </c>
      <c r="CZ13" s="18"/>
      <c r="DO13" s="16">
        <f t="shared" si="10"/>
        <v>0</v>
      </c>
      <c r="DP13" s="16">
        <f t="shared" si="11"/>
        <v>0</v>
      </c>
      <c r="DQ13" s="18"/>
      <c r="EF13" s="16">
        <f t="shared" si="12"/>
        <v>0</v>
      </c>
      <c r="EG13" s="16">
        <f t="shared" si="13"/>
        <v>0</v>
      </c>
      <c r="EH13" s="18"/>
      <c r="EW13" s="16">
        <f t="shared" si="14"/>
        <v>0</v>
      </c>
      <c r="EX13" s="16">
        <f t="shared" si="15"/>
        <v>0</v>
      </c>
      <c r="EY13" s="18"/>
      <c r="FN13" s="16">
        <f t="shared" si="16"/>
        <v>0</v>
      </c>
      <c r="FO13" s="16">
        <f t="shared" si="17"/>
        <v>0</v>
      </c>
      <c r="FP13" s="18"/>
      <c r="GE13" s="16">
        <f t="shared" si="18"/>
        <v>0</v>
      </c>
      <c r="GF13" s="16">
        <f t="shared" si="19"/>
        <v>0</v>
      </c>
      <c r="GG13" s="18"/>
      <c r="GV13" s="16">
        <f t="shared" si="20"/>
        <v>0</v>
      </c>
      <c r="GW13" s="16">
        <f t="shared" si="21"/>
        <v>0</v>
      </c>
      <c r="GX13" s="18"/>
      <c r="HM13" s="16">
        <f t="shared" si="22"/>
        <v>0</v>
      </c>
      <c r="HN13" s="16">
        <f t="shared" si="23"/>
        <v>0</v>
      </c>
      <c r="HO13" s="18"/>
      <c r="ID13" s="16">
        <f t="shared" si="24"/>
        <v>0</v>
      </c>
      <c r="IE13" s="16">
        <f t="shared" si="25"/>
        <v>0</v>
      </c>
      <c r="IF13" s="18"/>
      <c r="IU13" s="16">
        <f t="shared" si="26"/>
        <v>0</v>
      </c>
      <c r="IV13" s="16">
        <f t="shared" si="27"/>
        <v>0</v>
      </c>
    </row>
    <row r="14" spans="1:256" s="16" customFormat="1" x14ac:dyDescent="0.25">
      <c r="A14" s="15" t="s">
        <v>42</v>
      </c>
      <c r="B14" s="53"/>
      <c r="C14" s="16">
        <v>3</v>
      </c>
      <c r="D14" s="16">
        <v>2</v>
      </c>
      <c r="E14" s="16">
        <v>2</v>
      </c>
      <c r="I14" s="16">
        <v>1</v>
      </c>
      <c r="J14" s="16">
        <v>1</v>
      </c>
      <c r="L14" s="16">
        <v>1</v>
      </c>
      <c r="Q14" s="16">
        <f t="shared" si="28"/>
        <v>2</v>
      </c>
      <c r="R14" s="16">
        <f t="shared" si="29"/>
        <v>3</v>
      </c>
      <c r="S14" s="17"/>
      <c r="AH14" s="16">
        <f t="shared" si="0"/>
        <v>0</v>
      </c>
      <c r="AI14" s="16">
        <f t="shared" si="1"/>
        <v>0</v>
      </c>
      <c r="AJ14" s="18"/>
      <c r="AY14" s="16">
        <f t="shared" si="2"/>
        <v>0</v>
      </c>
      <c r="AZ14" s="16">
        <f t="shared" si="3"/>
        <v>0</v>
      </c>
      <c r="BA14" s="18"/>
      <c r="BP14" s="16">
        <f t="shared" si="4"/>
        <v>0</v>
      </c>
      <c r="BQ14" s="16">
        <f t="shared" si="5"/>
        <v>0</v>
      </c>
      <c r="BR14" s="18"/>
      <c r="CG14" s="16">
        <f t="shared" si="6"/>
        <v>0</v>
      </c>
      <c r="CH14" s="16">
        <f t="shared" si="7"/>
        <v>0</v>
      </c>
      <c r="CI14" s="18"/>
      <c r="CX14" s="16">
        <f t="shared" si="8"/>
        <v>0</v>
      </c>
      <c r="CY14" s="16">
        <f t="shared" si="9"/>
        <v>0</v>
      </c>
      <c r="CZ14" s="18"/>
      <c r="DO14" s="16">
        <f t="shared" si="10"/>
        <v>0</v>
      </c>
      <c r="DP14" s="16">
        <f t="shared" si="11"/>
        <v>0</v>
      </c>
      <c r="DQ14" s="18"/>
      <c r="EF14" s="16">
        <f t="shared" si="12"/>
        <v>0</v>
      </c>
      <c r="EG14" s="16">
        <f t="shared" si="13"/>
        <v>0</v>
      </c>
      <c r="EH14" s="18"/>
      <c r="EW14" s="16">
        <f t="shared" si="14"/>
        <v>0</v>
      </c>
      <c r="EX14" s="16">
        <f t="shared" si="15"/>
        <v>0</v>
      </c>
      <c r="EY14" s="18"/>
      <c r="FN14" s="16">
        <f t="shared" si="16"/>
        <v>0</v>
      </c>
      <c r="FO14" s="16">
        <f t="shared" si="17"/>
        <v>0</v>
      </c>
      <c r="FP14" s="18"/>
      <c r="GE14" s="16">
        <f t="shared" si="18"/>
        <v>0</v>
      </c>
      <c r="GF14" s="16">
        <f t="shared" si="19"/>
        <v>0</v>
      </c>
      <c r="GG14" s="18"/>
      <c r="GV14" s="16">
        <f t="shared" si="20"/>
        <v>0</v>
      </c>
      <c r="GW14" s="16">
        <f t="shared" si="21"/>
        <v>0</v>
      </c>
      <c r="GX14" s="18"/>
      <c r="HM14" s="16">
        <f t="shared" si="22"/>
        <v>0</v>
      </c>
      <c r="HN14" s="16">
        <f t="shared" si="23"/>
        <v>0</v>
      </c>
      <c r="HO14" s="18"/>
      <c r="ID14" s="16">
        <f t="shared" si="24"/>
        <v>0</v>
      </c>
      <c r="IE14" s="16">
        <f t="shared" si="25"/>
        <v>0</v>
      </c>
      <c r="IF14" s="18"/>
      <c r="IU14" s="16">
        <f t="shared" si="26"/>
        <v>0</v>
      </c>
      <c r="IV14" s="16">
        <f t="shared" si="27"/>
        <v>0</v>
      </c>
    </row>
    <row r="15" spans="1:256" s="16" customFormat="1" x14ac:dyDescent="0.25">
      <c r="A15" s="15" t="s">
        <v>43</v>
      </c>
      <c r="B15" s="53"/>
      <c r="C15" s="16">
        <v>3</v>
      </c>
      <c r="D15" s="16">
        <v>1</v>
      </c>
      <c r="E15" s="16">
        <v>2</v>
      </c>
      <c r="G15" s="16">
        <v>1</v>
      </c>
      <c r="Q15" s="16">
        <f t="shared" si="28"/>
        <v>4</v>
      </c>
      <c r="R15" s="16">
        <f t="shared" si="29"/>
        <v>3</v>
      </c>
      <c r="S15" s="17"/>
      <c r="AH15" s="16">
        <f t="shared" si="0"/>
        <v>0</v>
      </c>
      <c r="AI15" s="16">
        <f t="shared" si="1"/>
        <v>0</v>
      </c>
      <c r="AJ15" s="18"/>
      <c r="AY15" s="16">
        <f t="shared" si="2"/>
        <v>0</v>
      </c>
      <c r="AZ15" s="16">
        <f t="shared" si="3"/>
        <v>0</v>
      </c>
      <c r="BA15" s="18"/>
      <c r="BP15" s="16">
        <f t="shared" si="4"/>
        <v>0</v>
      </c>
      <c r="BQ15" s="16">
        <f t="shared" si="5"/>
        <v>0</v>
      </c>
      <c r="BR15" s="18"/>
      <c r="CG15" s="16">
        <f t="shared" si="6"/>
        <v>0</v>
      </c>
      <c r="CH15" s="16">
        <f t="shared" si="7"/>
        <v>0</v>
      </c>
      <c r="CI15" s="18"/>
      <c r="CX15" s="16">
        <f t="shared" si="8"/>
        <v>0</v>
      </c>
      <c r="CY15" s="16">
        <f t="shared" si="9"/>
        <v>0</v>
      </c>
      <c r="CZ15" s="18"/>
      <c r="DO15" s="16">
        <f t="shared" si="10"/>
        <v>0</v>
      </c>
      <c r="DP15" s="16">
        <f t="shared" si="11"/>
        <v>0</v>
      </c>
      <c r="DQ15" s="18"/>
      <c r="EF15" s="16">
        <f t="shared" si="12"/>
        <v>0</v>
      </c>
      <c r="EG15" s="16">
        <f t="shared" si="13"/>
        <v>0</v>
      </c>
      <c r="EH15" s="18"/>
      <c r="EW15" s="16">
        <f t="shared" si="14"/>
        <v>0</v>
      </c>
      <c r="EX15" s="16">
        <f t="shared" si="15"/>
        <v>0</v>
      </c>
      <c r="EY15" s="18"/>
      <c r="FN15" s="16">
        <f t="shared" si="16"/>
        <v>0</v>
      </c>
      <c r="FO15" s="16">
        <f t="shared" si="17"/>
        <v>0</v>
      </c>
      <c r="FP15" s="18"/>
      <c r="GE15" s="16">
        <f t="shared" si="18"/>
        <v>0</v>
      </c>
      <c r="GF15" s="16">
        <f t="shared" si="19"/>
        <v>0</v>
      </c>
      <c r="GG15" s="18"/>
      <c r="GV15" s="16">
        <f t="shared" si="20"/>
        <v>0</v>
      </c>
      <c r="GW15" s="16">
        <f t="shared" si="21"/>
        <v>0</v>
      </c>
      <c r="GX15" s="18"/>
      <c r="HM15" s="16">
        <f t="shared" si="22"/>
        <v>0</v>
      </c>
      <c r="HN15" s="16">
        <f t="shared" si="23"/>
        <v>0</v>
      </c>
      <c r="HO15" s="18"/>
      <c r="ID15" s="16">
        <f t="shared" si="24"/>
        <v>0</v>
      </c>
      <c r="IE15" s="16">
        <f t="shared" si="25"/>
        <v>0</v>
      </c>
      <c r="IF15" s="18"/>
      <c r="IU15" s="16">
        <f t="shared" si="26"/>
        <v>0</v>
      </c>
      <c r="IV15" s="16">
        <f t="shared" si="27"/>
        <v>0</v>
      </c>
    </row>
    <row r="16" spans="1:256" s="16" customFormat="1" x14ac:dyDescent="0.25">
      <c r="A16" s="15" t="s">
        <v>44</v>
      </c>
      <c r="B16" s="53"/>
      <c r="C16" s="16">
        <v>3</v>
      </c>
      <c r="D16" s="16">
        <v>2</v>
      </c>
      <c r="E16" s="16">
        <v>2</v>
      </c>
      <c r="F16" s="16">
        <v>1</v>
      </c>
      <c r="I16" s="16">
        <v>2</v>
      </c>
      <c r="J16" s="16">
        <v>1</v>
      </c>
      <c r="L16" s="16">
        <v>3</v>
      </c>
      <c r="Q16" s="16">
        <f t="shared" si="28"/>
        <v>3</v>
      </c>
      <c r="R16" s="16">
        <f t="shared" si="29"/>
        <v>3</v>
      </c>
      <c r="S16" s="17"/>
      <c r="AH16" s="16">
        <f t="shared" si="0"/>
        <v>0</v>
      </c>
      <c r="AI16" s="16">
        <f t="shared" si="1"/>
        <v>0</v>
      </c>
      <c r="AJ16" s="18"/>
      <c r="AY16" s="16">
        <f t="shared" si="2"/>
        <v>0</v>
      </c>
      <c r="AZ16" s="16">
        <f t="shared" si="3"/>
        <v>0</v>
      </c>
      <c r="BA16" s="18"/>
      <c r="BP16" s="16">
        <f t="shared" si="4"/>
        <v>0</v>
      </c>
      <c r="BQ16" s="16">
        <f t="shared" si="5"/>
        <v>0</v>
      </c>
      <c r="BR16" s="18"/>
      <c r="CG16" s="16">
        <f t="shared" si="6"/>
        <v>0</v>
      </c>
      <c r="CH16" s="16">
        <f t="shared" si="7"/>
        <v>0</v>
      </c>
      <c r="CI16" s="18"/>
      <c r="CX16" s="16">
        <f t="shared" si="8"/>
        <v>0</v>
      </c>
      <c r="CY16" s="16">
        <f t="shared" si="9"/>
        <v>0</v>
      </c>
      <c r="CZ16" s="18"/>
      <c r="DO16" s="16">
        <f t="shared" si="10"/>
        <v>0</v>
      </c>
      <c r="DP16" s="16">
        <f t="shared" si="11"/>
        <v>0</v>
      </c>
      <c r="DQ16" s="18"/>
      <c r="EF16" s="16">
        <f t="shared" si="12"/>
        <v>0</v>
      </c>
      <c r="EG16" s="16">
        <f t="shared" si="13"/>
        <v>0</v>
      </c>
      <c r="EH16" s="18"/>
      <c r="EW16" s="16">
        <f t="shared" si="14"/>
        <v>0</v>
      </c>
      <c r="EX16" s="16">
        <f t="shared" si="15"/>
        <v>0</v>
      </c>
      <c r="EY16" s="18"/>
      <c r="FN16" s="16">
        <f t="shared" si="16"/>
        <v>0</v>
      </c>
      <c r="FO16" s="16">
        <f t="shared" si="17"/>
        <v>0</v>
      </c>
      <c r="FP16" s="18"/>
      <c r="GE16" s="16">
        <f t="shared" si="18"/>
        <v>0</v>
      </c>
      <c r="GF16" s="16">
        <f t="shared" si="19"/>
        <v>0</v>
      </c>
      <c r="GG16" s="18"/>
      <c r="GV16" s="16">
        <f t="shared" si="20"/>
        <v>0</v>
      </c>
      <c r="GW16" s="16">
        <f t="shared" si="21"/>
        <v>0</v>
      </c>
      <c r="GX16" s="18"/>
      <c r="HM16" s="16">
        <f t="shared" si="22"/>
        <v>0</v>
      </c>
      <c r="HN16" s="16">
        <f t="shared" si="23"/>
        <v>0</v>
      </c>
      <c r="HO16" s="18"/>
      <c r="ID16" s="16">
        <f t="shared" si="24"/>
        <v>0</v>
      </c>
      <c r="IE16" s="16">
        <f t="shared" si="25"/>
        <v>0</v>
      </c>
      <c r="IF16" s="18"/>
      <c r="IU16" s="16">
        <f t="shared" si="26"/>
        <v>0</v>
      </c>
      <c r="IV16" s="16">
        <f t="shared" si="27"/>
        <v>0</v>
      </c>
    </row>
    <row r="17" spans="1:256" s="16" customFormat="1" x14ac:dyDescent="0.25">
      <c r="A17" s="19" t="s">
        <v>45</v>
      </c>
      <c r="B17" s="54"/>
      <c r="C17" s="16">
        <v>2</v>
      </c>
      <c r="D17" s="16">
        <v>1</v>
      </c>
      <c r="J17" s="16">
        <v>1</v>
      </c>
      <c r="K17" s="16">
        <v>1</v>
      </c>
      <c r="L17" s="16">
        <v>1</v>
      </c>
      <c r="Q17" s="16">
        <f t="shared" si="28"/>
        <v>0</v>
      </c>
      <c r="R17" s="16">
        <f t="shared" si="29"/>
        <v>3</v>
      </c>
      <c r="S17" s="17"/>
      <c r="AH17" s="16">
        <f t="shared" si="0"/>
        <v>0</v>
      </c>
      <c r="AI17" s="16">
        <f t="shared" si="1"/>
        <v>0</v>
      </c>
      <c r="AJ17" s="18"/>
      <c r="AY17" s="16">
        <f t="shared" si="2"/>
        <v>0</v>
      </c>
      <c r="AZ17" s="16">
        <f t="shared" si="3"/>
        <v>0</v>
      </c>
      <c r="BA17" s="18"/>
      <c r="BP17" s="16">
        <f t="shared" si="4"/>
        <v>0</v>
      </c>
      <c r="BQ17" s="16">
        <f t="shared" si="5"/>
        <v>0</v>
      </c>
      <c r="BR17" s="18"/>
      <c r="CG17" s="16">
        <f t="shared" si="6"/>
        <v>0</v>
      </c>
      <c r="CH17" s="16">
        <f t="shared" si="7"/>
        <v>0</v>
      </c>
      <c r="CI17" s="18"/>
      <c r="CX17" s="16">
        <f t="shared" si="8"/>
        <v>0</v>
      </c>
      <c r="CY17" s="16">
        <f t="shared" si="9"/>
        <v>0</v>
      </c>
      <c r="CZ17" s="18"/>
      <c r="DO17" s="16">
        <f t="shared" si="10"/>
        <v>0</v>
      </c>
      <c r="DP17" s="16">
        <f t="shared" si="11"/>
        <v>0</v>
      </c>
      <c r="DQ17" s="18"/>
      <c r="EF17" s="16">
        <f t="shared" si="12"/>
        <v>0</v>
      </c>
      <c r="EG17" s="16">
        <f t="shared" si="13"/>
        <v>0</v>
      </c>
      <c r="EH17" s="18"/>
      <c r="EW17" s="16">
        <f t="shared" si="14"/>
        <v>0</v>
      </c>
      <c r="EX17" s="16">
        <f t="shared" si="15"/>
        <v>0</v>
      </c>
      <c r="EY17" s="18"/>
      <c r="FN17" s="16">
        <f t="shared" si="16"/>
        <v>0</v>
      </c>
      <c r="FO17" s="16">
        <f t="shared" si="17"/>
        <v>0</v>
      </c>
      <c r="FP17" s="18"/>
      <c r="GE17" s="16">
        <f t="shared" si="18"/>
        <v>0</v>
      </c>
      <c r="GF17" s="16">
        <f t="shared" si="19"/>
        <v>0</v>
      </c>
      <c r="GG17" s="18"/>
      <c r="GV17" s="16">
        <f t="shared" si="20"/>
        <v>0</v>
      </c>
      <c r="GW17" s="16">
        <f t="shared" si="21"/>
        <v>0</v>
      </c>
      <c r="GX17" s="18"/>
      <c r="HM17" s="16">
        <f t="shared" si="22"/>
        <v>0</v>
      </c>
      <c r="HN17" s="16">
        <f t="shared" si="23"/>
        <v>0</v>
      </c>
      <c r="HO17" s="18"/>
      <c r="ID17" s="16">
        <f t="shared" si="24"/>
        <v>0</v>
      </c>
      <c r="IE17" s="16">
        <f t="shared" si="25"/>
        <v>0</v>
      </c>
      <c r="IF17" s="18"/>
      <c r="IU17" s="16">
        <f t="shared" si="26"/>
        <v>0</v>
      </c>
      <c r="IV17" s="16">
        <f t="shared" si="27"/>
        <v>0</v>
      </c>
    </row>
    <row r="18" spans="1:256" s="16" customFormat="1" x14ac:dyDescent="0.25">
      <c r="A18" s="19" t="s">
        <v>46</v>
      </c>
      <c r="B18" s="54"/>
      <c r="Q18" s="16">
        <f t="shared" si="28"/>
        <v>0</v>
      </c>
      <c r="R18" s="16">
        <f t="shared" si="29"/>
        <v>0</v>
      </c>
      <c r="S18" s="17"/>
      <c r="AH18" s="16">
        <f t="shared" si="0"/>
        <v>0</v>
      </c>
      <c r="AI18" s="16">
        <f t="shared" si="1"/>
        <v>0</v>
      </c>
      <c r="AJ18" s="18"/>
      <c r="AY18" s="16">
        <f t="shared" si="2"/>
        <v>0</v>
      </c>
      <c r="AZ18" s="16">
        <f t="shared" si="3"/>
        <v>0</v>
      </c>
      <c r="BA18" s="18"/>
      <c r="BP18" s="16">
        <f t="shared" si="4"/>
        <v>0</v>
      </c>
      <c r="BQ18" s="16">
        <f t="shared" si="5"/>
        <v>0</v>
      </c>
      <c r="BR18" s="18"/>
      <c r="CG18" s="16">
        <f t="shared" si="6"/>
        <v>0</v>
      </c>
      <c r="CH18" s="16">
        <f t="shared" si="7"/>
        <v>0</v>
      </c>
      <c r="CI18" s="18"/>
      <c r="CX18" s="16">
        <f t="shared" si="8"/>
        <v>0</v>
      </c>
      <c r="CY18" s="16">
        <f t="shared" si="9"/>
        <v>0</v>
      </c>
      <c r="CZ18" s="18"/>
      <c r="DO18" s="16">
        <f t="shared" si="10"/>
        <v>0</v>
      </c>
      <c r="DP18" s="16">
        <f t="shared" si="11"/>
        <v>0</v>
      </c>
      <c r="DQ18" s="18"/>
      <c r="EF18" s="16">
        <f t="shared" si="12"/>
        <v>0</v>
      </c>
      <c r="EG18" s="16">
        <f t="shared" si="13"/>
        <v>0</v>
      </c>
      <c r="EH18" s="18"/>
      <c r="EW18" s="16">
        <f t="shared" si="14"/>
        <v>0</v>
      </c>
      <c r="EX18" s="16">
        <f t="shared" si="15"/>
        <v>0</v>
      </c>
      <c r="EY18" s="18"/>
      <c r="FN18" s="16">
        <f t="shared" si="16"/>
        <v>0</v>
      </c>
      <c r="FO18" s="16">
        <f t="shared" si="17"/>
        <v>0</v>
      </c>
      <c r="FP18" s="18"/>
      <c r="GE18" s="16">
        <f t="shared" si="18"/>
        <v>0</v>
      </c>
      <c r="GF18" s="16">
        <f t="shared" si="19"/>
        <v>0</v>
      </c>
      <c r="GG18" s="18"/>
      <c r="GV18" s="16">
        <f t="shared" si="20"/>
        <v>0</v>
      </c>
      <c r="GW18" s="16">
        <f t="shared" si="21"/>
        <v>0</v>
      </c>
      <c r="GX18" s="18"/>
      <c r="HM18" s="16">
        <f t="shared" si="22"/>
        <v>0</v>
      </c>
      <c r="HN18" s="16">
        <f t="shared" si="23"/>
        <v>0</v>
      </c>
      <c r="HO18" s="18"/>
      <c r="ID18" s="16">
        <f t="shared" si="24"/>
        <v>0</v>
      </c>
      <c r="IE18" s="16">
        <f t="shared" si="25"/>
        <v>0</v>
      </c>
      <c r="IF18" s="18"/>
      <c r="IU18" s="16">
        <f t="shared" si="26"/>
        <v>0</v>
      </c>
      <c r="IV18" s="16">
        <f t="shared" si="27"/>
        <v>0</v>
      </c>
    </row>
    <row r="19" spans="1:256" s="16" customFormat="1" x14ac:dyDescent="0.25">
      <c r="A19" s="19" t="s">
        <v>47</v>
      </c>
      <c r="B19" s="54"/>
      <c r="Q19" s="16">
        <f t="shared" si="28"/>
        <v>0</v>
      </c>
      <c r="R19" s="16">
        <f t="shared" si="29"/>
        <v>0</v>
      </c>
      <c r="S19" s="17"/>
      <c r="AH19" s="16">
        <f t="shared" si="0"/>
        <v>0</v>
      </c>
      <c r="AI19" s="16">
        <f t="shared" si="1"/>
        <v>0</v>
      </c>
      <c r="AJ19" s="18"/>
      <c r="AY19" s="16">
        <f t="shared" si="2"/>
        <v>0</v>
      </c>
      <c r="AZ19" s="16">
        <f t="shared" si="3"/>
        <v>0</v>
      </c>
      <c r="BA19" s="18"/>
      <c r="BP19" s="16">
        <f t="shared" si="4"/>
        <v>0</v>
      </c>
      <c r="BQ19" s="16">
        <f t="shared" si="5"/>
        <v>0</v>
      </c>
      <c r="BR19" s="18"/>
      <c r="CG19" s="16">
        <f t="shared" si="6"/>
        <v>0</v>
      </c>
      <c r="CH19" s="16">
        <f t="shared" si="7"/>
        <v>0</v>
      </c>
      <c r="CI19" s="18"/>
      <c r="CX19" s="16">
        <f t="shared" si="8"/>
        <v>0</v>
      </c>
      <c r="CY19" s="16">
        <f t="shared" si="9"/>
        <v>0</v>
      </c>
      <c r="CZ19" s="18"/>
      <c r="DO19" s="16">
        <f t="shared" si="10"/>
        <v>0</v>
      </c>
      <c r="DP19" s="16">
        <f t="shared" si="11"/>
        <v>0</v>
      </c>
      <c r="DQ19" s="18"/>
      <c r="EF19" s="16">
        <f t="shared" si="12"/>
        <v>0</v>
      </c>
      <c r="EG19" s="16">
        <f t="shared" si="13"/>
        <v>0</v>
      </c>
      <c r="EH19" s="18"/>
      <c r="EW19" s="16">
        <f t="shared" si="14"/>
        <v>0</v>
      </c>
      <c r="EX19" s="16">
        <f t="shared" si="15"/>
        <v>0</v>
      </c>
      <c r="EY19" s="18"/>
      <c r="FN19" s="16">
        <f t="shared" si="16"/>
        <v>0</v>
      </c>
      <c r="FO19" s="16">
        <f t="shared" si="17"/>
        <v>0</v>
      </c>
      <c r="FP19" s="18"/>
      <c r="GE19" s="16">
        <f t="shared" si="18"/>
        <v>0</v>
      </c>
      <c r="GF19" s="16">
        <f t="shared" si="19"/>
        <v>0</v>
      </c>
      <c r="GG19" s="18"/>
      <c r="GV19" s="16">
        <f t="shared" si="20"/>
        <v>0</v>
      </c>
      <c r="GW19" s="16">
        <f t="shared" si="21"/>
        <v>0</v>
      </c>
      <c r="GX19" s="18"/>
      <c r="HM19" s="16">
        <f t="shared" si="22"/>
        <v>0</v>
      </c>
      <c r="HN19" s="16">
        <f t="shared" si="23"/>
        <v>0</v>
      </c>
      <c r="HO19" s="18"/>
      <c r="ID19" s="16">
        <f t="shared" si="24"/>
        <v>0</v>
      </c>
      <c r="IE19" s="16">
        <f t="shared" si="25"/>
        <v>0</v>
      </c>
      <c r="IF19" s="18"/>
      <c r="IU19" s="16">
        <f t="shared" si="26"/>
        <v>0</v>
      </c>
      <c r="IV19" s="16">
        <f t="shared" si="27"/>
        <v>0</v>
      </c>
    </row>
    <row r="20" spans="1:256" s="16" customFormat="1" x14ac:dyDescent="0.25">
      <c r="A20" s="14"/>
      <c r="B20" s="54"/>
      <c r="Q20" s="16">
        <f t="shared" si="28"/>
        <v>0</v>
      </c>
      <c r="R20" s="16">
        <f t="shared" si="29"/>
        <v>0</v>
      </c>
      <c r="S20" s="17"/>
      <c r="AH20" s="16">
        <f t="shared" si="0"/>
        <v>0</v>
      </c>
      <c r="AI20" s="16">
        <f t="shared" si="1"/>
        <v>0</v>
      </c>
      <c r="AJ20" s="18"/>
      <c r="AY20" s="16">
        <f t="shared" si="2"/>
        <v>0</v>
      </c>
      <c r="AZ20" s="16">
        <f t="shared" si="3"/>
        <v>0</v>
      </c>
      <c r="BA20" s="18"/>
      <c r="BP20" s="16">
        <f t="shared" si="4"/>
        <v>0</v>
      </c>
      <c r="BQ20" s="16">
        <f t="shared" si="5"/>
        <v>0</v>
      </c>
      <c r="BR20" s="18"/>
      <c r="CG20" s="16">
        <f t="shared" si="6"/>
        <v>0</v>
      </c>
      <c r="CH20" s="16">
        <f t="shared" si="7"/>
        <v>0</v>
      </c>
      <c r="CI20" s="18"/>
      <c r="CX20" s="16">
        <f t="shared" si="8"/>
        <v>0</v>
      </c>
      <c r="CY20" s="16">
        <f t="shared" si="9"/>
        <v>0</v>
      </c>
      <c r="CZ20" s="18"/>
      <c r="DO20" s="16">
        <f t="shared" si="10"/>
        <v>0</v>
      </c>
      <c r="DP20" s="16">
        <f t="shared" si="11"/>
        <v>0</v>
      </c>
      <c r="DQ20" s="18"/>
      <c r="EF20" s="16">
        <f t="shared" si="12"/>
        <v>0</v>
      </c>
      <c r="EG20" s="16">
        <f t="shared" si="13"/>
        <v>0</v>
      </c>
      <c r="EH20" s="18"/>
      <c r="EW20" s="16">
        <f t="shared" si="14"/>
        <v>0</v>
      </c>
      <c r="EX20" s="16">
        <f t="shared" si="15"/>
        <v>0</v>
      </c>
      <c r="EY20" s="18"/>
      <c r="FN20" s="16">
        <f t="shared" si="16"/>
        <v>0</v>
      </c>
      <c r="FO20" s="16">
        <f t="shared" si="17"/>
        <v>0</v>
      </c>
      <c r="FP20" s="18"/>
      <c r="GE20" s="16">
        <f t="shared" si="18"/>
        <v>0</v>
      </c>
      <c r="GF20" s="16">
        <f t="shared" si="19"/>
        <v>0</v>
      </c>
      <c r="GG20" s="18"/>
      <c r="GV20" s="16">
        <f t="shared" si="20"/>
        <v>0</v>
      </c>
      <c r="GW20" s="16">
        <f t="shared" si="21"/>
        <v>0</v>
      </c>
      <c r="GX20" s="18"/>
      <c r="HM20" s="16">
        <f t="shared" si="22"/>
        <v>0</v>
      </c>
      <c r="HN20" s="16">
        <f t="shared" si="23"/>
        <v>0</v>
      </c>
      <c r="HO20" s="18"/>
      <c r="ID20" s="16">
        <f t="shared" si="24"/>
        <v>0</v>
      </c>
      <c r="IE20" s="16">
        <f t="shared" si="25"/>
        <v>0</v>
      </c>
      <c r="IF20" s="18"/>
      <c r="IU20" s="16">
        <f t="shared" si="26"/>
        <v>0</v>
      </c>
      <c r="IV20" s="16">
        <f t="shared" si="27"/>
        <v>0</v>
      </c>
    </row>
    <row r="21" spans="1:256" s="16" customFormat="1" x14ac:dyDescent="0.25">
      <c r="A21" s="14"/>
      <c r="B21" s="54"/>
      <c r="Q21" s="16">
        <f t="shared" si="28"/>
        <v>0</v>
      </c>
      <c r="R21" s="16">
        <f t="shared" si="29"/>
        <v>0</v>
      </c>
      <c r="S21" s="17"/>
      <c r="AH21" s="16">
        <f t="shared" si="0"/>
        <v>0</v>
      </c>
      <c r="AI21" s="16">
        <f t="shared" si="1"/>
        <v>0</v>
      </c>
      <c r="AJ21" s="18"/>
      <c r="AY21" s="16">
        <f t="shared" si="2"/>
        <v>0</v>
      </c>
      <c r="AZ21" s="16">
        <f t="shared" si="3"/>
        <v>0</v>
      </c>
      <c r="BA21" s="18"/>
      <c r="BP21" s="16">
        <f t="shared" si="4"/>
        <v>0</v>
      </c>
      <c r="BQ21" s="16">
        <f t="shared" si="5"/>
        <v>0</v>
      </c>
      <c r="BR21" s="18"/>
      <c r="CG21" s="16">
        <f t="shared" si="6"/>
        <v>0</v>
      </c>
      <c r="CH21" s="16">
        <f t="shared" si="7"/>
        <v>0</v>
      </c>
      <c r="CI21" s="18"/>
      <c r="CX21" s="16">
        <f t="shared" si="8"/>
        <v>0</v>
      </c>
      <c r="CY21" s="16">
        <f t="shared" si="9"/>
        <v>0</v>
      </c>
      <c r="CZ21" s="18"/>
      <c r="DO21" s="16">
        <f t="shared" si="10"/>
        <v>0</v>
      </c>
      <c r="DP21" s="16">
        <f t="shared" si="11"/>
        <v>0</v>
      </c>
      <c r="DQ21" s="18"/>
      <c r="EF21" s="16">
        <f t="shared" si="12"/>
        <v>0</v>
      </c>
      <c r="EG21" s="16">
        <f t="shared" si="13"/>
        <v>0</v>
      </c>
      <c r="EH21" s="18"/>
      <c r="EW21" s="16">
        <f t="shared" si="14"/>
        <v>0</v>
      </c>
      <c r="EX21" s="16">
        <f t="shared" si="15"/>
        <v>0</v>
      </c>
      <c r="EY21" s="18"/>
      <c r="FN21" s="16">
        <f t="shared" si="16"/>
        <v>0</v>
      </c>
      <c r="FO21" s="16">
        <f t="shared" si="17"/>
        <v>0</v>
      </c>
      <c r="FP21" s="18"/>
      <c r="GE21" s="16">
        <f t="shared" si="18"/>
        <v>0</v>
      </c>
      <c r="GF21" s="16">
        <f t="shared" si="19"/>
        <v>0</v>
      </c>
      <c r="GG21" s="18"/>
      <c r="GV21" s="16">
        <f t="shared" si="20"/>
        <v>0</v>
      </c>
      <c r="GW21" s="16">
        <f t="shared" si="21"/>
        <v>0</v>
      </c>
      <c r="GX21" s="18"/>
      <c r="HM21" s="16">
        <f t="shared" si="22"/>
        <v>0</v>
      </c>
      <c r="HN21" s="16">
        <f t="shared" si="23"/>
        <v>0</v>
      </c>
      <c r="HO21" s="18"/>
      <c r="ID21" s="16">
        <f t="shared" si="24"/>
        <v>0</v>
      </c>
      <c r="IE21" s="16">
        <f t="shared" si="25"/>
        <v>0</v>
      </c>
      <c r="IF21" s="18"/>
      <c r="IU21" s="16">
        <f t="shared" si="26"/>
        <v>0</v>
      </c>
      <c r="IV21" s="16">
        <f t="shared" si="27"/>
        <v>0</v>
      </c>
    </row>
    <row r="22" spans="1:256" s="16" customFormat="1" x14ac:dyDescent="0.25">
      <c r="A22" s="14"/>
      <c r="B22" s="54"/>
      <c r="Q22" s="16">
        <f t="shared" si="28"/>
        <v>0</v>
      </c>
      <c r="R22" s="16">
        <f t="shared" si="29"/>
        <v>0</v>
      </c>
      <c r="S22" s="17"/>
      <c r="AH22" s="16">
        <f t="shared" si="0"/>
        <v>0</v>
      </c>
      <c r="AI22" s="16">
        <f t="shared" si="1"/>
        <v>0</v>
      </c>
      <c r="AJ22" s="18"/>
      <c r="AY22" s="16">
        <f t="shared" si="2"/>
        <v>0</v>
      </c>
      <c r="AZ22" s="16">
        <f t="shared" si="3"/>
        <v>0</v>
      </c>
      <c r="BA22" s="18"/>
      <c r="BP22" s="16">
        <f t="shared" si="4"/>
        <v>0</v>
      </c>
      <c r="BQ22" s="16">
        <f t="shared" si="5"/>
        <v>0</v>
      </c>
      <c r="BR22" s="18"/>
      <c r="CG22" s="16">
        <f t="shared" si="6"/>
        <v>0</v>
      </c>
      <c r="CH22" s="16">
        <f t="shared" si="7"/>
        <v>0</v>
      </c>
      <c r="CI22" s="18"/>
      <c r="CX22" s="16">
        <f t="shared" si="8"/>
        <v>0</v>
      </c>
      <c r="CY22" s="16">
        <f t="shared" si="9"/>
        <v>0</v>
      </c>
      <c r="CZ22" s="18"/>
      <c r="DO22" s="16">
        <f t="shared" si="10"/>
        <v>0</v>
      </c>
      <c r="DP22" s="16">
        <f t="shared" si="11"/>
        <v>0</v>
      </c>
      <c r="DQ22" s="18"/>
      <c r="EF22" s="16">
        <f t="shared" si="12"/>
        <v>0</v>
      </c>
      <c r="EG22" s="16">
        <f t="shared" si="13"/>
        <v>0</v>
      </c>
      <c r="EH22" s="18"/>
      <c r="EW22" s="16">
        <f t="shared" si="14"/>
        <v>0</v>
      </c>
      <c r="EX22" s="16">
        <f t="shared" si="15"/>
        <v>0</v>
      </c>
      <c r="EY22" s="18"/>
      <c r="FN22" s="16">
        <f t="shared" si="16"/>
        <v>0</v>
      </c>
      <c r="FO22" s="16">
        <f t="shared" si="17"/>
        <v>0</v>
      </c>
      <c r="FP22" s="18"/>
      <c r="GE22" s="16">
        <f t="shared" si="18"/>
        <v>0</v>
      </c>
      <c r="GF22" s="16">
        <f t="shared" si="19"/>
        <v>0</v>
      </c>
      <c r="GG22" s="18"/>
      <c r="GV22" s="16">
        <f t="shared" si="20"/>
        <v>0</v>
      </c>
      <c r="GW22" s="16">
        <f t="shared" si="21"/>
        <v>0</v>
      </c>
      <c r="GX22" s="18"/>
      <c r="HM22" s="16">
        <f t="shared" si="22"/>
        <v>0</v>
      </c>
      <c r="HN22" s="16">
        <f t="shared" si="23"/>
        <v>0</v>
      </c>
      <c r="HO22" s="18"/>
      <c r="ID22" s="16">
        <f t="shared" si="24"/>
        <v>0</v>
      </c>
      <c r="IE22" s="16">
        <f t="shared" si="25"/>
        <v>0</v>
      </c>
      <c r="IF22" s="18"/>
      <c r="IU22" s="16">
        <f t="shared" si="26"/>
        <v>0</v>
      </c>
      <c r="IV22" s="16">
        <f t="shared" si="27"/>
        <v>0</v>
      </c>
    </row>
    <row r="23" spans="1:256" s="16" customFormat="1" x14ac:dyDescent="0.25">
      <c r="A23" s="14"/>
      <c r="B23" s="54"/>
      <c r="Q23" s="16">
        <f t="shared" si="28"/>
        <v>0</v>
      </c>
      <c r="R23" s="16">
        <f t="shared" si="29"/>
        <v>0</v>
      </c>
      <c r="S23" s="17"/>
      <c r="AH23" s="16">
        <f t="shared" si="0"/>
        <v>0</v>
      </c>
      <c r="AI23" s="16">
        <f t="shared" si="1"/>
        <v>0</v>
      </c>
      <c r="AJ23" s="18"/>
      <c r="AY23" s="16">
        <f t="shared" si="2"/>
        <v>0</v>
      </c>
      <c r="AZ23" s="16">
        <f t="shared" si="3"/>
        <v>0</v>
      </c>
      <c r="BA23" s="18"/>
      <c r="BP23" s="16">
        <f t="shared" si="4"/>
        <v>0</v>
      </c>
      <c r="BQ23" s="16">
        <f t="shared" si="5"/>
        <v>0</v>
      </c>
      <c r="BR23" s="18"/>
      <c r="CG23" s="16">
        <f t="shared" si="6"/>
        <v>0</v>
      </c>
      <c r="CH23" s="16">
        <f t="shared" si="7"/>
        <v>0</v>
      </c>
      <c r="CI23" s="18"/>
      <c r="CX23" s="16">
        <f t="shared" si="8"/>
        <v>0</v>
      </c>
      <c r="CY23" s="16">
        <f t="shared" si="9"/>
        <v>0</v>
      </c>
      <c r="CZ23" s="18"/>
      <c r="DO23" s="16">
        <f t="shared" si="10"/>
        <v>0</v>
      </c>
      <c r="DP23" s="16">
        <f t="shared" si="11"/>
        <v>0</v>
      </c>
      <c r="DQ23" s="18"/>
      <c r="EF23" s="16">
        <f t="shared" si="12"/>
        <v>0</v>
      </c>
      <c r="EG23" s="16">
        <f t="shared" si="13"/>
        <v>0</v>
      </c>
      <c r="EH23" s="18"/>
      <c r="EW23" s="16">
        <f t="shared" si="14"/>
        <v>0</v>
      </c>
      <c r="EX23" s="16">
        <f t="shared" si="15"/>
        <v>0</v>
      </c>
      <c r="EY23" s="18"/>
      <c r="FN23" s="16">
        <f t="shared" si="16"/>
        <v>0</v>
      </c>
      <c r="FO23" s="16">
        <f t="shared" si="17"/>
        <v>0</v>
      </c>
      <c r="FP23" s="18"/>
      <c r="GE23" s="16">
        <f t="shared" si="18"/>
        <v>0</v>
      </c>
      <c r="GF23" s="16">
        <f t="shared" si="19"/>
        <v>0</v>
      </c>
      <c r="GG23" s="18"/>
      <c r="GV23" s="16">
        <f t="shared" si="20"/>
        <v>0</v>
      </c>
      <c r="GW23" s="16">
        <f t="shared" si="21"/>
        <v>0</v>
      </c>
      <c r="GX23" s="18"/>
      <c r="HM23" s="16">
        <f t="shared" si="22"/>
        <v>0</v>
      </c>
      <c r="HN23" s="16">
        <f t="shared" si="23"/>
        <v>0</v>
      </c>
      <c r="HO23" s="18"/>
      <c r="ID23" s="16">
        <f t="shared" si="24"/>
        <v>0</v>
      </c>
      <c r="IE23" s="16">
        <f t="shared" si="25"/>
        <v>0</v>
      </c>
      <c r="IF23" s="18"/>
      <c r="IU23" s="16">
        <f t="shared" si="26"/>
        <v>0</v>
      </c>
      <c r="IV23" s="16">
        <f t="shared" si="27"/>
        <v>0</v>
      </c>
    </row>
    <row r="24" spans="1:256" s="16" customFormat="1" x14ac:dyDescent="0.25">
      <c r="A24" s="14"/>
      <c r="B24" s="54"/>
      <c r="Q24" s="16">
        <f t="shared" si="28"/>
        <v>0</v>
      </c>
      <c r="R24" s="16">
        <f t="shared" si="29"/>
        <v>0</v>
      </c>
      <c r="S24" s="17"/>
      <c r="AH24" s="16">
        <f t="shared" si="0"/>
        <v>0</v>
      </c>
      <c r="AI24" s="16">
        <f t="shared" si="1"/>
        <v>0</v>
      </c>
      <c r="AJ24" s="18"/>
      <c r="AY24" s="16">
        <f t="shared" si="2"/>
        <v>0</v>
      </c>
      <c r="AZ24" s="16">
        <f t="shared" si="3"/>
        <v>0</v>
      </c>
      <c r="BA24" s="18"/>
      <c r="BP24" s="16">
        <f t="shared" si="4"/>
        <v>0</v>
      </c>
      <c r="BQ24" s="16">
        <f t="shared" si="5"/>
        <v>0</v>
      </c>
      <c r="BR24" s="18"/>
      <c r="CG24" s="16">
        <f t="shared" si="6"/>
        <v>0</v>
      </c>
      <c r="CH24" s="16">
        <f t="shared" si="7"/>
        <v>0</v>
      </c>
      <c r="CI24" s="18"/>
      <c r="CX24" s="16">
        <f t="shared" si="8"/>
        <v>0</v>
      </c>
      <c r="CY24" s="16">
        <f t="shared" si="9"/>
        <v>0</v>
      </c>
      <c r="CZ24" s="18"/>
      <c r="DO24" s="16">
        <f t="shared" si="10"/>
        <v>0</v>
      </c>
      <c r="DP24" s="16">
        <f t="shared" si="11"/>
        <v>0</v>
      </c>
      <c r="DQ24" s="18"/>
      <c r="EF24" s="16">
        <f t="shared" si="12"/>
        <v>0</v>
      </c>
      <c r="EG24" s="16">
        <f t="shared" si="13"/>
        <v>0</v>
      </c>
      <c r="EH24" s="18"/>
      <c r="EW24" s="16">
        <f t="shared" si="14"/>
        <v>0</v>
      </c>
      <c r="EX24" s="16">
        <f t="shared" si="15"/>
        <v>0</v>
      </c>
      <c r="EY24" s="18"/>
      <c r="FN24" s="16">
        <f t="shared" si="16"/>
        <v>0</v>
      </c>
      <c r="FO24" s="16">
        <f t="shared" si="17"/>
        <v>0</v>
      </c>
      <c r="FP24" s="18"/>
      <c r="GE24" s="16">
        <f t="shared" si="18"/>
        <v>0</v>
      </c>
      <c r="GF24" s="16">
        <f t="shared" si="19"/>
        <v>0</v>
      </c>
      <c r="GG24" s="18"/>
      <c r="GV24" s="16">
        <f t="shared" si="20"/>
        <v>0</v>
      </c>
      <c r="GW24" s="16">
        <f t="shared" si="21"/>
        <v>0</v>
      </c>
      <c r="GX24" s="18"/>
      <c r="HM24" s="16">
        <f t="shared" si="22"/>
        <v>0</v>
      </c>
      <c r="HN24" s="16">
        <f t="shared" si="23"/>
        <v>0</v>
      </c>
      <c r="HO24" s="18"/>
      <c r="ID24" s="16">
        <f t="shared" si="24"/>
        <v>0</v>
      </c>
      <c r="IE24" s="16">
        <f t="shared" si="25"/>
        <v>0</v>
      </c>
      <c r="IF24" s="18"/>
      <c r="IU24" s="16">
        <f t="shared" si="26"/>
        <v>0</v>
      </c>
      <c r="IV24" s="16">
        <f t="shared" si="27"/>
        <v>0</v>
      </c>
    </row>
    <row r="25" spans="1:256" s="16" customFormat="1" x14ac:dyDescent="0.25">
      <c r="A25" s="14"/>
      <c r="B25" s="54"/>
      <c r="Q25" s="16">
        <f t="shared" si="28"/>
        <v>0</v>
      </c>
      <c r="R25" s="16">
        <f t="shared" si="29"/>
        <v>0</v>
      </c>
      <c r="S25" s="17"/>
      <c r="AH25" s="16">
        <f t="shared" si="0"/>
        <v>0</v>
      </c>
      <c r="AI25" s="16">
        <f t="shared" si="1"/>
        <v>0</v>
      </c>
      <c r="AJ25" s="18"/>
      <c r="AY25" s="16">
        <f t="shared" si="2"/>
        <v>0</v>
      </c>
      <c r="AZ25" s="16">
        <f t="shared" si="3"/>
        <v>0</v>
      </c>
      <c r="BA25" s="18"/>
      <c r="BP25" s="16">
        <f t="shared" si="4"/>
        <v>0</v>
      </c>
      <c r="BQ25" s="16">
        <f t="shared" si="5"/>
        <v>0</v>
      </c>
      <c r="BR25" s="18"/>
      <c r="CG25" s="16">
        <f t="shared" si="6"/>
        <v>0</v>
      </c>
      <c r="CH25" s="16">
        <f t="shared" si="7"/>
        <v>0</v>
      </c>
      <c r="CI25" s="18"/>
      <c r="CX25" s="16">
        <f t="shared" si="8"/>
        <v>0</v>
      </c>
      <c r="CY25" s="16">
        <f t="shared" si="9"/>
        <v>0</v>
      </c>
      <c r="CZ25" s="18"/>
      <c r="DO25" s="16">
        <f t="shared" si="10"/>
        <v>0</v>
      </c>
      <c r="DP25" s="16">
        <f t="shared" si="11"/>
        <v>0</v>
      </c>
      <c r="DQ25" s="18"/>
      <c r="EF25" s="16">
        <f t="shared" si="12"/>
        <v>0</v>
      </c>
      <c r="EG25" s="16">
        <f t="shared" si="13"/>
        <v>0</v>
      </c>
      <c r="EH25" s="18"/>
      <c r="EW25" s="16">
        <f t="shared" si="14"/>
        <v>0</v>
      </c>
      <c r="EX25" s="16">
        <f t="shared" si="15"/>
        <v>0</v>
      </c>
      <c r="EY25" s="18"/>
      <c r="FN25" s="16">
        <f t="shared" si="16"/>
        <v>0</v>
      </c>
      <c r="FO25" s="16">
        <f t="shared" si="17"/>
        <v>0</v>
      </c>
      <c r="FP25" s="18"/>
      <c r="GE25" s="16">
        <f t="shared" si="18"/>
        <v>0</v>
      </c>
      <c r="GF25" s="16">
        <f t="shared" si="19"/>
        <v>0</v>
      </c>
      <c r="GG25" s="18"/>
      <c r="GV25" s="16">
        <f t="shared" si="20"/>
        <v>0</v>
      </c>
      <c r="GW25" s="16">
        <f t="shared" si="21"/>
        <v>0</v>
      </c>
      <c r="GX25" s="18"/>
      <c r="HM25" s="16">
        <f t="shared" si="22"/>
        <v>0</v>
      </c>
      <c r="HN25" s="16">
        <f t="shared" si="23"/>
        <v>0</v>
      </c>
      <c r="HO25" s="18"/>
      <c r="ID25" s="16">
        <f t="shared" si="24"/>
        <v>0</v>
      </c>
      <c r="IE25" s="16">
        <f t="shared" si="25"/>
        <v>0</v>
      </c>
      <c r="IF25" s="18"/>
      <c r="IU25" s="16">
        <f t="shared" si="26"/>
        <v>0</v>
      </c>
      <c r="IV25" s="16">
        <f t="shared" si="27"/>
        <v>0</v>
      </c>
    </row>
    <row r="26" spans="1:256" s="20" customFormat="1" ht="13.8" thickBot="1" x14ac:dyDescent="0.3">
      <c r="A26" s="14"/>
      <c r="B26" s="54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>
        <f t="shared" si="28"/>
        <v>0</v>
      </c>
      <c r="R26" s="16">
        <f t="shared" si="29"/>
        <v>0</v>
      </c>
      <c r="S26" s="17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>
        <f t="shared" si="0"/>
        <v>0</v>
      </c>
      <c r="AI26" s="16">
        <f t="shared" si="1"/>
        <v>0</v>
      </c>
      <c r="AJ26" s="18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>
        <f t="shared" si="2"/>
        <v>0</v>
      </c>
      <c r="AZ26" s="16">
        <f t="shared" si="3"/>
        <v>0</v>
      </c>
      <c r="BA26" s="18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>
        <f t="shared" si="4"/>
        <v>0</v>
      </c>
      <c r="BQ26" s="16">
        <f t="shared" si="5"/>
        <v>0</v>
      </c>
      <c r="BR26" s="18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>
        <f t="shared" si="6"/>
        <v>0</v>
      </c>
      <c r="CH26" s="16">
        <f t="shared" si="7"/>
        <v>0</v>
      </c>
      <c r="CI26" s="18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>
        <f t="shared" si="8"/>
        <v>0</v>
      </c>
      <c r="CY26" s="16">
        <f t="shared" si="9"/>
        <v>0</v>
      </c>
      <c r="CZ26" s="18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>
        <f t="shared" si="10"/>
        <v>0</v>
      </c>
      <c r="DP26" s="16">
        <f t="shared" si="11"/>
        <v>0</v>
      </c>
      <c r="DQ26" s="18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>
        <f t="shared" si="12"/>
        <v>0</v>
      </c>
      <c r="EG26" s="16">
        <f t="shared" si="13"/>
        <v>0</v>
      </c>
      <c r="EH26" s="18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>
        <f t="shared" si="14"/>
        <v>0</v>
      </c>
      <c r="EX26" s="16">
        <f t="shared" si="15"/>
        <v>0</v>
      </c>
      <c r="EY26" s="18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>
        <f t="shared" si="16"/>
        <v>0</v>
      </c>
      <c r="FO26" s="16">
        <f t="shared" si="17"/>
        <v>0</v>
      </c>
      <c r="FP26" s="18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>
        <f t="shared" si="18"/>
        <v>0</v>
      </c>
      <c r="GF26" s="16">
        <f t="shared" si="19"/>
        <v>0</v>
      </c>
      <c r="GG26" s="18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>
        <f t="shared" si="20"/>
        <v>0</v>
      </c>
      <c r="GW26" s="16">
        <f t="shared" si="21"/>
        <v>0</v>
      </c>
      <c r="GX26" s="18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>
        <f t="shared" si="22"/>
        <v>0</v>
      </c>
      <c r="HN26" s="16">
        <f t="shared" si="23"/>
        <v>0</v>
      </c>
      <c r="HO26" s="18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>
        <f t="shared" si="24"/>
        <v>0</v>
      </c>
      <c r="IE26" s="16">
        <f t="shared" si="25"/>
        <v>0</v>
      </c>
      <c r="IF26" s="18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>
        <f t="shared" si="26"/>
        <v>0</v>
      </c>
      <c r="IV26" s="16">
        <f t="shared" si="27"/>
        <v>0</v>
      </c>
    </row>
    <row r="27" spans="1:256" s="22" customFormat="1" ht="13.8" thickBot="1" x14ac:dyDescent="0.3">
      <c r="A27" s="64" t="s">
        <v>48</v>
      </c>
      <c r="B27" s="64"/>
      <c r="C27" s="21">
        <f>SUM(C8:C26)</f>
        <v>25</v>
      </c>
      <c r="D27" s="21">
        <f t="shared" ref="D27:P27" si="30">SUM(D8:D26)</f>
        <v>9</v>
      </c>
      <c r="E27" s="21">
        <f t="shared" si="30"/>
        <v>9</v>
      </c>
      <c r="F27" s="21">
        <f t="shared" si="30"/>
        <v>2</v>
      </c>
      <c r="G27" s="21">
        <f t="shared" si="30"/>
        <v>1</v>
      </c>
      <c r="H27" s="21">
        <f t="shared" si="30"/>
        <v>1</v>
      </c>
      <c r="I27" s="21">
        <f t="shared" si="30"/>
        <v>6</v>
      </c>
      <c r="J27" s="21">
        <f t="shared" si="30"/>
        <v>4</v>
      </c>
      <c r="K27" s="21">
        <f t="shared" si="30"/>
        <v>6</v>
      </c>
      <c r="L27" s="21">
        <f t="shared" si="30"/>
        <v>9</v>
      </c>
      <c r="M27" s="21">
        <f t="shared" si="30"/>
        <v>0</v>
      </c>
      <c r="N27" s="21">
        <f t="shared" si="30"/>
        <v>0</v>
      </c>
      <c r="O27" s="21">
        <f t="shared" si="30"/>
        <v>0</v>
      </c>
      <c r="P27" s="21">
        <f t="shared" si="30"/>
        <v>0</v>
      </c>
      <c r="Q27" s="21">
        <f>SUM(Q8:Q26)</f>
        <v>16</v>
      </c>
      <c r="R27" s="21">
        <f>SUM(R8:R26)</f>
        <v>31</v>
      </c>
      <c r="T27" s="21">
        <f t="shared" ref="T27:AI27" si="31">SUM(T8:T26)</f>
        <v>4</v>
      </c>
      <c r="U27" s="21">
        <f t="shared" si="31"/>
        <v>0</v>
      </c>
      <c r="V27" s="21">
        <f t="shared" si="31"/>
        <v>1</v>
      </c>
      <c r="W27" s="21">
        <f t="shared" si="31"/>
        <v>0</v>
      </c>
      <c r="X27" s="21">
        <f t="shared" si="31"/>
        <v>0</v>
      </c>
      <c r="Y27" s="21">
        <f t="shared" si="31"/>
        <v>0</v>
      </c>
      <c r="Z27" s="21">
        <f t="shared" si="31"/>
        <v>0</v>
      </c>
      <c r="AA27" s="21">
        <f t="shared" si="31"/>
        <v>0</v>
      </c>
      <c r="AB27" s="21">
        <f t="shared" si="31"/>
        <v>0</v>
      </c>
      <c r="AC27" s="21">
        <f t="shared" si="31"/>
        <v>0</v>
      </c>
      <c r="AD27" s="21">
        <f t="shared" si="31"/>
        <v>0</v>
      </c>
      <c r="AE27" s="21">
        <f t="shared" si="31"/>
        <v>0</v>
      </c>
      <c r="AF27" s="21">
        <f t="shared" si="31"/>
        <v>0</v>
      </c>
      <c r="AG27" s="21">
        <f t="shared" si="31"/>
        <v>0</v>
      </c>
      <c r="AH27" s="21">
        <f t="shared" si="31"/>
        <v>1</v>
      </c>
      <c r="AI27" s="21">
        <f t="shared" si="31"/>
        <v>4</v>
      </c>
      <c r="AK27" s="21">
        <f t="shared" ref="AK27:AZ27" si="32">SUM(AK8:AK26)</f>
        <v>4</v>
      </c>
      <c r="AL27" s="21">
        <f t="shared" si="32"/>
        <v>0</v>
      </c>
      <c r="AM27" s="21">
        <f t="shared" si="32"/>
        <v>4</v>
      </c>
      <c r="AN27" s="21">
        <f t="shared" si="32"/>
        <v>0</v>
      </c>
      <c r="AO27" s="21">
        <f t="shared" si="32"/>
        <v>0</v>
      </c>
      <c r="AP27" s="21">
        <f t="shared" si="32"/>
        <v>0</v>
      </c>
      <c r="AQ27" s="21">
        <f t="shared" si="32"/>
        <v>0</v>
      </c>
      <c r="AR27" s="21">
        <f t="shared" si="32"/>
        <v>0</v>
      </c>
      <c r="AS27" s="21">
        <f t="shared" si="32"/>
        <v>0</v>
      </c>
      <c r="AT27" s="21">
        <f t="shared" si="32"/>
        <v>0</v>
      </c>
      <c r="AU27" s="21">
        <f t="shared" si="32"/>
        <v>0</v>
      </c>
      <c r="AV27" s="21">
        <f t="shared" si="32"/>
        <v>0</v>
      </c>
      <c r="AW27" s="21">
        <f t="shared" si="32"/>
        <v>0</v>
      </c>
      <c r="AX27" s="21">
        <f t="shared" si="32"/>
        <v>0</v>
      </c>
      <c r="AY27" s="21">
        <f t="shared" si="32"/>
        <v>4</v>
      </c>
      <c r="AZ27" s="21">
        <f t="shared" si="32"/>
        <v>4</v>
      </c>
      <c r="BB27" s="21">
        <f t="shared" ref="BB27:BQ27" si="33">SUM(BB8:BB26)</f>
        <v>2</v>
      </c>
      <c r="BC27" s="21">
        <f t="shared" si="33"/>
        <v>0</v>
      </c>
      <c r="BD27" s="21">
        <f t="shared" si="33"/>
        <v>0</v>
      </c>
      <c r="BE27" s="21">
        <f t="shared" si="33"/>
        <v>0</v>
      </c>
      <c r="BF27" s="21">
        <f t="shared" si="33"/>
        <v>0</v>
      </c>
      <c r="BG27" s="21">
        <f t="shared" si="33"/>
        <v>0</v>
      </c>
      <c r="BH27" s="21">
        <f t="shared" si="33"/>
        <v>0</v>
      </c>
      <c r="BI27" s="21">
        <f t="shared" si="33"/>
        <v>0</v>
      </c>
      <c r="BJ27" s="21">
        <f t="shared" si="33"/>
        <v>0</v>
      </c>
      <c r="BK27" s="21">
        <f t="shared" si="33"/>
        <v>0</v>
      </c>
      <c r="BL27" s="21">
        <f t="shared" si="33"/>
        <v>0</v>
      </c>
      <c r="BM27" s="21">
        <f t="shared" si="33"/>
        <v>0</v>
      </c>
      <c r="BN27" s="21">
        <f t="shared" si="33"/>
        <v>0</v>
      </c>
      <c r="BO27" s="21">
        <f t="shared" si="33"/>
        <v>0</v>
      </c>
      <c r="BP27" s="21">
        <f t="shared" si="33"/>
        <v>0</v>
      </c>
      <c r="BQ27" s="21">
        <f t="shared" si="33"/>
        <v>2</v>
      </c>
      <c r="BS27" s="21">
        <f t="shared" ref="BS27:CH27" si="34">SUM(BS8:BS26)</f>
        <v>1</v>
      </c>
      <c r="BT27" s="21">
        <f t="shared" si="34"/>
        <v>0</v>
      </c>
      <c r="BU27" s="21">
        <f t="shared" si="34"/>
        <v>1</v>
      </c>
      <c r="BV27" s="21">
        <f t="shared" si="34"/>
        <v>0</v>
      </c>
      <c r="BW27" s="21">
        <f t="shared" si="34"/>
        <v>0</v>
      </c>
      <c r="BX27" s="21">
        <f t="shared" si="34"/>
        <v>0</v>
      </c>
      <c r="BY27" s="21">
        <f t="shared" si="34"/>
        <v>0</v>
      </c>
      <c r="BZ27" s="21">
        <f t="shared" si="34"/>
        <v>0</v>
      </c>
      <c r="CA27" s="21">
        <f t="shared" si="34"/>
        <v>0</v>
      </c>
      <c r="CB27" s="21">
        <f t="shared" si="34"/>
        <v>0</v>
      </c>
      <c r="CC27" s="21">
        <f t="shared" si="34"/>
        <v>0</v>
      </c>
      <c r="CD27" s="21">
        <f t="shared" si="34"/>
        <v>0</v>
      </c>
      <c r="CE27" s="21">
        <f t="shared" si="34"/>
        <v>0</v>
      </c>
      <c r="CF27" s="21">
        <f t="shared" si="34"/>
        <v>0</v>
      </c>
      <c r="CG27" s="21">
        <f t="shared" si="34"/>
        <v>1</v>
      </c>
      <c r="CH27" s="21">
        <f t="shared" si="34"/>
        <v>1</v>
      </c>
      <c r="CJ27" s="21">
        <f t="shared" ref="CJ27:CY27" si="35">SUM(CJ8:CJ26)</f>
        <v>5</v>
      </c>
      <c r="CK27" s="21">
        <f t="shared" si="35"/>
        <v>0</v>
      </c>
      <c r="CL27" s="21">
        <f t="shared" si="35"/>
        <v>0</v>
      </c>
      <c r="CM27" s="21">
        <f t="shared" si="35"/>
        <v>0</v>
      </c>
      <c r="CN27" s="21">
        <f t="shared" si="35"/>
        <v>0</v>
      </c>
      <c r="CO27" s="21">
        <f t="shared" si="35"/>
        <v>0</v>
      </c>
      <c r="CP27" s="21">
        <f t="shared" si="35"/>
        <v>0</v>
      </c>
      <c r="CQ27" s="21">
        <f t="shared" si="35"/>
        <v>0</v>
      </c>
      <c r="CR27" s="21">
        <f t="shared" si="35"/>
        <v>0</v>
      </c>
      <c r="CS27" s="21">
        <f t="shared" si="35"/>
        <v>0</v>
      </c>
      <c r="CT27" s="21">
        <f t="shared" si="35"/>
        <v>0</v>
      </c>
      <c r="CU27" s="21">
        <f t="shared" si="35"/>
        <v>0</v>
      </c>
      <c r="CV27" s="21">
        <f t="shared" si="35"/>
        <v>0</v>
      </c>
      <c r="CW27" s="21">
        <f t="shared" si="35"/>
        <v>0</v>
      </c>
      <c r="CX27" s="21">
        <f t="shared" si="35"/>
        <v>0</v>
      </c>
      <c r="CY27" s="21">
        <f t="shared" si="35"/>
        <v>5</v>
      </c>
      <c r="DA27" s="21">
        <f t="shared" ref="DA27:DP27" si="36">SUM(DA8:DA26)</f>
        <v>4</v>
      </c>
      <c r="DB27" s="21">
        <f t="shared" si="36"/>
        <v>0</v>
      </c>
      <c r="DC27" s="21">
        <f t="shared" si="36"/>
        <v>1</v>
      </c>
      <c r="DD27" s="21">
        <f t="shared" si="36"/>
        <v>0</v>
      </c>
      <c r="DE27" s="21">
        <f t="shared" si="36"/>
        <v>0</v>
      </c>
      <c r="DF27" s="21">
        <f t="shared" si="36"/>
        <v>0</v>
      </c>
      <c r="DG27" s="21">
        <f t="shared" si="36"/>
        <v>0</v>
      </c>
      <c r="DH27" s="21">
        <f t="shared" si="36"/>
        <v>0</v>
      </c>
      <c r="DI27" s="21">
        <f t="shared" si="36"/>
        <v>0</v>
      </c>
      <c r="DJ27" s="21">
        <f t="shared" si="36"/>
        <v>0</v>
      </c>
      <c r="DK27" s="21">
        <f t="shared" si="36"/>
        <v>0</v>
      </c>
      <c r="DL27" s="21">
        <f t="shared" si="36"/>
        <v>0</v>
      </c>
      <c r="DM27" s="21">
        <f t="shared" si="36"/>
        <v>0</v>
      </c>
      <c r="DN27" s="21">
        <f t="shared" si="36"/>
        <v>0</v>
      </c>
      <c r="DO27" s="21">
        <f t="shared" si="36"/>
        <v>1</v>
      </c>
      <c r="DP27" s="21">
        <f t="shared" si="36"/>
        <v>4</v>
      </c>
      <c r="DR27" s="21">
        <f t="shared" ref="DR27:EG27" si="37">SUM(DR8:DR26)</f>
        <v>5</v>
      </c>
      <c r="DS27" s="21">
        <f t="shared" si="37"/>
        <v>0</v>
      </c>
      <c r="DT27" s="21">
        <f t="shared" si="37"/>
        <v>0</v>
      </c>
      <c r="DU27" s="21">
        <f t="shared" si="37"/>
        <v>0</v>
      </c>
      <c r="DV27" s="21">
        <f t="shared" si="37"/>
        <v>0</v>
      </c>
      <c r="DW27" s="21">
        <f t="shared" si="37"/>
        <v>0</v>
      </c>
      <c r="DX27" s="21">
        <f t="shared" si="37"/>
        <v>0</v>
      </c>
      <c r="DY27" s="21">
        <f t="shared" si="37"/>
        <v>0</v>
      </c>
      <c r="DZ27" s="21">
        <f t="shared" si="37"/>
        <v>0</v>
      </c>
      <c r="EA27" s="21">
        <f t="shared" si="37"/>
        <v>0</v>
      </c>
      <c r="EB27" s="21">
        <f t="shared" si="37"/>
        <v>0</v>
      </c>
      <c r="EC27" s="21">
        <f t="shared" si="37"/>
        <v>0</v>
      </c>
      <c r="ED27" s="21">
        <f t="shared" si="37"/>
        <v>0</v>
      </c>
      <c r="EE27" s="21">
        <f t="shared" si="37"/>
        <v>0</v>
      </c>
      <c r="EF27" s="21">
        <f t="shared" si="37"/>
        <v>0</v>
      </c>
      <c r="EG27" s="21">
        <f t="shared" si="37"/>
        <v>5</v>
      </c>
      <c r="EI27" s="21">
        <f t="shared" ref="EI27:EX27" si="38">SUM(EI8:EI26)</f>
        <v>3</v>
      </c>
      <c r="EJ27" s="21">
        <f t="shared" si="38"/>
        <v>0</v>
      </c>
      <c r="EK27" s="21">
        <f t="shared" si="38"/>
        <v>0</v>
      </c>
      <c r="EL27" s="21">
        <f t="shared" si="38"/>
        <v>0</v>
      </c>
      <c r="EM27" s="21">
        <f t="shared" si="38"/>
        <v>0</v>
      </c>
      <c r="EN27" s="21">
        <f t="shared" si="38"/>
        <v>0</v>
      </c>
      <c r="EO27" s="21">
        <f t="shared" si="38"/>
        <v>0</v>
      </c>
      <c r="EP27" s="21">
        <f t="shared" si="38"/>
        <v>0</v>
      </c>
      <c r="EQ27" s="21">
        <f t="shared" si="38"/>
        <v>0</v>
      </c>
      <c r="ER27" s="21">
        <f t="shared" si="38"/>
        <v>0</v>
      </c>
      <c r="ES27" s="21">
        <f t="shared" si="38"/>
        <v>0</v>
      </c>
      <c r="ET27" s="21">
        <f t="shared" si="38"/>
        <v>0</v>
      </c>
      <c r="EU27" s="21">
        <f t="shared" si="38"/>
        <v>0</v>
      </c>
      <c r="EV27" s="21">
        <f t="shared" si="38"/>
        <v>0</v>
      </c>
      <c r="EW27" s="21">
        <f t="shared" si="38"/>
        <v>0</v>
      </c>
      <c r="EX27" s="21">
        <f t="shared" si="38"/>
        <v>3</v>
      </c>
      <c r="EZ27" s="21">
        <f t="shared" ref="EZ27:FO27" si="39">SUM(EZ8:EZ26)</f>
        <v>5</v>
      </c>
      <c r="FA27" s="21">
        <f t="shared" si="39"/>
        <v>0</v>
      </c>
      <c r="FB27" s="21">
        <f t="shared" si="39"/>
        <v>5</v>
      </c>
      <c r="FC27" s="21">
        <f t="shared" si="39"/>
        <v>0</v>
      </c>
      <c r="FD27" s="21">
        <f t="shared" si="39"/>
        <v>0</v>
      </c>
      <c r="FE27" s="21">
        <f t="shared" si="39"/>
        <v>0</v>
      </c>
      <c r="FF27" s="21">
        <f t="shared" si="39"/>
        <v>0</v>
      </c>
      <c r="FG27" s="21">
        <f t="shared" si="39"/>
        <v>0</v>
      </c>
      <c r="FH27" s="21">
        <f t="shared" si="39"/>
        <v>0</v>
      </c>
      <c r="FI27" s="21">
        <f t="shared" si="39"/>
        <v>0</v>
      </c>
      <c r="FJ27" s="21">
        <f t="shared" si="39"/>
        <v>0</v>
      </c>
      <c r="FK27" s="21">
        <f t="shared" si="39"/>
        <v>0</v>
      </c>
      <c r="FL27" s="21">
        <f t="shared" si="39"/>
        <v>0</v>
      </c>
      <c r="FM27" s="21">
        <f t="shared" si="39"/>
        <v>0</v>
      </c>
      <c r="FN27" s="21">
        <f t="shared" si="39"/>
        <v>5</v>
      </c>
      <c r="FO27" s="21">
        <f t="shared" si="39"/>
        <v>5</v>
      </c>
      <c r="FQ27" s="21">
        <f t="shared" ref="FQ27:GF27" si="40">SUM(FQ8:FQ26)</f>
        <v>2</v>
      </c>
      <c r="FR27" s="21">
        <f t="shared" si="40"/>
        <v>1</v>
      </c>
      <c r="FS27" s="21">
        <f t="shared" si="40"/>
        <v>1</v>
      </c>
      <c r="FT27" s="21">
        <f t="shared" si="40"/>
        <v>0</v>
      </c>
      <c r="FU27" s="21">
        <f t="shared" si="40"/>
        <v>0</v>
      </c>
      <c r="FV27" s="21">
        <f t="shared" si="40"/>
        <v>0</v>
      </c>
      <c r="FW27" s="21">
        <f t="shared" si="40"/>
        <v>0</v>
      </c>
      <c r="FX27" s="21">
        <f t="shared" si="40"/>
        <v>0</v>
      </c>
      <c r="FY27" s="21">
        <f t="shared" si="40"/>
        <v>0</v>
      </c>
      <c r="FZ27" s="21">
        <f t="shared" si="40"/>
        <v>0</v>
      </c>
      <c r="GA27" s="21">
        <f t="shared" si="40"/>
        <v>0</v>
      </c>
      <c r="GB27" s="21">
        <f t="shared" si="40"/>
        <v>0</v>
      </c>
      <c r="GC27" s="21">
        <f t="shared" si="40"/>
        <v>0</v>
      </c>
      <c r="GD27" s="21">
        <f t="shared" si="40"/>
        <v>0</v>
      </c>
      <c r="GE27" s="21">
        <f t="shared" si="40"/>
        <v>1</v>
      </c>
      <c r="GF27" s="21">
        <f t="shared" si="40"/>
        <v>2</v>
      </c>
      <c r="GH27" s="21">
        <f t="shared" ref="GH27:GW27" si="41">SUM(GH8:GH26)</f>
        <v>2</v>
      </c>
      <c r="GI27" s="21">
        <f t="shared" si="41"/>
        <v>0</v>
      </c>
      <c r="GJ27" s="21">
        <f t="shared" si="41"/>
        <v>0</v>
      </c>
      <c r="GK27" s="21">
        <f t="shared" si="41"/>
        <v>0</v>
      </c>
      <c r="GL27" s="21">
        <f t="shared" si="41"/>
        <v>0</v>
      </c>
      <c r="GM27" s="21">
        <f t="shared" si="41"/>
        <v>0</v>
      </c>
      <c r="GN27" s="21">
        <f t="shared" si="41"/>
        <v>0</v>
      </c>
      <c r="GO27" s="21">
        <f t="shared" si="41"/>
        <v>0</v>
      </c>
      <c r="GP27" s="21">
        <f t="shared" si="41"/>
        <v>0</v>
      </c>
      <c r="GQ27" s="21">
        <f t="shared" si="41"/>
        <v>0</v>
      </c>
      <c r="GR27" s="21">
        <f t="shared" si="41"/>
        <v>0</v>
      </c>
      <c r="GS27" s="21">
        <f t="shared" si="41"/>
        <v>0</v>
      </c>
      <c r="GT27" s="21">
        <f t="shared" si="41"/>
        <v>0</v>
      </c>
      <c r="GU27" s="21">
        <f t="shared" si="41"/>
        <v>0</v>
      </c>
      <c r="GV27" s="21">
        <f t="shared" si="41"/>
        <v>0</v>
      </c>
      <c r="GW27" s="21">
        <f t="shared" si="41"/>
        <v>2</v>
      </c>
      <c r="GY27" s="21">
        <f t="shared" ref="GY27:HN27" si="42">SUM(GY8:GY26)</f>
        <v>3</v>
      </c>
      <c r="GZ27" s="21">
        <f t="shared" si="42"/>
        <v>0</v>
      </c>
      <c r="HA27" s="21">
        <f t="shared" si="42"/>
        <v>1</v>
      </c>
      <c r="HB27" s="21">
        <f t="shared" si="42"/>
        <v>0</v>
      </c>
      <c r="HC27" s="21">
        <f t="shared" si="42"/>
        <v>0</v>
      </c>
      <c r="HD27" s="21">
        <f t="shared" si="42"/>
        <v>0</v>
      </c>
      <c r="HE27" s="21">
        <f t="shared" si="42"/>
        <v>0</v>
      </c>
      <c r="HF27" s="21">
        <f t="shared" si="42"/>
        <v>0</v>
      </c>
      <c r="HG27" s="21">
        <f t="shared" si="42"/>
        <v>0</v>
      </c>
      <c r="HH27" s="21">
        <f t="shared" si="42"/>
        <v>0</v>
      </c>
      <c r="HI27" s="21">
        <f t="shared" si="42"/>
        <v>0</v>
      </c>
      <c r="HJ27" s="21">
        <f t="shared" si="42"/>
        <v>0</v>
      </c>
      <c r="HK27" s="21">
        <f t="shared" si="42"/>
        <v>0</v>
      </c>
      <c r="HL27" s="21">
        <f t="shared" si="42"/>
        <v>0</v>
      </c>
      <c r="HM27" s="21">
        <f t="shared" si="42"/>
        <v>1</v>
      </c>
      <c r="HN27" s="21">
        <f t="shared" si="42"/>
        <v>3</v>
      </c>
      <c r="HP27" s="21">
        <f t="shared" ref="HP27:IE27" si="43">SUM(HP8:HP26)</f>
        <v>2</v>
      </c>
      <c r="HQ27" s="21">
        <f t="shared" si="43"/>
        <v>0</v>
      </c>
      <c r="HR27" s="21">
        <f t="shared" si="43"/>
        <v>1</v>
      </c>
      <c r="HS27" s="21">
        <f t="shared" si="43"/>
        <v>0</v>
      </c>
      <c r="HT27" s="21">
        <f t="shared" si="43"/>
        <v>0</v>
      </c>
      <c r="HU27" s="21">
        <f t="shared" si="43"/>
        <v>0</v>
      </c>
      <c r="HV27" s="21">
        <f t="shared" si="43"/>
        <v>0</v>
      </c>
      <c r="HW27" s="21">
        <f t="shared" si="43"/>
        <v>0</v>
      </c>
      <c r="HX27" s="21">
        <f t="shared" si="43"/>
        <v>0</v>
      </c>
      <c r="HY27" s="21">
        <f t="shared" si="43"/>
        <v>0</v>
      </c>
      <c r="HZ27" s="21">
        <f t="shared" si="43"/>
        <v>0</v>
      </c>
      <c r="IA27" s="21">
        <f t="shared" si="43"/>
        <v>0</v>
      </c>
      <c r="IB27" s="21">
        <f t="shared" si="43"/>
        <v>0</v>
      </c>
      <c r="IC27" s="21">
        <f t="shared" si="43"/>
        <v>0</v>
      </c>
      <c r="ID27" s="21">
        <f t="shared" si="43"/>
        <v>1</v>
      </c>
      <c r="IE27" s="21">
        <f t="shared" si="43"/>
        <v>2</v>
      </c>
      <c r="IG27" s="21">
        <f t="shared" ref="IG27:IV27" si="44">SUM(IG8:IG26)</f>
        <v>5</v>
      </c>
      <c r="IH27" s="21">
        <f t="shared" si="44"/>
        <v>0</v>
      </c>
      <c r="II27" s="21">
        <f t="shared" si="44"/>
        <v>0</v>
      </c>
      <c r="IJ27" s="21">
        <f t="shared" si="44"/>
        <v>0</v>
      </c>
      <c r="IK27" s="21">
        <f t="shared" si="44"/>
        <v>0</v>
      </c>
      <c r="IL27" s="21">
        <f t="shared" si="44"/>
        <v>0</v>
      </c>
      <c r="IM27" s="21">
        <f t="shared" si="44"/>
        <v>0</v>
      </c>
      <c r="IN27" s="21">
        <f t="shared" si="44"/>
        <v>0</v>
      </c>
      <c r="IO27" s="21">
        <f t="shared" si="44"/>
        <v>0</v>
      </c>
      <c r="IP27" s="21">
        <f t="shared" si="44"/>
        <v>0</v>
      </c>
      <c r="IQ27" s="21">
        <f t="shared" si="44"/>
        <v>0</v>
      </c>
      <c r="IR27" s="21">
        <f t="shared" si="44"/>
        <v>0</v>
      </c>
      <c r="IS27" s="21">
        <f t="shared" si="44"/>
        <v>0</v>
      </c>
      <c r="IT27" s="21">
        <f t="shared" si="44"/>
        <v>0</v>
      </c>
      <c r="IU27" s="21">
        <f t="shared" si="44"/>
        <v>0</v>
      </c>
      <c r="IV27" s="21">
        <f t="shared" si="44"/>
        <v>5</v>
      </c>
    </row>
    <row r="28" spans="1:256" s="23" customFormat="1" ht="10.199999999999999" x14ac:dyDescent="0.2">
      <c r="S28" s="24"/>
      <c r="AJ28" s="24"/>
      <c r="BA28" s="24"/>
      <c r="BR28" s="24"/>
      <c r="CI28" s="24"/>
      <c r="CZ28" s="24"/>
      <c r="DQ28" s="24"/>
      <c r="EH28" s="24"/>
      <c r="EY28" s="24"/>
      <c r="FP28" s="24"/>
      <c r="GG28" s="24"/>
      <c r="GX28" s="24"/>
      <c r="HO28" s="24"/>
      <c r="IF28" s="24"/>
    </row>
    <row r="29" spans="1:256" s="23" customFormat="1" ht="10.199999999999999" x14ac:dyDescent="0.2">
      <c r="S29" s="24"/>
      <c r="AJ29" s="24"/>
      <c r="BA29" s="24"/>
      <c r="BR29" s="24"/>
      <c r="CI29" s="24"/>
      <c r="CZ29" s="24"/>
      <c r="DQ29" s="24"/>
      <c r="EH29" s="24"/>
      <c r="EY29" s="24"/>
      <c r="FP29" s="24"/>
      <c r="GG29" s="24"/>
      <c r="GX29" s="24"/>
      <c r="HO29" s="24"/>
      <c r="IF29" s="24"/>
    </row>
    <row r="30" spans="1:256" s="23" customFormat="1" x14ac:dyDescent="0.25">
      <c r="A30" s="65" t="s">
        <v>49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AJ30" s="24"/>
      <c r="BA30" s="24"/>
      <c r="BR30" s="24"/>
      <c r="CI30" s="24"/>
      <c r="CZ30" s="24"/>
      <c r="DQ30" s="24"/>
      <c r="EH30" s="24"/>
      <c r="EY30" s="24"/>
      <c r="FP30" s="24"/>
      <c r="GG30" s="24"/>
      <c r="GX30" s="24"/>
      <c r="HO30" s="24"/>
      <c r="IF30" s="24"/>
    </row>
    <row r="31" spans="1:256" s="23" customFormat="1" x14ac:dyDescent="0.25">
      <c r="A31" s="26" t="s">
        <v>19</v>
      </c>
      <c r="B31" s="28" t="s">
        <v>18</v>
      </c>
      <c r="C31" s="13" t="s">
        <v>20</v>
      </c>
      <c r="D31" s="11" t="s">
        <v>21</v>
      </c>
      <c r="E31" s="11" t="s">
        <v>22</v>
      </c>
      <c r="F31" s="11" t="s">
        <v>23</v>
      </c>
      <c r="G31" s="11" t="s">
        <v>24</v>
      </c>
      <c r="H31" s="11" t="s">
        <v>25</v>
      </c>
      <c r="I31" s="11" t="s">
        <v>26</v>
      </c>
      <c r="J31" s="11" t="s">
        <v>27</v>
      </c>
      <c r="K31" s="11" t="s">
        <v>28</v>
      </c>
      <c r="L31" s="11" t="s">
        <v>29</v>
      </c>
      <c r="M31" s="11" t="s">
        <v>30</v>
      </c>
      <c r="N31" s="11" t="s">
        <v>31</v>
      </c>
      <c r="O31" s="11" t="s">
        <v>32</v>
      </c>
      <c r="P31" s="12" t="s">
        <v>33</v>
      </c>
      <c r="Q31" s="11" t="s">
        <v>34</v>
      </c>
      <c r="R31" s="27" t="s">
        <v>35</v>
      </c>
      <c r="S31" s="24"/>
      <c r="T31" s="28" t="s">
        <v>50</v>
      </c>
      <c r="U31" s="29" t="s">
        <v>51</v>
      </c>
      <c r="AJ31" s="24"/>
      <c r="BA31" s="24"/>
      <c r="BR31" s="24"/>
      <c r="CI31" s="24"/>
      <c r="CZ31" s="24"/>
      <c r="DQ31" s="24"/>
      <c r="EH31" s="24"/>
      <c r="EY31" s="24"/>
      <c r="FP31" s="24"/>
      <c r="GG31" s="24"/>
      <c r="GX31" s="24"/>
      <c r="HO31" s="24"/>
      <c r="IF31" s="24"/>
    </row>
    <row r="32" spans="1:256" s="23" customFormat="1" x14ac:dyDescent="0.25">
      <c r="A32" s="30" t="str">
        <f t="shared" ref="A32:B50" si="45">IF(A8="","",A8)</f>
        <v>JESUS HERNANDEZ</v>
      </c>
      <c r="B32" s="30">
        <f t="shared" si="45"/>
        <v>5</v>
      </c>
      <c r="C32" s="16">
        <f t="shared" ref="C32:C50" si="46">+C8+T8+AK8+BB8+BS8+CJ8+DA8+DR8+EI8+EZ8+FQ8+GH8+GY8+HP8+IG8</f>
        <v>51</v>
      </c>
      <c r="D32" s="16">
        <f t="shared" ref="D32:D50" si="47">+D8+U8+AL8+BC8+BT8+CK8+DB8+DS8+EJ8+FA8+FR8+GI8+GZ8+HQ8+IH8</f>
        <v>2</v>
      </c>
      <c r="E32" s="16">
        <f t="shared" ref="E32:E50" si="48">+E8+V8+AM8+BD8+BU8+CL8+DC8+DT8+EK8+FB8+FS8+GJ8+HA8+HR8+II8</f>
        <v>16</v>
      </c>
      <c r="F32" s="16">
        <f t="shared" ref="F32:F50" si="49">+F8+W8+AN8+BE8+BV8+CM8+DD8+DU8+EL8+FC8+FT8+GK8+HB8+HS8+IJ8</f>
        <v>0</v>
      </c>
      <c r="G32" s="16">
        <f t="shared" ref="G32:G50" si="50">+G8+X8+AO8+BF8+BW8+CN8+DE8+DV8+EM8+FD8+FU8+GL8+HC8+HT8+IK8</f>
        <v>0</v>
      </c>
      <c r="H32" s="16">
        <f t="shared" ref="H32:H50" si="51">+H8+Y8+AP8+BG8+BX8+CO8+DF8+DW8+EN8+FE8+FV8+GM8+HD8+HU8+IL8</f>
        <v>1</v>
      </c>
      <c r="I32" s="16">
        <f t="shared" ref="I32:I50" si="52">+I8+Z8+AQ8+BH8+BY8+CP8+DG8+DX8+EO8+FF8+FW8+GN8+HE8+HV8+IM8</f>
        <v>2</v>
      </c>
      <c r="J32" s="16">
        <f t="shared" ref="J32:J50" si="53">+J8+AA8+AR8+BI8+BZ8+CQ8+DH8+DY8+EP8+FG8+FX8+GO8+HF8+HW8+IN8</f>
        <v>0</v>
      </c>
      <c r="K32" s="16">
        <f t="shared" ref="K32:K50" si="54">+K8+AB8+AS8+BJ8+CA8+CR8+DI8+DZ8+EQ8+FH8+FY8+GP8+HG8+HX8+IO8</f>
        <v>0</v>
      </c>
      <c r="L32" s="16">
        <f t="shared" ref="L32:L50" si="55">+L8+AC8+AT8+BK8+CB8+CS8+DJ8+EA8+ER8+FI8+FZ8+GQ8+HH8+HY8+IP8</f>
        <v>1</v>
      </c>
      <c r="M32" s="16">
        <f t="shared" ref="M32:M50" si="56">+M8+AD8+AU8+BL8+CC8+CT8+DK8+EB8+ES8+FJ8+GA8+GR8+HI8+HZ8+IQ8</f>
        <v>0</v>
      </c>
      <c r="N32" s="16">
        <f t="shared" ref="N32:N50" si="57">+N8+AE8+AV8+BM8+CD8+CU8+DL8+EC8+ET8+FK8+GB8+GS8+HJ8+IA8+IR8</f>
        <v>0</v>
      </c>
      <c r="O32" s="16">
        <f t="shared" ref="O32:O50" si="58">+O8+AF8+AW8+BN8+CE8+CV8+DM8+ED8+EU8+FL8+GC8+GT8+HK8+IB8+IS8</f>
        <v>0</v>
      </c>
      <c r="P32" s="16">
        <f t="shared" ref="P32:P50" si="59">+P8+AG8+AX8+BO8+CF8+CW8+DN8+EE8+EV8+FM8+GD8+GU8+HL8+IC8+IT8</f>
        <v>0</v>
      </c>
      <c r="Q32" s="16">
        <f t="shared" ref="Q32:Q50" si="60">+Q8+AH8+AY8+BP8+CG8+CX8+DO8+EF8+EW8+FN8+GE8+GV8+HM8+ID8+IU8</f>
        <v>19</v>
      </c>
      <c r="R32" s="16">
        <f t="shared" ref="R32:R50" si="61">+R8+AI8+AZ8+BQ8+CH8+CY8+DP8+EG8+EX8+FO8+GF8+GW8+HN8+IE8+IV8</f>
        <v>51</v>
      </c>
      <c r="S32" s="24"/>
      <c r="T32" s="31">
        <f t="shared" ref="T32:T51" si="62">IF(C32=0,0,E32*1000/C32)</f>
        <v>313.72549019607845</v>
      </c>
      <c r="U32" s="31">
        <f t="shared" ref="U32:U51" si="63">IF(C32=0,0,Q32*1000/C32)</f>
        <v>372.54901960784315</v>
      </c>
      <c r="AJ32" s="24"/>
      <c r="BA32" s="24"/>
      <c r="BR32" s="24"/>
      <c r="CI32" s="24"/>
      <c r="CZ32" s="24"/>
      <c r="DQ32" s="24"/>
      <c r="EH32" s="24"/>
      <c r="EY32" s="24"/>
      <c r="FP32" s="24"/>
      <c r="GG32" s="24"/>
      <c r="GX32" s="24"/>
      <c r="HO32" s="24"/>
      <c r="IF32" s="24"/>
    </row>
    <row r="33" spans="1:240" s="23" customFormat="1" x14ac:dyDescent="0.25">
      <c r="A33" s="30" t="str">
        <f t="shared" si="45"/>
        <v>JOSEPH MENDOZA</v>
      </c>
      <c r="B33" s="30">
        <f t="shared" si="45"/>
        <v>6</v>
      </c>
      <c r="C33" s="16">
        <f t="shared" si="46"/>
        <v>3</v>
      </c>
      <c r="D33" s="16">
        <f t="shared" si="47"/>
        <v>1</v>
      </c>
      <c r="E33" s="16">
        <f t="shared" si="48"/>
        <v>1</v>
      </c>
      <c r="F33" s="16">
        <f t="shared" si="49"/>
        <v>1</v>
      </c>
      <c r="G33" s="16">
        <f t="shared" si="50"/>
        <v>0</v>
      </c>
      <c r="H33" s="16">
        <f t="shared" si="51"/>
        <v>0</v>
      </c>
      <c r="I33" s="16">
        <f t="shared" si="52"/>
        <v>0</v>
      </c>
      <c r="J33" s="16">
        <f t="shared" si="53"/>
        <v>0</v>
      </c>
      <c r="K33" s="16">
        <f t="shared" si="54"/>
        <v>2</v>
      </c>
      <c r="L33" s="16">
        <f t="shared" si="55"/>
        <v>0</v>
      </c>
      <c r="M33" s="16">
        <f t="shared" si="56"/>
        <v>0</v>
      </c>
      <c r="N33" s="16">
        <f t="shared" si="57"/>
        <v>0</v>
      </c>
      <c r="O33" s="16">
        <f t="shared" si="58"/>
        <v>0</v>
      </c>
      <c r="P33" s="16">
        <f t="shared" si="59"/>
        <v>0</v>
      </c>
      <c r="Q33" s="16">
        <f t="shared" si="60"/>
        <v>2</v>
      </c>
      <c r="R33" s="16">
        <f t="shared" si="61"/>
        <v>5</v>
      </c>
      <c r="S33" s="24"/>
      <c r="T33" s="31">
        <f t="shared" si="62"/>
        <v>333.33333333333331</v>
      </c>
      <c r="U33" s="31">
        <f t="shared" si="63"/>
        <v>666.66666666666663</v>
      </c>
      <c r="AJ33" s="24"/>
      <c r="BA33" s="24"/>
      <c r="BR33" s="24"/>
      <c r="CI33" s="24"/>
      <c r="CZ33" s="24"/>
      <c r="DQ33" s="24"/>
      <c r="EH33" s="24"/>
      <c r="EY33" s="24"/>
      <c r="FP33" s="24"/>
      <c r="GG33" s="24"/>
      <c r="GX33" s="24"/>
      <c r="HO33" s="24"/>
      <c r="IF33" s="24"/>
    </row>
    <row r="34" spans="1:240" s="23" customFormat="1" x14ac:dyDescent="0.25">
      <c r="A34" s="30" t="str">
        <f t="shared" si="45"/>
        <v>ABRAHAN RODRIGUZ</v>
      </c>
      <c r="B34" s="30">
        <f t="shared" si="45"/>
        <v>2</v>
      </c>
      <c r="C34" s="16">
        <f t="shared" si="46"/>
        <v>4</v>
      </c>
      <c r="D34" s="16">
        <f t="shared" si="47"/>
        <v>0</v>
      </c>
      <c r="E34" s="16">
        <f t="shared" si="48"/>
        <v>1</v>
      </c>
      <c r="F34" s="16">
        <f t="shared" si="49"/>
        <v>0</v>
      </c>
      <c r="G34" s="16">
        <f t="shared" si="50"/>
        <v>0</v>
      </c>
      <c r="H34" s="16">
        <f t="shared" si="51"/>
        <v>0</v>
      </c>
      <c r="I34" s="16">
        <f t="shared" si="52"/>
        <v>0</v>
      </c>
      <c r="J34" s="16">
        <f t="shared" si="53"/>
        <v>0</v>
      </c>
      <c r="K34" s="16">
        <f t="shared" si="54"/>
        <v>0</v>
      </c>
      <c r="L34" s="16">
        <f t="shared" si="55"/>
        <v>0</v>
      </c>
      <c r="M34" s="16">
        <f t="shared" si="56"/>
        <v>0</v>
      </c>
      <c r="N34" s="16">
        <f t="shared" si="57"/>
        <v>0</v>
      </c>
      <c r="O34" s="16">
        <f t="shared" si="58"/>
        <v>0</v>
      </c>
      <c r="P34" s="16">
        <f t="shared" si="59"/>
        <v>0</v>
      </c>
      <c r="Q34" s="16">
        <f t="shared" si="60"/>
        <v>1</v>
      </c>
      <c r="R34" s="16">
        <f t="shared" si="61"/>
        <v>4</v>
      </c>
      <c r="S34" s="24"/>
      <c r="T34" s="31">
        <f t="shared" si="62"/>
        <v>250</v>
      </c>
      <c r="U34" s="31">
        <f t="shared" si="63"/>
        <v>250</v>
      </c>
      <c r="AJ34" s="24"/>
      <c r="BA34" s="24"/>
      <c r="BR34" s="24"/>
      <c r="CI34" s="24"/>
      <c r="CZ34" s="24"/>
      <c r="DQ34" s="24"/>
      <c r="EH34" s="24"/>
      <c r="EY34" s="24"/>
      <c r="FP34" s="24"/>
      <c r="GG34" s="24"/>
      <c r="GX34" s="24"/>
      <c r="HO34" s="24"/>
      <c r="IF34" s="24"/>
    </row>
    <row r="35" spans="1:240" s="23" customFormat="1" x14ac:dyDescent="0.25">
      <c r="A35" s="30" t="str">
        <f t="shared" si="45"/>
        <v>ALEXANDER HERNANDEZ</v>
      </c>
      <c r="B35" s="30" t="str">
        <f t="shared" si="45"/>
        <v/>
      </c>
      <c r="C35" s="16">
        <f t="shared" si="46"/>
        <v>0</v>
      </c>
      <c r="D35" s="16">
        <f t="shared" si="47"/>
        <v>1</v>
      </c>
      <c r="E35" s="16">
        <f t="shared" si="48"/>
        <v>0</v>
      </c>
      <c r="F35" s="16">
        <f t="shared" si="49"/>
        <v>0</v>
      </c>
      <c r="G35" s="16">
        <f t="shared" si="50"/>
        <v>0</v>
      </c>
      <c r="H35" s="16">
        <f t="shared" si="51"/>
        <v>0</v>
      </c>
      <c r="I35" s="16">
        <f t="shared" si="52"/>
        <v>1</v>
      </c>
      <c r="J35" s="16">
        <f t="shared" si="53"/>
        <v>0</v>
      </c>
      <c r="K35" s="16">
        <f t="shared" si="54"/>
        <v>3</v>
      </c>
      <c r="L35" s="16">
        <f t="shared" si="55"/>
        <v>3</v>
      </c>
      <c r="M35" s="16">
        <f t="shared" si="56"/>
        <v>0</v>
      </c>
      <c r="N35" s="16">
        <f t="shared" si="57"/>
        <v>0</v>
      </c>
      <c r="O35" s="16">
        <f t="shared" si="58"/>
        <v>0</v>
      </c>
      <c r="P35" s="16">
        <f t="shared" si="59"/>
        <v>0</v>
      </c>
      <c r="Q35" s="16">
        <f t="shared" si="60"/>
        <v>0</v>
      </c>
      <c r="R35" s="16">
        <f t="shared" si="61"/>
        <v>3</v>
      </c>
      <c r="S35" s="24"/>
      <c r="T35" s="31">
        <f t="shared" si="62"/>
        <v>0</v>
      </c>
      <c r="U35" s="31">
        <f t="shared" si="63"/>
        <v>0</v>
      </c>
      <c r="AJ35" s="24"/>
      <c r="BA35" s="24"/>
      <c r="BR35" s="24"/>
      <c r="CI35" s="24"/>
      <c r="CZ35" s="24"/>
      <c r="DQ35" s="24"/>
      <c r="EH35" s="24"/>
      <c r="EY35" s="24"/>
      <c r="FP35" s="24"/>
      <c r="GG35" s="24"/>
      <c r="GX35" s="24"/>
      <c r="HO35" s="24"/>
      <c r="IF35" s="24"/>
    </row>
    <row r="36" spans="1:240" s="23" customFormat="1" x14ac:dyDescent="0.25">
      <c r="A36" s="30" t="str">
        <f t="shared" si="45"/>
        <v>DANIEL LIENDO</v>
      </c>
      <c r="B36" s="30" t="str">
        <f t="shared" si="45"/>
        <v/>
      </c>
      <c r="C36" s="16">
        <f t="shared" si="46"/>
        <v>1</v>
      </c>
      <c r="D36" s="16">
        <f t="shared" si="47"/>
        <v>0</v>
      </c>
      <c r="E36" s="16">
        <f t="shared" si="48"/>
        <v>0</v>
      </c>
      <c r="F36" s="16">
        <f t="shared" si="49"/>
        <v>0</v>
      </c>
      <c r="G36" s="16">
        <f t="shared" si="50"/>
        <v>0</v>
      </c>
      <c r="H36" s="16">
        <f t="shared" si="51"/>
        <v>0</v>
      </c>
      <c r="I36" s="16">
        <f t="shared" si="52"/>
        <v>0</v>
      </c>
      <c r="J36" s="16">
        <f t="shared" si="53"/>
        <v>0</v>
      </c>
      <c r="K36" s="16">
        <f t="shared" si="54"/>
        <v>0</v>
      </c>
      <c r="L36" s="16">
        <f t="shared" si="55"/>
        <v>0</v>
      </c>
      <c r="M36" s="16">
        <f t="shared" si="56"/>
        <v>0</v>
      </c>
      <c r="N36" s="16">
        <f t="shared" si="57"/>
        <v>0</v>
      </c>
      <c r="O36" s="16">
        <f t="shared" si="58"/>
        <v>0</v>
      </c>
      <c r="P36" s="16">
        <f t="shared" si="59"/>
        <v>0</v>
      </c>
      <c r="Q36" s="16">
        <f t="shared" si="60"/>
        <v>0</v>
      </c>
      <c r="R36" s="16">
        <f t="shared" si="61"/>
        <v>1</v>
      </c>
      <c r="S36" s="24"/>
      <c r="T36" s="31">
        <f t="shared" si="62"/>
        <v>0</v>
      </c>
      <c r="U36" s="31">
        <f t="shared" si="63"/>
        <v>0</v>
      </c>
      <c r="AJ36" s="24"/>
      <c r="BA36" s="24"/>
      <c r="BR36" s="24"/>
      <c r="CI36" s="24"/>
      <c r="CZ36" s="24"/>
      <c r="DQ36" s="24"/>
      <c r="EH36" s="24"/>
      <c r="EY36" s="24"/>
      <c r="FP36" s="24"/>
      <c r="GG36" s="24"/>
      <c r="GX36" s="24"/>
      <c r="HO36" s="24"/>
      <c r="IF36" s="24"/>
    </row>
    <row r="37" spans="1:240" s="23" customFormat="1" x14ac:dyDescent="0.25">
      <c r="A37" s="30" t="str">
        <f t="shared" si="45"/>
        <v>SEBASTIAN MUJICA</v>
      </c>
      <c r="B37" s="30" t="str">
        <f t="shared" si="45"/>
        <v/>
      </c>
      <c r="C37" s="16">
        <f t="shared" si="46"/>
        <v>2</v>
      </c>
      <c r="D37" s="16">
        <f t="shared" si="47"/>
        <v>0</v>
      </c>
      <c r="E37" s="16">
        <f t="shared" si="48"/>
        <v>0</v>
      </c>
      <c r="F37" s="16">
        <f t="shared" si="49"/>
        <v>0</v>
      </c>
      <c r="G37" s="16">
        <f t="shared" si="50"/>
        <v>0</v>
      </c>
      <c r="H37" s="16">
        <f t="shared" si="51"/>
        <v>0</v>
      </c>
      <c r="I37" s="16">
        <f t="shared" si="52"/>
        <v>0</v>
      </c>
      <c r="J37" s="16">
        <f t="shared" si="53"/>
        <v>1</v>
      </c>
      <c r="K37" s="16">
        <f t="shared" si="54"/>
        <v>0</v>
      </c>
      <c r="L37" s="16">
        <f t="shared" si="55"/>
        <v>0</v>
      </c>
      <c r="M37" s="16">
        <f t="shared" si="56"/>
        <v>0</v>
      </c>
      <c r="N37" s="16">
        <f t="shared" si="57"/>
        <v>0</v>
      </c>
      <c r="O37" s="16">
        <f t="shared" si="58"/>
        <v>0</v>
      </c>
      <c r="P37" s="16">
        <f t="shared" si="59"/>
        <v>0</v>
      </c>
      <c r="Q37" s="16">
        <f t="shared" si="60"/>
        <v>0</v>
      </c>
      <c r="R37" s="16">
        <f t="shared" si="61"/>
        <v>2</v>
      </c>
      <c r="S37" s="24"/>
      <c r="T37" s="31">
        <f t="shared" si="62"/>
        <v>0</v>
      </c>
      <c r="U37" s="31">
        <f t="shared" si="63"/>
        <v>0</v>
      </c>
      <c r="AJ37" s="24"/>
      <c r="BA37" s="24"/>
      <c r="BR37" s="24"/>
      <c r="CI37" s="24"/>
      <c r="CZ37" s="24"/>
      <c r="DQ37" s="24"/>
      <c r="EH37" s="24"/>
      <c r="EY37" s="24"/>
      <c r="FP37" s="24"/>
      <c r="GG37" s="24"/>
      <c r="GX37" s="24"/>
      <c r="HO37" s="24"/>
      <c r="IF37" s="24"/>
    </row>
    <row r="38" spans="1:240" s="23" customFormat="1" x14ac:dyDescent="0.25">
      <c r="A38" s="30" t="str">
        <f t="shared" si="45"/>
        <v>ANGEL RODRIGUEZ</v>
      </c>
      <c r="B38" s="30" t="str">
        <f t="shared" si="45"/>
        <v/>
      </c>
      <c r="C38" s="16">
        <f t="shared" si="46"/>
        <v>3</v>
      </c>
      <c r="D38" s="16">
        <f t="shared" si="47"/>
        <v>2</v>
      </c>
      <c r="E38" s="16">
        <f t="shared" si="48"/>
        <v>2</v>
      </c>
      <c r="F38" s="16">
        <f t="shared" si="49"/>
        <v>0</v>
      </c>
      <c r="G38" s="16">
        <f t="shared" si="50"/>
        <v>0</v>
      </c>
      <c r="H38" s="16">
        <f t="shared" si="51"/>
        <v>0</v>
      </c>
      <c r="I38" s="16">
        <f t="shared" si="52"/>
        <v>1</v>
      </c>
      <c r="J38" s="16">
        <f t="shared" si="53"/>
        <v>1</v>
      </c>
      <c r="K38" s="16">
        <f t="shared" si="54"/>
        <v>0</v>
      </c>
      <c r="L38" s="16">
        <f t="shared" si="55"/>
        <v>1</v>
      </c>
      <c r="M38" s="16">
        <f t="shared" si="56"/>
        <v>0</v>
      </c>
      <c r="N38" s="16">
        <f t="shared" si="57"/>
        <v>0</v>
      </c>
      <c r="O38" s="16">
        <f t="shared" si="58"/>
        <v>0</v>
      </c>
      <c r="P38" s="16">
        <f t="shared" si="59"/>
        <v>0</v>
      </c>
      <c r="Q38" s="16">
        <f t="shared" si="60"/>
        <v>2</v>
      </c>
      <c r="R38" s="16">
        <f t="shared" si="61"/>
        <v>3</v>
      </c>
      <c r="S38" s="24"/>
      <c r="T38" s="31">
        <f t="shared" si="62"/>
        <v>666.66666666666663</v>
      </c>
      <c r="U38" s="31">
        <f t="shared" si="63"/>
        <v>666.66666666666663</v>
      </c>
      <c r="AJ38" s="24"/>
      <c r="BA38" s="24"/>
      <c r="BR38" s="24"/>
      <c r="CI38" s="24"/>
      <c r="CZ38" s="24"/>
      <c r="DQ38" s="24"/>
      <c r="EH38" s="24"/>
      <c r="EY38" s="24"/>
      <c r="FP38" s="24"/>
      <c r="GG38" s="24"/>
      <c r="GX38" s="24"/>
      <c r="HO38" s="24"/>
      <c r="IF38" s="24"/>
    </row>
    <row r="39" spans="1:240" s="23" customFormat="1" x14ac:dyDescent="0.25">
      <c r="A39" s="30" t="str">
        <f t="shared" si="45"/>
        <v>FRANCISCO MONASTERIO</v>
      </c>
      <c r="B39" s="30" t="str">
        <f t="shared" si="45"/>
        <v/>
      </c>
      <c r="C39" s="16">
        <f t="shared" si="46"/>
        <v>3</v>
      </c>
      <c r="D39" s="16">
        <f t="shared" si="47"/>
        <v>1</v>
      </c>
      <c r="E39" s="16">
        <f t="shared" si="48"/>
        <v>2</v>
      </c>
      <c r="F39" s="16">
        <f t="shared" si="49"/>
        <v>0</v>
      </c>
      <c r="G39" s="16">
        <f t="shared" si="50"/>
        <v>1</v>
      </c>
      <c r="H39" s="16">
        <f t="shared" si="51"/>
        <v>0</v>
      </c>
      <c r="I39" s="16">
        <f t="shared" si="52"/>
        <v>0</v>
      </c>
      <c r="J39" s="16">
        <f t="shared" si="53"/>
        <v>0</v>
      </c>
      <c r="K39" s="16">
        <f t="shared" si="54"/>
        <v>0</v>
      </c>
      <c r="L39" s="16">
        <f t="shared" si="55"/>
        <v>0</v>
      </c>
      <c r="M39" s="16">
        <f t="shared" si="56"/>
        <v>0</v>
      </c>
      <c r="N39" s="16">
        <f t="shared" si="57"/>
        <v>0</v>
      </c>
      <c r="O39" s="16">
        <f t="shared" si="58"/>
        <v>0</v>
      </c>
      <c r="P39" s="16">
        <f t="shared" si="59"/>
        <v>0</v>
      </c>
      <c r="Q39" s="16">
        <f t="shared" si="60"/>
        <v>4</v>
      </c>
      <c r="R39" s="16">
        <f t="shared" si="61"/>
        <v>3</v>
      </c>
      <c r="S39" s="24"/>
      <c r="T39" s="31">
        <f t="shared" si="62"/>
        <v>666.66666666666663</v>
      </c>
      <c r="U39" s="31">
        <f t="shared" si="63"/>
        <v>1333.3333333333333</v>
      </c>
      <c r="AJ39" s="24"/>
      <c r="BA39" s="24"/>
      <c r="BR39" s="24"/>
      <c r="CI39" s="24"/>
      <c r="CZ39" s="24"/>
      <c r="DQ39" s="24"/>
      <c r="EH39" s="24"/>
      <c r="EY39" s="24"/>
      <c r="FP39" s="24"/>
      <c r="GG39" s="24"/>
      <c r="GX39" s="24"/>
      <c r="HO39" s="24"/>
      <c r="IF39" s="24"/>
    </row>
    <row r="40" spans="1:240" s="23" customFormat="1" x14ac:dyDescent="0.25">
      <c r="A40" s="30" t="str">
        <f t="shared" si="45"/>
        <v>MARCOS MORALES</v>
      </c>
      <c r="B40" s="30" t="str">
        <f t="shared" si="45"/>
        <v/>
      </c>
      <c r="C40" s="16">
        <f t="shared" si="46"/>
        <v>3</v>
      </c>
      <c r="D40" s="16">
        <f t="shared" si="47"/>
        <v>2</v>
      </c>
      <c r="E40" s="16">
        <f t="shared" si="48"/>
        <v>2</v>
      </c>
      <c r="F40" s="16">
        <f t="shared" si="49"/>
        <v>1</v>
      </c>
      <c r="G40" s="16">
        <f t="shared" si="50"/>
        <v>0</v>
      </c>
      <c r="H40" s="16">
        <f t="shared" si="51"/>
        <v>0</v>
      </c>
      <c r="I40" s="16">
        <f t="shared" si="52"/>
        <v>2</v>
      </c>
      <c r="J40" s="16">
        <f t="shared" si="53"/>
        <v>1</v>
      </c>
      <c r="K40" s="16">
        <f t="shared" si="54"/>
        <v>0</v>
      </c>
      <c r="L40" s="16">
        <f t="shared" si="55"/>
        <v>3</v>
      </c>
      <c r="M40" s="16">
        <f t="shared" si="56"/>
        <v>0</v>
      </c>
      <c r="N40" s="16">
        <f t="shared" si="57"/>
        <v>0</v>
      </c>
      <c r="O40" s="16">
        <f t="shared" si="58"/>
        <v>0</v>
      </c>
      <c r="P40" s="16">
        <f t="shared" si="59"/>
        <v>0</v>
      </c>
      <c r="Q40" s="16">
        <f t="shared" si="60"/>
        <v>3</v>
      </c>
      <c r="R40" s="16">
        <f t="shared" si="61"/>
        <v>3</v>
      </c>
      <c r="S40" s="24"/>
      <c r="T40" s="31">
        <f t="shared" si="62"/>
        <v>666.66666666666663</v>
      </c>
      <c r="U40" s="31">
        <f t="shared" si="63"/>
        <v>1000</v>
      </c>
      <c r="AJ40" s="24"/>
      <c r="BA40" s="24"/>
      <c r="BR40" s="24"/>
      <c r="CI40" s="24"/>
      <c r="CZ40" s="24"/>
      <c r="DQ40" s="24"/>
      <c r="EH40" s="24"/>
      <c r="EY40" s="24"/>
      <c r="FP40" s="24"/>
      <c r="GG40" s="24"/>
      <c r="GX40" s="24"/>
      <c r="HO40" s="24"/>
      <c r="IF40" s="24"/>
    </row>
    <row r="41" spans="1:240" s="23" customFormat="1" x14ac:dyDescent="0.25">
      <c r="A41" s="30" t="str">
        <f t="shared" si="45"/>
        <v>ADRIAN MURILLO</v>
      </c>
      <c r="B41" s="30" t="str">
        <f t="shared" si="45"/>
        <v/>
      </c>
      <c r="C41" s="16">
        <f t="shared" si="46"/>
        <v>2</v>
      </c>
      <c r="D41" s="16">
        <f t="shared" si="47"/>
        <v>1</v>
      </c>
      <c r="E41" s="16">
        <f t="shared" si="48"/>
        <v>0</v>
      </c>
      <c r="F41" s="16">
        <f t="shared" si="49"/>
        <v>0</v>
      </c>
      <c r="G41" s="16">
        <f t="shared" si="50"/>
        <v>0</v>
      </c>
      <c r="H41" s="16">
        <f t="shared" si="51"/>
        <v>0</v>
      </c>
      <c r="I41" s="16">
        <f t="shared" si="52"/>
        <v>0</v>
      </c>
      <c r="J41" s="16">
        <f t="shared" si="53"/>
        <v>1</v>
      </c>
      <c r="K41" s="16">
        <f t="shared" si="54"/>
        <v>1</v>
      </c>
      <c r="L41" s="16">
        <f t="shared" si="55"/>
        <v>1</v>
      </c>
      <c r="M41" s="16">
        <f t="shared" si="56"/>
        <v>0</v>
      </c>
      <c r="N41" s="16">
        <f t="shared" si="57"/>
        <v>0</v>
      </c>
      <c r="O41" s="16">
        <f t="shared" si="58"/>
        <v>0</v>
      </c>
      <c r="P41" s="16">
        <f t="shared" si="59"/>
        <v>0</v>
      </c>
      <c r="Q41" s="16">
        <f t="shared" si="60"/>
        <v>0</v>
      </c>
      <c r="R41" s="16">
        <f t="shared" si="61"/>
        <v>3</v>
      </c>
      <c r="S41" s="24"/>
      <c r="T41" s="31">
        <f t="shared" si="62"/>
        <v>0</v>
      </c>
      <c r="U41" s="31">
        <f t="shared" si="63"/>
        <v>0</v>
      </c>
      <c r="AJ41" s="24"/>
      <c r="BA41" s="24"/>
      <c r="BR41" s="24"/>
      <c r="CI41" s="24"/>
      <c r="CZ41" s="24"/>
      <c r="DQ41" s="24"/>
      <c r="EH41" s="24"/>
      <c r="EY41" s="24"/>
      <c r="FP41" s="24"/>
      <c r="GG41" s="24"/>
      <c r="GX41" s="24"/>
      <c r="HO41" s="24"/>
      <c r="IF41" s="24"/>
    </row>
    <row r="42" spans="1:240" s="23" customFormat="1" x14ac:dyDescent="0.25">
      <c r="A42" s="30" t="str">
        <f t="shared" si="45"/>
        <v>DARGREYBER RODRIGUEZ</v>
      </c>
      <c r="B42" s="30" t="str">
        <f t="shared" si="45"/>
        <v/>
      </c>
      <c r="C42" s="16">
        <f t="shared" si="46"/>
        <v>0</v>
      </c>
      <c r="D42" s="16">
        <f t="shared" si="47"/>
        <v>0</v>
      </c>
      <c r="E42" s="16">
        <f t="shared" si="48"/>
        <v>0</v>
      </c>
      <c r="F42" s="16">
        <f t="shared" si="49"/>
        <v>0</v>
      </c>
      <c r="G42" s="16">
        <f t="shared" si="50"/>
        <v>0</v>
      </c>
      <c r="H42" s="16">
        <f t="shared" si="51"/>
        <v>0</v>
      </c>
      <c r="I42" s="16">
        <f t="shared" si="52"/>
        <v>0</v>
      </c>
      <c r="J42" s="16">
        <f t="shared" si="53"/>
        <v>0</v>
      </c>
      <c r="K42" s="16">
        <f t="shared" si="54"/>
        <v>0</v>
      </c>
      <c r="L42" s="16">
        <f t="shared" si="55"/>
        <v>0</v>
      </c>
      <c r="M42" s="16">
        <f t="shared" si="56"/>
        <v>0</v>
      </c>
      <c r="N42" s="16">
        <f t="shared" si="57"/>
        <v>0</v>
      </c>
      <c r="O42" s="16">
        <f t="shared" si="58"/>
        <v>0</v>
      </c>
      <c r="P42" s="16">
        <f t="shared" si="59"/>
        <v>0</v>
      </c>
      <c r="Q42" s="16">
        <f t="shared" si="60"/>
        <v>0</v>
      </c>
      <c r="R42" s="16">
        <f t="shared" si="61"/>
        <v>0</v>
      </c>
      <c r="S42" s="24"/>
      <c r="T42" s="31">
        <f t="shared" si="62"/>
        <v>0</v>
      </c>
      <c r="U42" s="31">
        <f t="shared" si="63"/>
        <v>0</v>
      </c>
      <c r="AJ42" s="24"/>
      <c r="BA42" s="24"/>
      <c r="BR42" s="24"/>
      <c r="CI42" s="24"/>
      <c r="CZ42" s="24"/>
      <c r="DQ42" s="24"/>
      <c r="EH42" s="24"/>
      <c r="EY42" s="24"/>
      <c r="FP42" s="24"/>
      <c r="GG42" s="24"/>
      <c r="GX42" s="24"/>
      <c r="HO42" s="24"/>
      <c r="IF42" s="24"/>
    </row>
    <row r="43" spans="1:240" s="23" customFormat="1" x14ac:dyDescent="0.25">
      <c r="A43" s="30" t="str">
        <f t="shared" si="45"/>
        <v>JENSE FLORES</v>
      </c>
      <c r="B43" s="30" t="str">
        <f t="shared" si="45"/>
        <v/>
      </c>
      <c r="C43" s="16">
        <f t="shared" si="46"/>
        <v>0</v>
      </c>
      <c r="D43" s="16">
        <f t="shared" si="47"/>
        <v>0</v>
      </c>
      <c r="E43" s="16">
        <f t="shared" si="48"/>
        <v>0</v>
      </c>
      <c r="F43" s="16">
        <f t="shared" si="49"/>
        <v>0</v>
      </c>
      <c r="G43" s="16">
        <f t="shared" si="50"/>
        <v>0</v>
      </c>
      <c r="H43" s="16">
        <f t="shared" si="51"/>
        <v>0</v>
      </c>
      <c r="I43" s="16">
        <f t="shared" si="52"/>
        <v>0</v>
      </c>
      <c r="J43" s="16">
        <f t="shared" si="53"/>
        <v>0</v>
      </c>
      <c r="K43" s="16">
        <f t="shared" si="54"/>
        <v>0</v>
      </c>
      <c r="L43" s="16">
        <f t="shared" si="55"/>
        <v>0</v>
      </c>
      <c r="M43" s="16">
        <f t="shared" si="56"/>
        <v>0</v>
      </c>
      <c r="N43" s="16">
        <f t="shared" si="57"/>
        <v>0</v>
      </c>
      <c r="O43" s="16">
        <f t="shared" si="58"/>
        <v>0</v>
      </c>
      <c r="P43" s="16">
        <f t="shared" si="59"/>
        <v>0</v>
      </c>
      <c r="Q43" s="16">
        <f t="shared" si="60"/>
        <v>0</v>
      </c>
      <c r="R43" s="16">
        <f t="shared" si="61"/>
        <v>0</v>
      </c>
      <c r="S43" s="24"/>
      <c r="T43" s="31">
        <f t="shared" si="62"/>
        <v>0</v>
      </c>
      <c r="U43" s="31">
        <f t="shared" si="63"/>
        <v>0</v>
      </c>
      <c r="AJ43" s="24"/>
      <c r="BA43" s="24"/>
      <c r="BR43" s="24"/>
      <c r="CI43" s="24"/>
      <c r="CZ43" s="24"/>
      <c r="DQ43" s="24"/>
      <c r="EH43" s="24"/>
      <c r="EY43" s="24"/>
      <c r="FP43" s="24"/>
      <c r="GG43" s="24"/>
      <c r="GX43" s="24"/>
      <c r="HO43" s="24"/>
      <c r="IF43" s="24"/>
    </row>
    <row r="44" spans="1:240" s="23" customFormat="1" x14ac:dyDescent="0.25">
      <c r="A44" s="30" t="str">
        <f t="shared" si="45"/>
        <v/>
      </c>
      <c r="B44" s="30" t="str">
        <f t="shared" si="45"/>
        <v/>
      </c>
      <c r="C44" s="16">
        <f t="shared" si="46"/>
        <v>0</v>
      </c>
      <c r="D44" s="16">
        <f t="shared" si="47"/>
        <v>0</v>
      </c>
      <c r="E44" s="16">
        <f t="shared" si="48"/>
        <v>0</v>
      </c>
      <c r="F44" s="16">
        <f t="shared" si="49"/>
        <v>0</v>
      </c>
      <c r="G44" s="16">
        <f t="shared" si="50"/>
        <v>0</v>
      </c>
      <c r="H44" s="16">
        <f t="shared" si="51"/>
        <v>0</v>
      </c>
      <c r="I44" s="16">
        <f t="shared" si="52"/>
        <v>0</v>
      </c>
      <c r="J44" s="16">
        <f t="shared" si="53"/>
        <v>0</v>
      </c>
      <c r="K44" s="16">
        <f t="shared" si="54"/>
        <v>0</v>
      </c>
      <c r="L44" s="16">
        <f t="shared" si="55"/>
        <v>0</v>
      </c>
      <c r="M44" s="16">
        <f t="shared" si="56"/>
        <v>0</v>
      </c>
      <c r="N44" s="16">
        <f t="shared" si="57"/>
        <v>0</v>
      </c>
      <c r="O44" s="16">
        <f t="shared" si="58"/>
        <v>0</v>
      </c>
      <c r="P44" s="16">
        <f t="shared" si="59"/>
        <v>0</v>
      </c>
      <c r="Q44" s="16">
        <f t="shared" si="60"/>
        <v>0</v>
      </c>
      <c r="R44" s="16">
        <f t="shared" si="61"/>
        <v>0</v>
      </c>
      <c r="S44" s="24"/>
      <c r="T44" s="31">
        <f t="shared" si="62"/>
        <v>0</v>
      </c>
      <c r="U44" s="31">
        <f t="shared" si="63"/>
        <v>0</v>
      </c>
      <c r="AJ44" s="24"/>
      <c r="BA44" s="24"/>
      <c r="BR44" s="24"/>
      <c r="CI44" s="24"/>
      <c r="CZ44" s="24"/>
      <c r="DQ44" s="24"/>
      <c r="EH44" s="24"/>
      <c r="EY44" s="24"/>
      <c r="FP44" s="24"/>
      <c r="GG44" s="24"/>
      <c r="GX44" s="24"/>
      <c r="HO44" s="24"/>
      <c r="IF44" s="24"/>
    </row>
    <row r="45" spans="1:240" s="23" customFormat="1" x14ac:dyDescent="0.25">
      <c r="A45" s="30" t="str">
        <f t="shared" si="45"/>
        <v/>
      </c>
      <c r="B45" s="30" t="str">
        <f t="shared" si="45"/>
        <v/>
      </c>
      <c r="C45" s="16">
        <f t="shared" si="46"/>
        <v>0</v>
      </c>
      <c r="D45" s="16">
        <f t="shared" si="47"/>
        <v>0</v>
      </c>
      <c r="E45" s="16">
        <f t="shared" si="48"/>
        <v>0</v>
      </c>
      <c r="F45" s="16">
        <f t="shared" si="49"/>
        <v>0</v>
      </c>
      <c r="G45" s="16">
        <f t="shared" si="50"/>
        <v>0</v>
      </c>
      <c r="H45" s="16">
        <f t="shared" si="51"/>
        <v>0</v>
      </c>
      <c r="I45" s="16">
        <f t="shared" si="52"/>
        <v>0</v>
      </c>
      <c r="J45" s="16">
        <f t="shared" si="53"/>
        <v>0</v>
      </c>
      <c r="K45" s="16">
        <f t="shared" si="54"/>
        <v>0</v>
      </c>
      <c r="L45" s="16">
        <f t="shared" si="55"/>
        <v>0</v>
      </c>
      <c r="M45" s="16">
        <f t="shared" si="56"/>
        <v>0</v>
      </c>
      <c r="N45" s="16">
        <f t="shared" si="57"/>
        <v>0</v>
      </c>
      <c r="O45" s="16">
        <f t="shared" si="58"/>
        <v>0</v>
      </c>
      <c r="P45" s="16">
        <f t="shared" si="59"/>
        <v>0</v>
      </c>
      <c r="Q45" s="16">
        <f t="shared" si="60"/>
        <v>0</v>
      </c>
      <c r="R45" s="16">
        <f t="shared" si="61"/>
        <v>0</v>
      </c>
      <c r="S45" s="24"/>
      <c r="T45" s="31">
        <f t="shared" si="62"/>
        <v>0</v>
      </c>
      <c r="U45" s="31">
        <f t="shared" si="63"/>
        <v>0</v>
      </c>
      <c r="AJ45" s="24"/>
      <c r="BA45" s="24"/>
      <c r="BR45" s="24"/>
      <c r="CI45" s="24"/>
      <c r="CZ45" s="24"/>
      <c r="DQ45" s="24"/>
      <c r="EH45" s="24"/>
      <c r="EY45" s="24"/>
      <c r="FP45" s="24"/>
      <c r="GG45" s="24"/>
      <c r="GX45" s="24"/>
      <c r="HO45" s="24"/>
      <c r="IF45" s="24"/>
    </row>
    <row r="46" spans="1:240" s="23" customFormat="1" x14ac:dyDescent="0.25">
      <c r="A46" s="30" t="str">
        <f t="shared" si="45"/>
        <v/>
      </c>
      <c r="B46" s="30" t="str">
        <f t="shared" si="45"/>
        <v/>
      </c>
      <c r="C46" s="16">
        <f t="shared" si="46"/>
        <v>0</v>
      </c>
      <c r="D46" s="16">
        <f t="shared" si="47"/>
        <v>0</v>
      </c>
      <c r="E46" s="16">
        <f t="shared" si="48"/>
        <v>0</v>
      </c>
      <c r="F46" s="16">
        <f t="shared" si="49"/>
        <v>0</v>
      </c>
      <c r="G46" s="16">
        <f t="shared" si="50"/>
        <v>0</v>
      </c>
      <c r="H46" s="16">
        <f t="shared" si="51"/>
        <v>0</v>
      </c>
      <c r="I46" s="16">
        <f t="shared" si="52"/>
        <v>0</v>
      </c>
      <c r="J46" s="16">
        <f t="shared" si="53"/>
        <v>0</v>
      </c>
      <c r="K46" s="16">
        <f t="shared" si="54"/>
        <v>0</v>
      </c>
      <c r="L46" s="16">
        <f t="shared" si="55"/>
        <v>0</v>
      </c>
      <c r="M46" s="16">
        <f t="shared" si="56"/>
        <v>0</v>
      </c>
      <c r="N46" s="16">
        <f t="shared" si="57"/>
        <v>0</v>
      </c>
      <c r="O46" s="16">
        <f t="shared" si="58"/>
        <v>0</v>
      </c>
      <c r="P46" s="16">
        <f t="shared" si="59"/>
        <v>0</v>
      </c>
      <c r="Q46" s="16">
        <f t="shared" si="60"/>
        <v>0</v>
      </c>
      <c r="R46" s="16">
        <f t="shared" si="61"/>
        <v>0</v>
      </c>
      <c r="S46" s="24"/>
      <c r="T46" s="31">
        <f t="shared" si="62"/>
        <v>0</v>
      </c>
      <c r="U46" s="31">
        <f t="shared" si="63"/>
        <v>0</v>
      </c>
      <c r="AJ46" s="24"/>
      <c r="BA46" s="24"/>
      <c r="BR46" s="24"/>
      <c r="CI46" s="24"/>
      <c r="CZ46" s="24"/>
      <c r="DQ46" s="24"/>
      <c r="EH46" s="24"/>
      <c r="EY46" s="24"/>
      <c r="FP46" s="24"/>
      <c r="GG46" s="24"/>
      <c r="GX46" s="24"/>
      <c r="HO46" s="24"/>
      <c r="IF46" s="24"/>
    </row>
    <row r="47" spans="1:240" x14ac:dyDescent="0.25">
      <c r="A47" s="30" t="str">
        <f t="shared" si="45"/>
        <v/>
      </c>
      <c r="B47" s="30" t="str">
        <f t="shared" si="45"/>
        <v/>
      </c>
      <c r="C47" s="16">
        <f t="shared" si="46"/>
        <v>0</v>
      </c>
      <c r="D47" s="16">
        <f t="shared" si="47"/>
        <v>0</v>
      </c>
      <c r="E47" s="16">
        <f t="shared" si="48"/>
        <v>0</v>
      </c>
      <c r="F47" s="16">
        <f t="shared" si="49"/>
        <v>0</v>
      </c>
      <c r="G47" s="16">
        <f t="shared" si="50"/>
        <v>0</v>
      </c>
      <c r="H47" s="16">
        <f t="shared" si="51"/>
        <v>0</v>
      </c>
      <c r="I47" s="16">
        <f t="shared" si="52"/>
        <v>0</v>
      </c>
      <c r="J47" s="16">
        <f t="shared" si="53"/>
        <v>0</v>
      </c>
      <c r="K47" s="16">
        <f t="shared" si="54"/>
        <v>0</v>
      </c>
      <c r="L47" s="16">
        <f t="shared" si="55"/>
        <v>0</v>
      </c>
      <c r="M47" s="16">
        <f t="shared" si="56"/>
        <v>0</v>
      </c>
      <c r="N47" s="16">
        <f t="shared" si="57"/>
        <v>0</v>
      </c>
      <c r="O47" s="16">
        <f t="shared" si="58"/>
        <v>0</v>
      </c>
      <c r="P47" s="16">
        <f t="shared" si="59"/>
        <v>0</v>
      </c>
      <c r="Q47" s="16">
        <f t="shared" si="60"/>
        <v>0</v>
      </c>
      <c r="R47" s="16">
        <f t="shared" si="61"/>
        <v>0</v>
      </c>
      <c r="S47" s="2"/>
      <c r="T47" s="31">
        <f t="shared" si="62"/>
        <v>0</v>
      </c>
      <c r="U47" s="31">
        <f t="shared" si="63"/>
        <v>0</v>
      </c>
      <c r="AJ47" s="2"/>
      <c r="BA47" s="2"/>
      <c r="BR47" s="2"/>
      <c r="CI47" s="2"/>
      <c r="CZ47" s="2"/>
      <c r="DQ47" s="2"/>
      <c r="EH47" s="2"/>
      <c r="EY47" s="2"/>
      <c r="FP47" s="2"/>
      <c r="GG47" s="2"/>
      <c r="GX47" s="2"/>
      <c r="HO47" s="2"/>
      <c r="IF47" s="2"/>
    </row>
    <row r="48" spans="1:240" x14ac:dyDescent="0.25">
      <c r="A48" s="30" t="str">
        <f t="shared" si="45"/>
        <v/>
      </c>
      <c r="B48" s="30" t="str">
        <f t="shared" si="45"/>
        <v/>
      </c>
      <c r="C48" s="16">
        <f t="shared" si="46"/>
        <v>0</v>
      </c>
      <c r="D48" s="16">
        <f t="shared" si="47"/>
        <v>0</v>
      </c>
      <c r="E48" s="16">
        <f t="shared" si="48"/>
        <v>0</v>
      </c>
      <c r="F48" s="16">
        <f t="shared" si="49"/>
        <v>0</v>
      </c>
      <c r="G48" s="16">
        <f t="shared" si="50"/>
        <v>0</v>
      </c>
      <c r="H48" s="16">
        <f t="shared" si="51"/>
        <v>0</v>
      </c>
      <c r="I48" s="16">
        <f t="shared" si="52"/>
        <v>0</v>
      </c>
      <c r="J48" s="16">
        <f t="shared" si="53"/>
        <v>0</v>
      </c>
      <c r="K48" s="16">
        <f t="shared" si="54"/>
        <v>0</v>
      </c>
      <c r="L48" s="16">
        <f t="shared" si="55"/>
        <v>0</v>
      </c>
      <c r="M48" s="16">
        <f t="shared" si="56"/>
        <v>0</v>
      </c>
      <c r="N48" s="16">
        <f t="shared" si="57"/>
        <v>0</v>
      </c>
      <c r="O48" s="16">
        <f t="shared" si="58"/>
        <v>0</v>
      </c>
      <c r="P48" s="16">
        <f t="shared" si="59"/>
        <v>0</v>
      </c>
      <c r="Q48" s="16">
        <f t="shared" si="60"/>
        <v>0</v>
      </c>
      <c r="R48" s="16">
        <f t="shared" si="61"/>
        <v>0</v>
      </c>
      <c r="S48" s="2"/>
      <c r="T48" s="31">
        <f t="shared" si="62"/>
        <v>0</v>
      </c>
      <c r="U48" s="31">
        <f t="shared" si="63"/>
        <v>0</v>
      </c>
      <c r="AJ48" s="2"/>
      <c r="BA48" s="2"/>
      <c r="BR48" s="2"/>
      <c r="CI48" s="2"/>
      <c r="CZ48" s="2"/>
      <c r="DQ48" s="2"/>
      <c r="EH48" s="2"/>
      <c r="EY48" s="2"/>
      <c r="FP48" s="2"/>
      <c r="GG48" s="2"/>
      <c r="GX48" s="2"/>
      <c r="HO48" s="2"/>
      <c r="IF48" s="2"/>
    </row>
    <row r="49" spans="1:240" x14ac:dyDescent="0.25">
      <c r="A49" s="30" t="str">
        <f t="shared" si="45"/>
        <v/>
      </c>
      <c r="B49" s="30" t="str">
        <f t="shared" si="45"/>
        <v/>
      </c>
      <c r="C49" s="16">
        <f t="shared" si="46"/>
        <v>0</v>
      </c>
      <c r="D49" s="16">
        <f t="shared" si="47"/>
        <v>0</v>
      </c>
      <c r="E49" s="16">
        <f t="shared" si="48"/>
        <v>0</v>
      </c>
      <c r="F49" s="16">
        <f t="shared" si="49"/>
        <v>0</v>
      </c>
      <c r="G49" s="16">
        <f t="shared" si="50"/>
        <v>0</v>
      </c>
      <c r="H49" s="16">
        <f t="shared" si="51"/>
        <v>0</v>
      </c>
      <c r="I49" s="16">
        <f t="shared" si="52"/>
        <v>0</v>
      </c>
      <c r="J49" s="16">
        <f t="shared" si="53"/>
        <v>0</v>
      </c>
      <c r="K49" s="16">
        <f t="shared" si="54"/>
        <v>0</v>
      </c>
      <c r="L49" s="16">
        <f t="shared" si="55"/>
        <v>0</v>
      </c>
      <c r="M49" s="16">
        <f t="shared" si="56"/>
        <v>0</v>
      </c>
      <c r="N49" s="16">
        <f t="shared" si="57"/>
        <v>0</v>
      </c>
      <c r="O49" s="16">
        <f t="shared" si="58"/>
        <v>0</v>
      </c>
      <c r="P49" s="16">
        <f t="shared" si="59"/>
        <v>0</v>
      </c>
      <c r="Q49" s="16">
        <f t="shared" si="60"/>
        <v>0</v>
      </c>
      <c r="R49" s="16">
        <f t="shared" si="61"/>
        <v>0</v>
      </c>
      <c r="S49" s="2"/>
      <c r="T49" s="31">
        <f t="shared" si="62"/>
        <v>0</v>
      </c>
      <c r="U49" s="31">
        <f t="shared" si="63"/>
        <v>0</v>
      </c>
      <c r="AJ49" s="2"/>
      <c r="BA49" s="2"/>
      <c r="BR49" s="2"/>
      <c r="CI49" s="2"/>
      <c r="CZ49" s="2"/>
      <c r="DQ49" s="2"/>
      <c r="EH49" s="2"/>
      <c r="EY49" s="2"/>
      <c r="FP49" s="2"/>
      <c r="GG49" s="2"/>
      <c r="GX49" s="2"/>
      <c r="HO49" s="2"/>
      <c r="IF49" s="2"/>
    </row>
    <row r="50" spans="1:240" ht="13.8" thickBot="1" x14ac:dyDescent="0.3">
      <c r="A50" s="30" t="str">
        <f t="shared" si="45"/>
        <v/>
      </c>
      <c r="B50" s="30" t="str">
        <f t="shared" si="45"/>
        <v/>
      </c>
      <c r="C50" s="16">
        <f t="shared" si="46"/>
        <v>0</v>
      </c>
      <c r="D50" s="16">
        <f t="shared" si="47"/>
        <v>0</v>
      </c>
      <c r="E50" s="16">
        <f t="shared" si="48"/>
        <v>0</v>
      </c>
      <c r="F50" s="16">
        <f t="shared" si="49"/>
        <v>0</v>
      </c>
      <c r="G50" s="16">
        <f t="shared" si="50"/>
        <v>0</v>
      </c>
      <c r="H50" s="16">
        <f t="shared" si="51"/>
        <v>0</v>
      </c>
      <c r="I50" s="16">
        <f t="shared" si="52"/>
        <v>0</v>
      </c>
      <c r="J50" s="16">
        <f t="shared" si="53"/>
        <v>0</v>
      </c>
      <c r="K50" s="16">
        <f t="shared" si="54"/>
        <v>0</v>
      </c>
      <c r="L50" s="16">
        <f t="shared" si="55"/>
        <v>0</v>
      </c>
      <c r="M50" s="16">
        <f t="shared" si="56"/>
        <v>0</v>
      </c>
      <c r="N50" s="16">
        <f t="shared" si="57"/>
        <v>0</v>
      </c>
      <c r="O50" s="16">
        <f t="shared" si="58"/>
        <v>0</v>
      </c>
      <c r="P50" s="16">
        <f t="shared" si="59"/>
        <v>0</v>
      </c>
      <c r="Q50" s="16">
        <f t="shared" si="60"/>
        <v>0</v>
      </c>
      <c r="R50" s="16">
        <f t="shared" si="61"/>
        <v>0</v>
      </c>
      <c r="S50" s="2"/>
      <c r="T50" s="31">
        <f t="shared" si="62"/>
        <v>0</v>
      </c>
      <c r="U50" s="31">
        <f t="shared" si="63"/>
        <v>0</v>
      </c>
      <c r="AJ50" s="2"/>
      <c r="BA50" s="2"/>
      <c r="BR50" s="2"/>
      <c r="CI50" s="2"/>
      <c r="CZ50" s="2"/>
      <c r="DQ50" s="2"/>
      <c r="EH50" s="2"/>
      <c r="EY50" s="2"/>
      <c r="FP50" s="2"/>
      <c r="GG50" s="2"/>
      <c r="GX50" s="2"/>
      <c r="HO50" s="2"/>
      <c r="IF50" s="2"/>
    </row>
    <row r="51" spans="1:240" ht="13.8" thickBot="1" x14ac:dyDescent="0.3">
      <c r="A51" s="62" t="s">
        <v>48</v>
      </c>
      <c r="B51" s="63"/>
      <c r="C51" s="32">
        <f>SUM(C32:C50)</f>
        <v>72</v>
      </c>
      <c r="D51" s="32">
        <f t="shared" ref="D51:P51" si="64">SUM(D32:D50)</f>
        <v>10</v>
      </c>
      <c r="E51" s="32">
        <f t="shared" si="64"/>
        <v>24</v>
      </c>
      <c r="F51" s="32">
        <f t="shared" si="64"/>
        <v>2</v>
      </c>
      <c r="G51" s="32">
        <f t="shared" si="64"/>
        <v>1</v>
      </c>
      <c r="H51" s="32">
        <f t="shared" si="64"/>
        <v>1</v>
      </c>
      <c r="I51" s="32">
        <f t="shared" si="64"/>
        <v>6</v>
      </c>
      <c r="J51" s="32">
        <f t="shared" si="64"/>
        <v>4</v>
      </c>
      <c r="K51" s="32">
        <f t="shared" si="64"/>
        <v>6</v>
      </c>
      <c r="L51" s="32">
        <f t="shared" si="64"/>
        <v>9</v>
      </c>
      <c r="M51" s="32">
        <f t="shared" si="64"/>
        <v>0</v>
      </c>
      <c r="N51" s="32">
        <f t="shared" si="64"/>
        <v>0</v>
      </c>
      <c r="O51" s="32">
        <f t="shared" si="64"/>
        <v>0</v>
      </c>
      <c r="P51" s="32">
        <f t="shared" si="64"/>
        <v>0</v>
      </c>
      <c r="Q51" s="32">
        <f>SUM(Q32:Q50)</f>
        <v>31</v>
      </c>
      <c r="R51" s="32">
        <f>SUM(R32:R50)</f>
        <v>78</v>
      </c>
      <c r="S51" s="33"/>
      <c r="T51" s="34">
        <f t="shared" si="62"/>
        <v>333.33333333333331</v>
      </c>
      <c r="U51" s="35">
        <f t="shared" si="63"/>
        <v>430.55555555555554</v>
      </c>
      <c r="AJ51" s="2"/>
      <c r="BA51" s="2"/>
      <c r="BR51" s="2"/>
      <c r="CI51" s="2"/>
      <c r="CZ51" s="2"/>
      <c r="DQ51" s="2"/>
      <c r="EH51" s="2"/>
      <c r="EY51" s="2"/>
      <c r="FP51" s="2"/>
      <c r="GG51" s="2"/>
      <c r="GX51" s="2"/>
      <c r="HO51" s="2"/>
      <c r="IF51" s="2"/>
    </row>
    <row r="52" spans="1:240" x14ac:dyDescent="0.25">
      <c r="S52" s="2"/>
      <c r="AJ52" s="2"/>
      <c r="BA52" s="2"/>
      <c r="BR52" s="2"/>
      <c r="CI52" s="2"/>
      <c r="CZ52" s="2"/>
      <c r="DQ52" s="2"/>
      <c r="EH52" s="2"/>
      <c r="EY52" s="2"/>
      <c r="FP52" s="2"/>
      <c r="GG52" s="2"/>
      <c r="GX52" s="2"/>
      <c r="HO52" s="2"/>
      <c r="IF52" s="2"/>
    </row>
    <row r="53" spans="1:240" x14ac:dyDescent="0.25">
      <c r="S53" s="2"/>
      <c r="AJ53" s="2"/>
      <c r="BA53" s="2"/>
      <c r="BR53" s="2"/>
      <c r="CI53" s="2"/>
      <c r="CZ53" s="2"/>
      <c r="DQ53" s="2"/>
      <c r="EH53" s="2"/>
      <c r="EY53" s="2"/>
      <c r="FP53" s="2"/>
      <c r="GG53" s="2"/>
      <c r="GX53" s="2"/>
      <c r="HO53" s="2"/>
      <c r="IF53" s="2"/>
    </row>
    <row r="54" spans="1:240" x14ac:dyDescent="0.25">
      <c r="S54" s="2"/>
      <c r="AJ54" s="2"/>
      <c r="BA54" s="2"/>
      <c r="BR54" s="2"/>
      <c r="CI54" s="2"/>
      <c r="CZ54" s="2"/>
      <c r="DQ54" s="2"/>
      <c r="EH54" s="2"/>
      <c r="EY54" s="2"/>
      <c r="FP54" s="2"/>
      <c r="GG54" s="2"/>
      <c r="GX54" s="2"/>
      <c r="HO54" s="2"/>
      <c r="IF54" s="2"/>
    </row>
  </sheetData>
  <sheetProtection selectLockedCells="1" selectUnlockedCells="1"/>
  <mergeCells count="18">
    <mergeCell ref="A51:B51"/>
    <mergeCell ref="GH6:GW6"/>
    <mergeCell ref="GY6:HN6"/>
    <mergeCell ref="HP6:IE6"/>
    <mergeCell ref="A27:B27"/>
    <mergeCell ref="A30:U30"/>
    <mergeCell ref="CJ6:CY6"/>
    <mergeCell ref="DA6:DP6"/>
    <mergeCell ref="DR6:EG6"/>
    <mergeCell ref="EI6:EX6"/>
    <mergeCell ref="EZ6:FO6"/>
    <mergeCell ref="FQ6:GF6"/>
    <mergeCell ref="A6:B6"/>
    <mergeCell ref="C6:R6"/>
    <mergeCell ref="T6:AI6"/>
    <mergeCell ref="AK6:AZ6"/>
    <mergeCell ref="BB6:BQ6"/>
    <mergeCell ref="BS6:CH6"/>
  </mergeCell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 alignWithMargins="0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6B61A-0897-4865-A368-90BC475417DD}">
  <dimension ref="A1:IV53"/>
  <sheetViews>
    <sheetView topLeftCell="A4" zoomScale="180" zoomScaleNormal="180" workbookViewId="0">
      <pane xSplit="1" topLeftCell="B1" activePane="topRight" state="frozen"/>
      <selection pane="topRight" activeCell="B7" sqref="B7:B10"/>
    </sheetView>
  </sheetViews>
  <sheetFormatPr baseColWidth="10" defaultColWidth="4.33203125" defaultRowHeight="13.2" x14ac:dyDescent="0.25"/>
  <cols>
    <col min="1" max="1" width="25.5546875" customWidth="1"/>
    <col min="2" max="2" width="3.33203125" customWidth="1"/>
    <col min="19" max="19" width="1" customWidth="1"/>
    <col min="36" max="36" width="1.5546875" customWidth="1"/>
    <col min="53" max="53" width="1.33203125" customWidth="1"/>
    <col min="70" max="70" width="1.33203125" customWidth="1"/>
    <col min="87" max="87" width="1.109375" customWidth="1"/>
    <col min="104" max="104" width="1.44140625" customWidth="1"/>
    <col min="121" max="121" width="1.5546875" customWidth="1"/>
    <col min="138" max="138" width="1.44140625" customWidth="1"/>
    <col min="155" max="155" width="1.33203125" customWidth="1"/>
    <col min="172" max="172" width="1.33203125" customWidth="1"/>
    <col min="189" max="189" width="1.33203125" customWidth="1"/>
    <col min="206" max="206" width="1.109375" customWidth="1"/>
    <col min="223" max="223" width="1.33203125" customWidth="1"/>
    <col min="240" max="240" width="1.44140625" customWidth="1"/>
  </cols>
  <sheetData>
    <row r="1" spans="1:256" x14ac:dyDescent="0.25">
      <c r="A1" s="1" t="s">
        <v>0</v>
      </c>
      <c r="B1" s="1"/>
      <c r="C1" s="1"/>
      <c r="D1" s="1"/>
      <c r="E1" s="1"/>
      <c r="F1" s="1"/>
      <c r="G1" s="1"/>
      <c r="S1" s="2"/>
      <c r="AJ1" s="2"/>
      <c r="BA1" s="2"/>
      <c r="BR1" s="2"/>
      <c r="CI1" s="2"/>
      <c r="CZ1" s="2"/>
      <c r="DQ1" s="2"/>
      <c r="EH1" s="2"/>
      <c r="EY1" s="2"/>
      <c r="FP1" s="2"/>
      <c r="GG1" s="2"/>
      <c r="GX1" s="2"/>
      <c r="HO1" s="2"/>
      <c r="IF1" s="2"/>
    </row>
    <row r="2" spans="1:256" x14ac:dyDescent="0.25">
      <c r="A2" s="1" t="s">
        <v>1</v>
      </c>
      <c r="B2" s="1"/>
      <c r="C2" s="1"/>
      <c r="D2" s="1"/>
      <c r="E2" s="1"/>
      <c r="F2" s="1"/>
      <c r="G2" s="1"/>
      <c r="S2" s="2"/>
      <c r="AJ2" s="2"/>
      <c r="BA2" s="2"/>
      <c r="BR2" s="2"/>
      <c r="CI2" s="2"/>
      <c r="CZ2" s="2"/>
      <c r="DQ2" s="2"/>
      <c r="EH2" s="2"/>
      <c r="EY2" s="2"/>
      <c r="FP2" s="2"/>
      <c r="GG2" s="2"/>
      <c r="GX2" s="2"/>
      <c r="HO2" s="2"/>
      <c r="IF2" s="2"/>
    </row>
    <row r="3" spans="1:256" x14ac:dyDescent="0.25">
      <c r="B3" s="3" t="s">
        <v>2</v>
      </c>
      <c r="C3" s="3"/>
      <c r="D3" s="3"/>
      <c r="E3" s="3"/>
      <c r="F3" s="3"/>
      <c r="G3" s="3"/>
      <c r="S3" s="2"/>
      <c r="AJ3" s="2"/>
      <c r="BA3" s="2"/>
      <c r="BR3" s="2"/>
      <c r="CI3" s="2"/>
      <c r="CZ3" s="2"/>
      <c r="DQ3" s="2"/>
      <c r="EH3" s="2"/>
      <c r="EY3" s="2"/>
      <c r="FP3" s="2"/>
      <c r="GG3" s="2"/>
      <c r="GX3" s="2"/>
      <c r="HO3" s="2"/>
      <c r="IF3" s="2"/>
    </row>
    <row r="4" spans="1:256" x14ac:dyDescent="0.25">
      <c r="B4" s="4" t="s">
        <v>3</v>
      </c>
      <c r="S4" s="2"/>
      <c r="AJ4" s="2"/>
      <c r="BA4" s="2"/>
      <c r="BR4" s="2"/>
      <c r="CI4" s="2"/>
      <c r="CZ4" s="2"/>
      <c r="DQ4" s="2"/>
      <c r="EH4" s="2"/>
      <c r="EY4" s="2"/>
      <c r="FP4" s="2"/>
      <c r="GG4" s="2"/>
      <c r="GX4" s="2"/>
      <c r="HO4" s="2"/>
      <c r="IF4" s="2"/>
    </row>
    <row r="5" spans="1:256" ht="13.8" thickBot="1" x14ac:dyDescent="0.3">
      <c r="B5" s="4"/>
      <c r="C5" t="s">
        <v>4</v>
      </c>
      <c r="F5" t="s">
        <v>5</v>
      </c>
      <c r="S5" s="2"/>
      <c r="U5" s="4" t="s">
        <v>6</v>
      </c>
      <c r="Y5" s="4" t="s">
        <v>7</v>
      </c>
      <c r="AC5">
        <v>2</v>
      </c>
      <c r="AJ5" s="2"/>
      <c r="AL5" s="4" t="s">
        <v>6</v>
      </c>
      <c r="AP5" t="s">
        <v>8</v>
      </c>
      <c r="AT5">
        <v>3</v>
      </c>
      <c r="BA5" s="2"/>
      <c r="BC5" s="4" t="s">
        <v>6</v>
      </c>
      <c r="BG5" t="s">
        <v>9</v>
      </c>
      <c r="BK5">
        <v>4</v>
      </c>
      <c r="BR5" s="2"/>
      <c r="BT5" s="4" t="s">
        <v>6</v>
      </c>
      <c r="BY5" t="s">
        <v>10</v>
      </c>
      <c r="CB5">
        <v>5</v>
      </c>
      <c r="CI5" s="2"/>
      <c r="CK5" s="4" t="s">
        <v>6</v>
      </c>
      <c r="CO5" t="s">
        <v>11</v>
      </c>
      <c r="CS5">
        <v>6</v>
      </c>
      <c r="CZ5" s="2"/>
      <c r="DB5" s="4" t="s">
        <v>6</v>
      </c>
      <c r="DF5" t="s">
        <v>12</v>
      </c>
      <c r="DJ5">
        <v>7</v>
      </c>
      <c r="DQ5" s="2"/>
      <c r="DS5" s="4" t="s">
        <v>6</v>
      </c>
      <c r="DW5" t="s">
        <v>13</v>
      </c>
      <c r="EA5">
        <v>8</v>
      </c>
      <c r="EH5" s="2"/>
      <c r="EJ5" s="4" t="s">
        <v>6</v>
      </c>
      <c r="EN5" t="s">
        <v>14</v>
      </c>
      <c r="ER5">
        <v>9</v>
      </c>
      <c r="EY5" s="2"/>
      <c r="FA5" s="4" t="s">
        <v>6</v>
      </c>
      <c r="FE5" t="s">
        <v>15</v>
      </c>
      <c r="FI5">
        <v>10</v>
      </c>
      <c r="FP5" s="2"/>
      <c r="FR5" s="4" t="s">
        <v>6</v>
      </c>
      <c r="FV5" t="s">
        <v>15</v>
      </c>
      <c r="FZ5">
        <v>11</v>
      </c>
      <c r="GG5" s="2"/>
      <c r="GI5" s="4" t="s">
        <v>6</v>
      </c>
      <c r="GM5" t="s">
        <v>16</v>
      </c>
      <c r="GQ5">
        <v>12</v>
      </c>
      <c r="GX5" s="2"/>
      <c r="GZ5" s="4" t="s">
        <v>6</v>
      </c>
      <c r="HH5">
        <v>13</v>
      </c>
      <c r="HO5" s="2"/>
      <c r="HQ5" s="4" t="s">
        <v>6</v>
      </c>
      <c r="HY5">
        <v>14</v>
      </c>
      <c r="IF5" s="2"/>
      <c r="IH5" s="4" t="s">
        <v>6</v>
      </c>
      <c r="IP5">
        <v>15</v>
      </c>
    </row>
    <row r="6" spans="1:256" s="5" customFormat="1" x14ac:dyDescent="0.25">
      <c r="A6" s="60" t="s">
        <v>54</v>
      </c>
      <c r="B6" s="60"/>
      <c r="C6" s="61" t="s">
        <v>17</v>
      </c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2"/>
      <c r="T6" s="59" t="s">
        <v>17</v>
      </c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2"/>
      <c r="AK6" s="59" t="s">
        <v>17</v>
      </c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2"/>
      <c r="BB6" s="59" t="s">
        <v>17</v>
      </c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59"/>
      <c r="BN6" s="59"/>
      <c r="BO6" s="59"/>
      <c r="BP6" s="59"/>
      <c r="BQ6" s="59"/>
      <c r="BR6" s="2"/>
      <c r="BS6" s="59" t="s">
        <v>17</v>
      </c>
      <c r="BT6" s="59"/>
      <c r="BU6" s="59"/>
      <c r="BV6" s="59"/>
      <c r="BW6" s="59"/>
      <c r="BX6" s="59"/>
      <c r="BY6" s="59"/>
      <c r="BZ6" s="59"/>
      <c r="CA6" s="59"/>
      <c r="CB6" s="59"/>
      <c r="CC6" s="59"/>
      <c r="CD6" s="59"/>
      <c r="CE6" s="59"/>
      <c r="CF6" s="59"/>
      <c r="CG6" s="59"/>
      <c r="CH6" s="59"/>
      <c r="CI6" s="2"/>
      <c r="CJ6" s="59" t="s">
        <v>17</v>
      </c>
      <c r="CK6" s="59"/>
      <c r="CL6" s="59"/>
      <c r="CM6" s="59"/>
      <c r="CN6" s="59"/>
      <c r="CO6" s="59"/>
      <c r="CP6" s="59"/>
      <c r="CQ6" s="59"/>
      <c r="CR6" s="59"/>
      <c r="CS6" s="59"/>
      <c r="CT6" s="59"/>
      <c r="CU6" s="59"/>
      <c r="CV6" s="59"/>
      <c r="CW6" s="59"/>
      <c r="CX6" s="59"/>
      <c r="CY6" s="59"/>
      <c r="CZ6" s="2"/>
      <c r="DA6" s="59" t="s">
        <v>17</v>
      </c>
      <c r="DB6" s="59"/>
      <c r="DC6" s="59"/>
      <c r="DD6" s="59"/>
      <c r="DE6" s="59"/>
      <c r="DF6" s="59"/>
      <c r="DG6" s="59"/>
      <c r="DH6" s="59"/>
      <c r="DI6" s="59"/>
      <c r="DJ6" s="59"/>
      <c r="DK6" s="59"/>
      <c r="DL6" s="59"/>
      <c r="DM6" s="59"/>
      <c r="DN6" s="59"/>
      <c r="DO6" s="59"/>
      <c r="DP6" s="59"/>
      <c r="DQ6" s="2"/>
      <c r="DR6" s="59" t="s">
        <v>17</v>
      </c>
      <c r="DS6" s="59"/>
      <c r="DT6" s="59"/>
      <c r="DU6" s="59"/>
      <c r="DV6" s="59"/>
      <c r="DW6" s="59"/>
      <c r="DX6" s="59"/>
      <c r="DY6" s="59"/>
      <c r="DZ6" s="59"/>
      <c r="EA6" s="59"/>
      <c r="EB6" s="59"/>
      <c r="EC6" s="59"/>
      <c r="ED6" s="59"/>
      <c r="EE6" s="59"/>
      <c r="EF6" s="59"/>
      <c r="EG6" s="59"/>
      <c r="EH6" s="2"/>
      <c r="EI6" s="59" t="s">
        <v>17</v>
      </c>
      <c r="EJ6" s="59"/>
      <c r="EK6" s="59"/>
      <c r="EL6" s="59"/>
      <c r="EM6" s="59"/>
      <c r="EN6" s="59"/>
      <c r="EO6" s="59"/>
      <c r="EP6" s="59"/>
      <c r="EQ6" s="59"/>
      <c r="ER6" s="59"/>
      <c r="ES6" s="59"/>
      <c r="ET6" s="59"/>
      <c r="EU6" s="59"/>
      <c r="EV6" s="59"/>
      <c r="EW6" s="59"/>
      <c r="EX6" s="59"/>
      <c r="EY6" s="2"/>
      <c r="EZ6" s="59" t="s">
        <v>17</v>
      </c>
      <c r="FA6" s="59"/>
      <c r="FB6" s="59"/>
      <c r="FC6" s="59"/>
      <c r="FD6" s="59"/>
      <c r="FE6" s="59"/>
      <c r="FF6" s="59"/>
      <c r="FG6" s="59"/>
      <c r="FH6" s="59"/>
      <c r="FI6" s="59"/>
      <c r="FJ6" s="59"/>
      <c r="FK6" s="59"/>
      <c r="FL6" s="59"/>
      <c r="FM6" s="59"/>
      <c r="FN6" s="59"/>
      <c r="FO6" s="59"/>
      <c r="FP6" s="2"/>
      <c r="FQ6" s="59" t="s">
        <v>17</v>
      </c>
      <c r="FR6" s="59"/>
      <c r="FS6" s="59"/>
      <c r="FT6" s="59"/>
      <c r="FU6" s="59"/>
      <c r="FV6" s="59"/>
      <c r="FW6" s="59"/>
      <c r="FX6" s="59"/>
      <c r="FY6" s="59"/>
      <c r="FZ6" s="59"/>
      <c r="GA6" s="59"/>
      <c r="GB6" s="59"/>
      <c r="GC6" s="59"/>
      <c r="GD6" s="59"/>
      <c r="GE6" s="59"/>
      <c r="GF6" s="59"/>
      <c r="GG6" s="2"/>
      <c r="GH6" s="59" t="s">
        <v>17</v>
      </c>
      <c r="GI6" s="59"/>
      <c r="GJ6" s="59"/>
      <c r="GK6" s="59"/>
      <c r="GL6" s="59"/>
      <c r="GM6" s="59"/>
      <c r="GN6" s="59"/>
      <c r="GO6" s="59"/>
      <c r="GP6" s="59"/>
      <c r="GQ6" s="59"/>
      <c r="GR6" s="59"/>
      <c r="GS6" s="59"/>
      <c r="GT6" s="59"/>
      <c r="GU6" s="59"/>
      <c r="GV6" s="59"/>
      <c r="GW6" s="59"/>
      <c r="GX6" s="2"/>
      <c r="GY6" s="59" t="s">
        <v>17</v>
      </c>
      <c r="GZ6" s="59"/>
      <c r="HA6" s="59"/>
      <c r="HB6" s="59"/>
      <c r="HC6" s="59"/>
      <c r="HD6" s="59"/>
      <c r="HE6" s="59"/>
      <c r="HF6" s="59"/>
      <c r="HG6" s="59"/>
      <c r="HH6" s="59"/>
      <c r="HI6" s="59"/>
      <c r="HJ6" s="59"/>
      <c r="HK6" s="59"/>
      <c r="HL6" s="59"/>
      <c r="HM6" s="59"/>
      <c r="HN6" s="59"/>
      <c r="HO6" s="2"/>
      <c r="HP6" s="59" t="s">
        <v>17</v>
      </c>
      <c r="HQ6" s="59"/>
      <c r="HR6" s="59"/>
      <c r="HS6" s="59"/>
      <c r="HT6" s="59"/>
      <c r="HU6" s="59"/>
      <c r="HV6" s="59"/>
      <c r="HW6" s="59"/>
      <c r="HX6" s="59"/>
      <c r="HY6" s="59"/>
      <c r="HZ6" s="59"/>
      <c r="IA6" s="59"/>
      <c r="IB6" s="59"/>
      <c r="IC6" s="59"/>
      <c r="ID6" s="59"/>
      <c r="IE6" s="59"/>
      <c r="IF6" s="2"/>
      <c r="IG6" s="6" t="s">
        <v>17</v>
      </c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</row>
    <row r="7" spans="1:256" s="2" customFormat="1" x14ac:dyDescent="0.25">
      <c r="A7" s="8" t="s">
        <v>19</v>
      </c>
      <c r="B7" s="50" t="s">
        <v>18</v>
      </c>
      <c r="C7" s="9" t="s">
        <v>20</v>
      </c>
      <c r="D7" s="9" t="s">
        <v>21</v>
      </c>
      <c r="E7" s="9" t="s">
        <v>22</v>
      </c>
      <c r="F7" s="9" t="s">
        <v>23</v>
      </c>
      <c r="G7" s="9" t="s">
        <v>24</v>
      </c>
      <c r="H7" s="9" t="s">
        <v>25</v>
      </c>
      <c r="I7" s="9" t="s">
        <v>26</v>
      </c>
      <c r="J7" s="9" t="s">
        <v>27</v>
      </c>
      <c r="K7" s="9" t="s">
        <v>28</v>
      </c>
      <c r="L7" s="9" t="s">
        <v>29</v>
      </c>
      <c r="M7" s="9" t="s">
        <v>30</v>
      </c>
      <c r="N7" s="9" t="s">
        <v>31</v>
      </c>
      <c r="O7" s="9" t="s">
        <v>32</v>
      </c>
      <c r="P7" s="9" t="s">
        <v>33</v>
      </c>
      <c r="Q7" s="9" t="s">
        <v>34</v>
      </c>
      <c r="R7" s="9" t="s">
        <v>35</v>
      </c>
      <c r="S7" s="10"/>
      <c r="T7" s="9" t="s">
        <v>20</v>
      </c>
      <c r="U7" s="9" t="s">
        <v>21</v>
      </c>
      <c r="V7" s="9" t="s">
        <v>22</v>
      </c>
      <c r="W7" s="9" t="s">
        <v>23</v>
      </c>
      <c r="X7" s="9" t="s">
        <v>24</v>
      </c>
      <c r="Y7" s="9" t="s">
        <v>25</v>
      </c>
      <c r="Z7" s="9" t="s">
        <v>26</v>
      </c>
      <c r="AA7" s="9" t="s">
        <v>27</v>
      </c>
      <c r="AB7" s="9" t="s">
        <v>28</v>
      </c>
      <c r="AC7" s="9" t="s">
        <v>29</v>
      </c>
      <c r="AD7" s="9" t="s">
        <v>30</v>
      </c>
      <c r="AE7" s="9" t="s">
        <v>31</v>
      </c>
      <c r="AF7" s="9" t="s">
        <v>32</v>
      </c>
      <c r="AG7" s="9" t="s">
        <v>33</v>
      </c>
      <c r="AH7" s="9" t="s">
        <v>34</v>
      </c>
      <c r="AI7" s="9" t="s">
        <v>35</v>
      </c>
      <c r="AK7" s="9" t="s">
        <v>20</v>
      </c>
      <c r="AL7" s="9" t="s">
        <v>21</v>
      </c>
      <c r="AM7" s="9" t="s">
        <v>22</v>
      </c>
      <c r="AN7" s="9" t="s">
        <v>23</v>
      </c>
      <c r="AO7" s="9" t="s">
        <v>24</v>
      </c>
      <c r="AP7" s="9" t="s">
        <v>25</v>
      </c>
      <c r="AQ7" s="9" t="s">
        <v>26</v>
      </c>
      <c r="AR7" s="9" t="s">
        <v>27</v>
      </c>
      <c r="AS7" s="9" t="s">
        <v>28</v>
      </c>
      <c r="AT7" s="9" t="s">
        <v>29</v>
      </c>
      <c r="AU7" s="9" t="s">
        <v>30</v>
      </c>
      <c r="AV7" s="9" t="s">
        <v>31</v>
      </c>
      <c r="AW7" s="9" t="s">
        <v>32</v>
      </c>
      <c r="AX7" s="9" t="s">
        <v>33</v>
      </c>
      <c r="AY7" s="9" t="s">
        <v>34</v>
      </c>
      <c r="AZ7" s="9" t="s">
        <v>35</v>
      </c>
      <c r="BB7" s="9" t="s">
        <v>20</v>
      </c>
      <c r="BC7" s="9" t="s">
        <v>21</v>
      </c>
      <c r="BD7" s="9" t="s">
        <v>22</v>
      </c>
      <c r="BE7" s="9" t="s">
        <v>23</v>
      </c>
      <c r="BF7" s="9" t="s">
        <v>24</v>
      </c>
      <c r="BG7" s="9" t="s">
        <v>25</v>
      </c>
      <c r="BH7" s="9" t="s">
        <v>26</v>
      </c>
      <c r="BI7" s="9" t="s">
        <v>27</v>
      </c>
      <c r="BJ7" s="9" t="s">
        <v>28</v>
      </c>
      <c r="BK7" s="9" t="s">
        <v>29</v>
      </c>
      <c r="BL7" s="9" t="s">
        <v>30</v>
      </c>
      <c r="BM7" s="9" t="s">
        <v>31</v>
      </c>
      <c r="BN7" s="9" t="s">
        <v>32</v>
      </c>
      <c r="BO7" s="9" t="s">
        <v>33</v>
      </c>
      <c r="BP7" s="9" t="s">
        <v>34</v>
      </c>
      <c r="BQ7" s="9" t="s">
        <v>35</v>
      </c>
      <c r="BS7" s="9" t="s">
        <v>20</v>
      </c>
      <c r="BT7" s="9" t="s">
        <v>21</v>
      </c>
      <c r="BU7" s="9" t="s">
        <v>22</v>
      </c>
      <c r="BV7" s="9" t="s">
        <v>23</v>
      </c>
      <c r="BW7" s="9" t="s">
        <v>24</v>
      </c>
      <c r="BX7" s="9" t="s">
        <v>25</v>
      </c>
      <c r="BY7" s="9" t="s">
        <v>26</v>
      </c>
      <c r="BZ7" s="9" t="s">
        <v>27</v>
      </c>
      <c r="CA7" s="9" t="s">
        <v>28</v>
      </c>
      <c r="CB7" s="9" t="s">
        <v>29</v>
      </c>
      <c r="CC7" s="9" t="s">
        <v>30</v>
      </c>
      <c r="CD7" s="9" t="s">
        <v>31</v>
      </c>
      <c r="CE7" s="9" t="s">
        <v>32</v>
      </c>
      <c r="CF7" s="9" t="s">
        <v>33</v>
      </c>
      <c r="CG7" s="9" t="s">
        <v>34</v>
      </c>
      <c r="CH7" s="9" t="s">
        <v>35</v>
      </c>
      <c r="CJ7" s="9" t="s">
        <v>20</v>
      </c>
      <c r="CK7" s="9" t="s">
        <v>21</v>
      </c>
      <c r="CL7" s="9" t="s">
        <v>22</v>
      </c>
      <c r="CM7" s="9" t="s">
        <v>23</v>
      </c>
      <c r="CN7" s="9" t="s">
        <v>24</v>
      </c>
      <c r="CO7" s="9" t="s">
        <v>25</v>
      </c>
      <c r="CP7" s="9" t="s">
        <v>26</v>
      </c>
      <c r="CQ7" s="9" t="s">
        <v>27</v>
      </c>
      <c r="CR7" s="9" t="s">
        <v>28</v>
      </c>
      <c r="CS7" s="9" t="s">
        <v>29</v>
      </c>
      <c r="CT7" s="9" t="s">
        <v>30</v>
      </c>
      <c r="CU7" s="9" t="s">
        <v>31</v>
      </c>
      <c r="CV7" s="9" t="s">
        <v>32</v>
      </c>
      <c r="CW7" s="9" t="s">
        <v>33</v>
      </c>
      <c r="CX7" s="9" t="s">
        <v>34</v>
      </c>
      <c r="CY7" s="9" t="s">
        <v>35</v>
      </c>
      <c r="DA7" s="9" t="s">
        <v>20</v>
      </c>
      <c r="DB7" s="9" t="s">
        <v>21</v>
      </c>
      <c r="DC7" s="9" t="s">
        <v>22</v>
      </c>
      <c r="DD7" s="9" t="s">
        <v>23</v>
      </c>
      <c r="DE7" s="9" t="s">
        <v>24</v>
      </c>
      <c r="DF7" s="9" t="s">
        <v>25</v>
      </c>
      <c r="DG7" s="9" t="s">
        <v>26</v>
      </c>
      <c r="DH7" s="9" t="s">
        <v>27</v>
      </c>
      <c r="DI7" s="9" t="s">
        <v>28</v>
      </c>
      <c r="DJ7" s="9" t="s">
        <v>29</v>
      </c>
      <c r="DK7" s="9" t="s">
        <v>30</v>
      </c>
      <c r="DL7" s="9" t="s">
        <v>31</v>
      </c>
      <c r="DM7" s="9" t="s">
        <v>32</v>
      </c>
      <c r="DN7" s="9" t="s">
        <v>33</v>
      </c>
      <c r="DO7" s="9" t="s">
        <v>34</v>
      </c>
      <c r="DP7" s="9" t="s">
        <v>35</v>
      </c>
      <c r="DR7" s="9" t="s">
        <v>20</v>
      </c>
      <c r="DS7" s="9" t="s">
        <v>21</v>
      </c>
      <c r="DT7" s="9" t="s">
        <v>22</v>
      </c>
      <c r="DU7" s="9" t="s">
        <v>23</v>
      </c>
      <c r="DV7" s="9" t="s">
        <v>24</v>
      </c>
      <c r="DW7" s="9" t="s">
        <v>25</v>
      </c>
      <c r="DX7" s="9" t="s">
        <v>26</v>
      </c>
      <c r="DY7" s="9" t="s">
        <v>27</v>
      </c>
      <c r="DZ7" s="9" t="s">
        <v>28</v>
      </c>
      <c r="EA7" s="9" t="s">
        <v>29</v>
      </c>
      <c r="EB7" s="9" t="s">
        <v>30</v>
      </c>
      <c r="EC7" s="9" t="s">
        <v>31</v>
      </c>
      <c r="ED7" s="9" t="s">
        <v>32</v>
      </c>
      <c r="EE7" s="9" t="s">
        <v>33</v>
      </c>
      <c r="EF7" s="9" t="s">
        <v>34</v>
      </c>
      <c r="EG7" s="9" t="s">
        <v>35</v>
      </c>
      <c r="EI7" s="9" t="s">
        <v>20</v>
      </c>
      <c r="EJ7" s="9" t="s">
        <v>21</v>
      </c>
      <c r="EK7" s="9" t="s">
        <v>22</v>
      </c>
      <c r="EL7" s="9" t="s">
        <v>23</v>
      </c>
      <c r="EM7" s="9" t="s">
        <v>24</v>
      </c>
      <c r="EN7" s="9" t="s">
        <v>25</v>
      </c>
      <c r="EO7" s="9" t="s">
        <v>26</v>
      </c>
      <c r="EP7" s="9" t="s">
        <v>27</v>
      </c>
      <c r="EQ7" s="9" t="s">
        <v>28</v>
      </c>
      <c r="ER7" s="9" t="s">
        <v>29</v>
      </c>
      <c r="ES7" s="9" t="s">
        <v>30</v>
      </c>
      <c r="ET7" s="9" t="s">
        <v>31</v>
      </c>
      <c r="EU7" s="9" t="s">
        <v>32</v>
      </c>
      <c r="EV7" s="9" t="s">
        <v>33</v>
      </c>
      <c r="EW7" s="9" t="s">
        <v>34</v>
      </c>
      <c r="EX7" s="9" t="s">
        <v>35</v>
      </c>
      <c r="EZ7" s="9" t="s">
        <v>20</v>
      </c>
      <c r="FA7" s="9" t="s">
        <v>21</v>
      </c>
      <c r="FB7" s="9" t="s">
        <v>22</v>
      </c>
      <c r="FC7" s="9" t="s">
        <v>23</v>
      </c>
      <c r="FD7" s="9" t="s">
        <v>24</v>
      </c>
      <c r="FE7" s="9" t="s">
        <v>25</v>
      </c>
      <c r="FF7" s="9" t="s">
        <v>26</v>
      </c>
      <c r="FG7" s="9" t="s">
        <v>27</v>
      </c>
      <c r="FH7" s="9" t="s">
        <v>28</v>
      </c>
      <c r="FI7" s="9" t="s">
        <v>29</v>
      </c>
      <c r="FJ7" s="9" t="s">
        <v>30</v>
      </c>
      <c r="FK7" s="9" t="s">
        <v>31</v>
      </c>
      <c r="FL7" s="9" t="s">
        <v>32</v>
      </c>
      <c r="FM7" s="9" t="s">
        <v>33</v>
      </c>
      <c r="FN7" s="9" t="s">
        <v>34</v>
      </c>
      <c r="FO7" s="9" t="s">
        <v>35</v>
      </c>
      <c r="FQ7" s="9" t="s">
        <v>20</v>
      </c>
      <c r="FR7" s="9" t="s">
        <v>21</v>
      </c>
      <c r="FS7" s="9" t="s">
        <v>22</v>
      </c>
      <c r="FT7" s="9" t="s">
        <v>23</v>
      </c>
      <c r="FU7" s="9" t="s">
        <v>24</v>
      </c>
      <c r="FV7" s="9" t="s">
        <v>25</v>
      </c>
      <c r="FW7" s="9" t="s">
        <v>26</v>
      </c>
      <c r="FX7" s="9" t="s">
        <v>27</v>
      </c>
      <c r="FY7" s="9" t="s">
        <v>28</v>
      </c>
      <c r="FZ7" s="9" t="s">
        <v>29</v>
      </c>
      <c r="GA7" s="9" t="s">
        <v>30</v>
      </c>
      <c r="GB7" s="9" t="s">
        <v>31</v>
      </c>
      <c r="GC7" s="9" t="s">
        <v>32</v>
      </c>
      <c r="GD7" s="9" t="s">
        <v>33</v>
      </c>
      <c r="GE7" s="9" t="s">
        <v>34</v>
      </c>
      <c r="GF7" s="9" t="s">
        <v>35</v>
      </c>
      <c r="GH7" s="9" t="s">
        <v>20</v>
      </c>
      <c r="GI7" s="9" t="s">
        <v>21</v>
      </c>
      <c r="GJ7" s="9" t="s">
        <v>22</v>
      </c>
      <c r="GK7" s="9" t="s">
        <v>23</v>
      </c>
      <c r="GL7" s="9" t="s">
        <v>24</v>
      </c>
      <c r="GM7" s="9" t="s">
        <v>25</v>
      </c>
      <c r="GN7" s="9" t="s">
        <v>26</v>
      </c>
      <c r="GO7" s="9" t="s">
        <v>27</v>
      </c>
      <c r="GP7" s="9" t="s">
        <v>28</v>
      </c>
      <c r="GQ7" s="9" t="s">
        <v>29</v>
      </c>
      <c r="GR7" s="9" t="s">
        <v>30</v>
      </c>
      <c r="GS7" s="9" t="s">
        <v>31</v>
      </c>
      <c r="GT7" s="9" t="s">
        <v>32</v>
      </c>
      <c r="GU7" s="9" t="s">
        <v>33</v>
      </c>
      <c r="GV7" s="9" t="s">
        <v>34</v>
      </c>
      <c r="GW7" s="9" t="s">
        <v>35</v>
      </c>
      <c r="GY7" s="9" t="s">
        <v>20</v>
      </c>
      <c r="GZ7" s="9" t="s">
        <v>21</v>
      </c>
      <c r="HA7" s="9" t="s">
        <v>22</v>
      </c>
      <c r="HB7" s="9" t="s">
        <v>23</v>
      </c>
      <c r="HC7" s="9" t="s">
        <v>24</v>
      </c>
      <c r="HD7" s="9" t="s">
        <v>25</v>
      </c>
      <c r="HE7" s="9" t="s">
        <v>26</v>
      </c>
      <c r="HF7" s="9" t="s">
        <v>27</v>
      </c>
      <c r="HG7" s="9" t="s">
        <v>28</v>
      </c>
      <c r="HH7" s="9" t="s">
        <v>29</v>
      </c>
      <c r="HI7" s="9" t="s">
        <v>30</v>
      </c>
      <c r="HJ7" s="9" t="s">
        <v>31</v>
      </c>
      <c r="HK7" s="9" t="s">
        <v>32</v>
      </c>
      <c r="HL7" s="9" t="s">
        <v>33</v>
      </c>
      <c r="HM7" s="9" t="s">
        <v>34</v>
      </c>
      <c r="HN7" s="9" t="s">
        <v>35</v>
      </c>
      <c r="HP7" s="9" t="s">
        <v>20</v>
      </c>
      <c r="HQ7" s="9" t="s">
        <v>21</v>
      </c>
      <c r="HR7" s="9" t="s">
        <v>22</v>
      </c>
      <c r="HS7" s="9" t="s">
        <v>23</v>
      </c>
      <c r="HT7" s="9" t="s">
        <v>24</v>
      </c>
      <c r="HU7" s="9" t="s">
        <v>25</v>
      </c>
      <c r="HV7" s="9" t="s">
        <v>26</v>
      </c>
      <c r="HW7" s="9" t="s">
        <v>27</v>
      </c>
      <c r="HX7" s="9" t="s">
        <v>28</v>
      </c>
      <c r="HY7" s="9" t="s">
        <v>29</v>
      </c>
      <c r="HZ7" s="9" t="s">
        <v>30</v>
      </c>
      <c r="IA7" s="9" t="s">
        <v>31</v>
      </c>
      <c r="IB7" s="9" t="s">
        <v>32</v>
      </c>
      <c r="IC7" s="9" t="s">
        <v>33</v>
      </c>
      <c r="ID7" s="9" t="s">
        <v>34</v>
      </c>
      <c r="IE7" s="9" t="s">
        <v>35</v>
      </c>
      <c r="IG7" s="9" t="s">
        <v>20</v>
      </c>
      <c r="IH7" s="9" t="s">
        <v>21</v>
      </c>
      <c r="II7" s="9" t="s">
        <v>22</v>
      </c>
      <c r="IJ7" s="9" t="s">
        <v>23</v>
      </c>
      <c r="IK7" s="9" t="s">
        <v>24</v>
      </c>
      <c r="IL7" s="9" t="s">
        <v>25</v>
      </c>
      <c r="IM7" s="9" t="s">
        <v>26</v>
      </c>
      <c r="IN7" s="9" t="s">
        <v>27</v>
      </c>
      <c r="IO7" s="9" t="s">
        <v>28</v>
      </c>
      <c r="IP7" s="9" t="s">
        <v>29</v>
      </c>
      <c r="IQ7" s="9" t="s">
        <v>30</v>
      </c>
      <c r="IR7" s="9" t="s">
        <v>31</v>
      </c>
      <c r="IS7" s="9" t="s">
        <v>32</v>
      </c>
      <c r="IT7" s="9" t="s">
        <v>33</v>
      </c>
      <c r="IU7" s="9" t="s">
        <v>34</v>
      </c>
      <c r="IV7" s="9" t="s">
        <v>35</v>
      </c>
    </row>
    <row r="8" spans="1:256" s="16" customFormat="1" x14ac:dyDescent="0.25">
      <c r="A8" s="15" t="s">
        <v>63</v>
      </c>
      <c r="B8" s="53">
        <v>13</v>
      </c>
      <c r="C8" s="16">
        <v>4</v>
      </c>
      <c r="D8" s="16">
        <v>2</v>
      </c>
      <c r="E8" s="16">
        <v>1</v>
      </c>
      <c r="L8" s="16">
        <v>1</v>
      </c>
      <c r="Q8" s="16">
        <f t="shared" ref="Q8:Q26" si="0">(E8-(F8+G8+H8))+(F8*2)+(G8*3)+(H8*4)</f>
        <v>1</v>
      </c>
      <c r="R8" s="16">
        <f t="shared" ref="R8:R26" si="1">+C8+K8+M8+N8+O8+P8</f>
        <v>4</v>
      </c>
      <c r="S8" s="17"/>
      <c r="AH8" s="16">
        <f t="shared" ref="AH8:AH26" si="2">(V8-(W8+X8+Y8))+(W8*2)+(X8*3)+(Y8*4)</f>
        <v>0</v>
      </c>
      <c r="AI8" s="16">
        <f t="shared" ref="AI8:AI26" si="3">+T8+AB8+AD8+AE8+AF8+AG8</f>
        <v>0</v>
      </c>
      <c r="AJ8" s="18"/>
      <c r="AY8" s="16">
        <f t="shared" ref="AY8:AY26" si="4">(AM8-(AN8+AO8+AP8))+(AN8*2)+(AO8*3)+(AP8*4)</f>
        <v>0</v>
      </c>
      <c r="AZ8" s="16">
        <f t="shared" ref="AZ8:AZ26" si="5">+AK8+AS8+AU8+AV8+AW8+AX8</f>
        <v>0</v>
      </c>
      <c r="BA8" s="18"/>
      <c r="BP8" s="16">
        <f t="shared" ref="BP8:BP26" si="6">(BD8-(BE8+BF8+BG8))+(BE8*2)+(BF8*3)+(BG8*4)</f>
        <v>0</v>
      </c>
      <c r="BQ8" s="16">
        <f t="shared" ref="BQ8:BQ26" si="7">+BB8+BJ8+BL8+BM8+BN8+BO8</f>
        <v>0</v>
      </c>
      <c r="BR8" s="18"/>
      <c r="CG8" s="16">
        <f t="shared" ref="CG8:CG26" si="8">(BU8-(BV8+BW8+BX8))+(BV8*2)+(BW8*3)+(BX8*4)</f>
        <v>0</v>
      </c>
      <c r="CH8" s="16">
        <f t="shared" ref="CH8:CH26" si="9">+BS8+CA8+CC8+CD8+CE8+CF8</f>
        <v>0</v>
      </c>
      <c r="CI8" s="18"/>
      <c r="CX8" s="16">
        <f t="shared" ref="CX8:CX26" si="10">(CL8-(CM8+CN8+CO8))+(CM8*2)+(CN8*3)+(CO8*4)</f>
        <v>0</v>
      </c>
      <c r="CY8" s="16">
        <f t="shared" ref="CY8:CY26" si="11">+CJ8+CR8+CT8+CU8+CV8+CW8</f>
        <v>0</v>
      </c>
      <c r="CZ8" s="18"/>
      <c r="DO8" s="16">
        <f t="shared" ref="DO8:DO26" si="12">(DC8-(DD8+DE8+DF8))+(DD8*2)+(DE8*3)+(DF8*4)</f>
        <v>0</v>
      </c>
      <c r="DP8" s="16">
        <f t="shared" ref="DP8:DP26" si="13">+DA8+DI8+DK8+DL8+DM8+DN8</f>
        <v>0</v>
      </c>
      <c r="DQ8" s="18"/>
      <c r="EF8" s="16">
        <f t="shared" ref="EF8:EF26" si="14">(DT8-(DU8+DV8+DW8))+(DU8*2)+(DV8*3)+(DW8*4)</f>
        <v>0</v>
      </c>
      <c r="EG8" s="16">
        <f t="shared" ref="EG8:EG26" si="15">+DR8+DZ8+EB8+EC8+ED8+EE8</f>
        <v>0</v>
      </c>
      <c r="EH8" s="18"/>
      <c r="EW8" s="16">
        <f t="shared" ref="EW8:EW26" si="16">(EK8-(EL8+EM8+EN8))+(EL8*2)+(EM8*3)+(EN8*4)</f>
        <v>0</v>
      </c>
      <c r="EX8" s="16">
        <f t="shared" ref="EX8:EX26" si="17">+EI8+EQ8+ES8+ET8+EU8+EV8</f>
        <v>0</v>
      </c>
      <c r="EY8" s="18"/>
      <c r="FN8" s="16">
        <f t="shared" ref="FN8:FN26" si="18">(FB8-(FC8+FD8+FE8))+(FC8*2)+(FD8*3)+(FE8*4)</f>
        <v>0</v>
      </c>
      <c r="FO8" s="16">
        <f t="shared" ref="FO8:FO26" si="19">+EZ8+FH8+FJ8+FK8+FL8+FM8</f>
        <v>0</v>
      </c>
      <c r="FP8" s="18"/>
      <c r="GE8" s="16">
        <f t="shared" ref="GE8:GE26" si="20">(FS8-(FT8+FU8+FV8))+(FT8*2)+(FU8*3)+(FV8*4)</f>
        <v>0</v>
      </c>
      <c r="GF8" s="16">
        <f t="shared" ref="GF8:GF26" si="21">+FQ8+FY8+GA8+GB8+GC8+GD8</f>
        <v>0</v>
      </c>
      <c r="GG8" s="18"/>
      <c r="GV8" s="16">
        <f t="shared" ref="GV8:GV26" si="22">(GJ8-(GK8+GL8+GM8))+(GK8*2)+(GL8*3)+(GM8*4)</f>
        <v>0</v>
      </c>
      <c r="GW8" s="16">
        <f t="shared" ref="GW8:GW26" si="23">+GH8+GP8+GR8+GS8+GT8+GU8</f>
        <v>0</v>
      </c>
      <c r="GX8" s="18"/>
      <c r="HM8" s="16">
        <f t="shared" ref="HM8:HM26" si="24">(HA8-(HB8+HC8+HD8))+(HB8*2)+(HC8*3)+(HD8*4)</f>
        <v>0</v>
      </c>
      <c r="HN8" s="16">
        <f t="shared" ref="HN8:HN26" si="25">+GY8+HG8+HI8+HJ8+HK8+HL8</f>
        <v>0</v>
      </c>
      <c r="HO8" s="18"/>
      <c r="ID8" s="16">
        <f t="shared" ref="ID8:ID26" si="26">(HR8-(HS8+HT8+HU8))+(HS8*2)+(HT8*3)+(HU8*4)</f>
        <v>0</v>
      </c>
      <c r="IE8" s="16">
        <f t="shared" ref="IE8:IE26" si="27">+HP8+HX8+HZ8+IA8+IB8+IC8</f>
        <v>0</v>
      </c>
      <c r="IF8" s="18"/>
      <c r="IU8" s="16">
        <f t="shared" ref="IU8:IU26" si="28">(II8-(IJ8+IK8+IL8))+(IJ8*2)+(IK8*3)+(IL8*4)</f>
        <v>0</v>
      </c>
      <c r="IV8" s="16">
        <f t="shared" ref="IV8:IV26" si="29">+IG8+IO8+IQ8+IR8+IS8+IT8</f>
        <v>0</v>
      </c>
    </row>
    <row r="9" spans="1:256" s="16" customFormat="1" x14ac:dyDescent="0.25">
      <c r="A9" s="15" t="s">
        <v>37</v>
      </c>
      <c r="B9" s="31">
        <v>28</v>
      </c>
      <c r="C9" s="16">
        <v>3</v>
      </c>
      <c r="D9" s="16">
        <v>1</v>
      </c>
      <c r="E9" s="16">
        <v>1</v>
      </c>
      <c r="F9" s="16">
        <v>1</v>
      </c>
      <c r="K9" s="16">
        <v>1</v>
      </c>
      <c r="Q9" s="16">
        <f t="shared" si="0"/>
        <v>2</v>
      </c>
      <c r="R9" s="16">
        <f t="shared" si="1"/>
        <v>4</v>
      </c>
      <c r="S9" s="17"/>
      <c r="AH9" s="16">
        <f t="shared" si="2"/>
        <v>0</v>
      </c>
      <c r="AI9" s="16">
        <f t="shared" si="3"/>
        <v>0</v>
      </c>
      <c r="AJ9" s="18"/>
      <c r="AY9" s="16">
        <f t="shared" si="4"/>
        <v>0</v>
      </c>
      <c r="AZ9" s="16">
        <f t="shared" si="5"/>
        <v>0</v>
      </c>
      <c r="BA9" s="18"/>
      <c r="BP9" s="16">
        <f t="shared" si="6"/>
        <v>0</v>
      </c>
      <c r="BQ9" s="16">
        <f t="shared" si="7"/>
        <v>0</v>
      </c>
      <c r="BR9" s="18"/>
      <c r="CG9" s="16">
        <f t="shared" si="8"/>
        <v>0</v>
      </c>
      <c r="CH9" s="16">
        <f t="shared" si="9"/>
        <v>0</v>
      </c>
      <c r="CI9" s="18"/>
      <c r="CX9" s="16">
        <f t="shared" si="10"/>
        <v>0</v>
      </c>
      <c r="CY9" s="16">
        <f t="shared" si="11"/>
        <v>0</v>
      </c>
      <c r="CZ9" s="18"/>
      <c r="DO9" s="16">
        <f t="shared" si="12"/>
        <v>0</v>
      </c>
      <c r="DP9" s="16">
        <f t="shared" si="13"/>
        <v>0</v>
      </c>
      <c r="DQ9" s="18"/>
      <c r="EF9" s="16">
        <f t="shared" si="14"/>
        <v>0</v>
      </c>
      <c r="EG9" s="16">
        <f t="shared" si="15"/>
        <v>0</v>
      </c>
      <c r="EH9" s="18"/>
      <c r="EW9" s="16">
        <f t="shared" si="16"/>
        <v>0</v>
      </c>
      <c r="EX9" s="16">
        <f t="shared" si="17"/>
        <v>0</v>
      </c>
      <c r="EY9" s="18"/>
      <c r="FN9" s="16">
        <f t="shared" si="18"/>
        <v>0</v>
      </c>
      <c r="FO9" s="16">
        <f t="shared" si="19"/>
        <v>0</v>
      </c>
      <c r="FP9" s="18"/>
      <c r="GE9" s="16">
        <f t="shared" si="20"/>
        <v>0</v>
      </c>
      <c r="GF9" s="16">
        <f t="shared" si="21"/>
        <v>0</v>
      </c>
      <c r="GG9" s="18"/>
      <c r="GV9" s="16">
        <f t="shared" si="22"/>
        <v>0</v>
      </c>
      <c r="GW9" s="16">
        <f t="shared" si="23"/>
        <v>0</v>
      </c>
      <c r="GX9" s="18"/>
      <c r="HM9" s="16">
        <f t="shared" si="24"/>
        <v>0</v>
      </c>
      <c r="HN9" s="16">
        <f t="shared" si="25"/>
        <v>0</v>
      </c>
      <c r="HO9" s="18"/>
      <c r="ID9" s="16">
        <f t="shared" si="26"/>
        <v>0</v>
      </c>
      <c r="IE9" s="16">
        <f t="shared" si="27"/>
        <v>0</v>
      </c>
      <c r="IF9" s="18"/>
      <c r="IU9" s="16">
        <f t="shared" si="28"/>
        <v>0</v>
      </c>
      <c r="IV9" s="16">
        <f t="shared" si="29"/>
        <v>0</v>
      </c>
    </row>
    <row r="10" spans="1:256" s="16" customFormat="1" x14ac:dyDescent="0.25">
      <c r="A10" s="15" t="s">
        <v>38</v>
      </c>
      <c r="B10" s="53"/>
      <c r="C10" s="16">
        <v>4</v>
      </c>
      <c r="E10" s="16">
        <v>1</v>
      </c>
      <c r="Q10" s="16">
        <f t="shared" si="0"/>
        <v>1</v>
      </c>
      <c r="R10" s="16">
        <f t="shared" si="1"/>
        <v>4</v>
      </c>
      <c r="S10" s="17"/>
      <c r="AH10" s="16">
        <f t="shared" si="2"/>
        <v>0</v>
      </c>
      <c r="AI10" s="16">
        <f t="shared" si="3"/>
        <v>0</v>
      </c>
      <c r="AJ10" s="18"/>
      <c r="AY10" s="16">
        <f t="shared" si="4"/>
        <v>0</v>
      </c>
      <c r="AZ10" s="16">
        <f t="shared" si="5"/>
        <v>0</v>
      </c>
      <c r="BA10" s="18"/>
      <c r="BP10" s="16">
        <f t="shared" si="6"/>
        <v>0</v>
      </c>
      <c r="BQ10" s="16">
        <f t="shared" si="7"/>
        <v>0</v>
      </c>
      <c r="BR10" s="18"/>
      <c r="CG10" s="16">
        <f t="shared" si="8"/>
        <v>0</v>
      </c>
      <c r="CH10" s="16">
        <f t="shared" si="9"/>
        <v>0</v>
      </c>
      <c r="CI10" s="18"/>
      <c r="CX10" s="16">
        <f t="shared" si="10"/>
        <v>0</v>
      </c>
      <c r="CY10" s="16">
        <f t="shared" si="11"/>
        <v>0</v>
      </c>
      <c r="CZ10" s="18"/>
      <c r="DO10" s="16">
        <f t="shared" si="12"/>
        <v>0</v>
      </c>
      <c r="DP10" s="16">
        <f t="shared" si="13"/>
        <v>0</v>
      </c>
      <c r="DQ10" s="18"/>
      <c r="EF10" s="16">
        <f t="shared" si="14"/>
        <v>0</v>
      </c>
      <c r="EG10" s="16">
        <f t="shared" si="15"/>
        <v>0</v>
      </c>
      <c r="EH10" s="18"/>
      <c r="EW10" s="16">
        <f t="shared" si="16"/>
        <v>0</v>
      </c>
      <c r="EX10" s="16">
        <f t="shared" si="17"/>
        <v>0</v>
      </c>
      <c r="EY10" s="18"/>
      <c r="FN10" s="16">
        <f t="shared" si="18"/>
        <v>0</v>
      </c>
      <c r="FO10" s="16">
        <f t="shared" si="19"/>
        <v>0</v>
      </c>
      <c r="FP10" s="18"/>
      <c r="GE10" s="16">
        <f t="shared" si="20"/>
        <v>0</v>
      </c>
      <c r="GF10" s="16">
        <f t="shared" si="21"/>
        <v>0</v>
      </c>
      <c r="GG10" s="18"/>
      <c r="GV10" s="16">
        <f t="shared" si="22"/>
        <v>0</v>
      </c>
      <c r="GW10" s="16">
        <f t="shared" si="23"/>
        <v>0</v>
      </c>
      <c r="GX10" s="18"/>
      <c r="HM10" s="16">
        <f t="shared" si="24"/>
        <v>0</v>
      </c>
      <c r="HN10" s="16">
        <f t="shared" si="25"/>
        <v>0</v>
      </c>
      <c r="HO10" s="18"/>
      <c r="ID10" s="16">
        <f t="shared" si="26"/>
        <v>0</v>
      </c>
      <c r="IE10" s="16">
        <f t="shared" si="27"/>
        <v>0</v>
      </c>
      <c r="IF10" s="18"/>
      <c r="IU10" s="16">
        <f t="shared" si="28"/>
        <v>0</v>
      </c>
      <c r="IV10" s="16">
        <f t="shared" si="29"/>
        <v>0</v>
      </c>
    </row>
    <row r="11" spans="1:256" s="16" customFormat="1" x14ac:dyDescent="0.25">
      <c r="A11" s="15" t="s">
        <v>39</v>
      </c>
      <c r="B11" s="15"/>
      <c r="D11" s="16">
        <v>1</v>
      </c>
      <c r="I11" s="16">
        <v>1</v>
      </c>
      <c r="K11" s="16">
        <v>3</v>
      </c>
      <c r="L11" s="16">
        <v>3</v>
      </c>
      <c r="Q11" s="16">
        <f t="shared" si="0"/>
        <v>0</v>
      </c>
      <c r="R11" s="16">
        <f t="shared" si="1"/>
        <v>3</v>
      </c>
      <c r="S11" s="17"/>
      <c r="AH11" s="16">
        <f t="shared" si="2"/>
        <v>0</v>
      </c>
      <c r="AI11" s="16">
        <f t="shared" si="3"/>
        <v>0</v>
      </c>
      <c r="AJ11" s="18"/>
      <c r="AY11" s="16">
        <f t="shared" si="4"/>
        <v>0</v>
      </c>
      <c r="AZ11" s="16">
        <f t="shared" si="5"/>
        <v>0</v>
      </c>
      <c r="BA11" s="18"/>
      <c r="BP11" s="16">
        <f t="shared" si="6"/>
        <v>0</v>
      </c>
      <c r="BQ11" s="16">
        <f t="shared" si="7"/>
        <v>0</v>
      </c>
      <c r="BR11" s="18"/>
      <c r="CG11" s="16">
        <f t="shared" si="8"/>
        <v>0</v>
      </c>
      <c r="CH11" s="16">
        <f t="shared" si="9"/>
        <v>0</v>
      </c>
      <c r="CI11" s="18"/>
      <c r="CX11" s="16">
        <f t="shared" si="10"/>
        <v>0</v>
      </c>
      <c r="CY11" s="16">
        <f t="shared" si="11"/>
        <v>0</v>
      </c>
      <c r="CZ11" s="18"/>
      <c r="DO11" s="16">
        <f t="shared" si="12"/>
        <v>0</v>
      </c>
      <c r="DP11" s="16">
        <f t="shared" si="13"/>
        <v>0</v>
      </c>
      <c r="DQ11" s="18"/>
      <c r="EF11" s="16">
        <f t="shared" si="14"/>
        <v>0</v>
      </c>
      <c r="EG11" s="16">
        <f t="shared" si="15"/>
        <v>0</v>
      </c>
      <c r="EH11" s="18"/>
      <c r="EW11" s="16">
        <f t="shared" si="16"/>
        <v>0</v>
      </c>
      <c r="EX11" s="16">
        <f t="shared" si="17"/>
        <v>0</v>
      </c>
      <c r="EY11" s="18"/>
      <c r="FN11" s="16">
        <f t="shared" si="18"/>
        <v>0</v>
      </c>
      <c r="FO11" s="16">
        <f t="shared" si="19"/>
        <v>0</v>
      </c>
      <c r="FP11" s="18"/>
      <c r="GE11" s="16">
        <f t="shared" si="20"/>
        <v>0</v>
      </c>
      <c r="GF11" s="16">
        <f t="shared" si="21"/>
        <v>0</v>
      </c>
      <c r="GG11" s="18"/>
      <c r="GV11" s="16">
        <f t="shared" si="22"/>
        <v>0</v>
      </c>
      <c r="GW11" s="16">
        <f t="shared" si="23"/>
        <v>0</v>
      </c>
      <c r="GX11" s="18"/>
      <c r="HM11" s="16">
        <f t="shared" si="24"/>
        <v>0</v>
      </c>
      <c r="HN11" s="16">
        <f t="shared" si="25"/>
        <v>0</v>
      </c>
      <c r="HO11" s="18"/>
      <c r="ID11" s="16">
        <f t="shared" si="26"/>
        <v>0</v>
      </c>
      <c r="IE11" s="16">
        <f t="shared" si="27"/>
        <v>0</v>
      </c>
      <c r="IF11" s="18"/>
      <c r="IU11" s="16">
        <f t="shared" si="28"/>
        <v>0</v>
      </c>
      <c r="IV11" s="16">
        <f t="shared" si="29"/>
        <v>0</v>
      </c>
    </row>
    <row r="12" spans="1:256" s="16" customFormat="1" x14ac:dyDescent="0.25">
      <c r="A12" s="15" t="s">
        <v>40</v>
      </c>
      <c r="B12" s="15"/>
      <c r="C12" s="16">
        <v>1</v>
      </c>
      <c r="Q12" s="16">
        <f t="shared" si="0"/>
        <v>0</v>
      </c>
      <c r="R12" s="16">
        <f t="shared" si="1"/>
        <v>1</v>
      </c>
      <c r="S12" s="17"/>
      <c r="AH12" s="16">
        <f t="shared" si="2"/>
        <v>0</v>
      </c>
      <c r="AI12" s="16">
        <f t="shared" si="3"/>
        <v>0</v>
      </c>
      <c r="AJ12" s="18"/>
      <c r="AY12" s="16">
        <f t="shared" si="4"/>
        <v>0</v>
      </c>
      <c r="AZ12" s="16">
        <f t="shared" si="5"/>
        <v>0</v>
      </c>
      <c r="BA12" s="18"/>
      <c r="BP12" s="16">
        <f t="shared" si="6"/>
        <v>0</v>
      </c>
      <c r="BQ12" s="16">
        <f t="shared" si="7"/>
        <v>0</v>
      </c>
      <c r="BR12" s="18"/>
      <c r="CG12" s="16">
        <f t="shared" si="8"/>
        <v>0</v>
      </c>
      <c r="CH12" s="16">
        <f t="shared" si="9"/>
        <v>0</v>
      </c>
      <c r="CI12" s="18"/>
      <c r="CX12" s="16">
        <f t="shared" si="10"/>
        <v>0</v>
      </c>
      <c r="CY12" s="16">
        <f t="shared" si="11"/>
        <v>0</v>
      </c>
      <c r="CZ12" s="18"/>
      <c r="DO12" s="16">
        <f t="shared" si="12"/>
        <v>0</v>
      </c>
      <c r="DP12" s="16">
        <f t="shared" si="13"/>
        <v>0</v>
      </c>
      <c r="DQ12" s="18"/>
      <c r="EF12" s="16">
        <f t="shared" si="14"/>
        <v>0</v>
      </c>
      <c r="EG12" s="16">
        <f t="shared" si="15"/>
        <v>0</v>
      </c>
      <c r="EH12" s="18"/>
      <c r="EW12" s="16">
        <f t="shared" si="16"/>
        <v>0</v>
      </c>
      <c r="EX12" s="16">
        <f t="shared" si="17"/>
        <v>0</v>
      </c>
      <c r="EY12" s="18"/>
      <c r="FN12" s="16">
        <f t="shared" si="18"/>
        <v>0</v>
      </c>
      <c r="FO12" s="16">
        <f t="shared" si="19"/>
        <v>0</v>
      </c>
      <c r="FP12" s="18"/>
      <c r="GE12" s="16">
        <f t="shared" si="20"/>
        <v>0</v>
      </c>
      <c r="GF12" s="16">
        <f t="shared" si="21"/>
        <v>0</v>
      </c>
      <c r="GG12" s="18"/>
      <c r="GV12" s="16">
        <f t="shared" si="22"/>
        <v>0</v>
      </c>
      <c r="GW12" s="16">
        <f t="shared" si="23"/>
        <v>0</v>
      </c>
      <c r="GX12" s="18"/>
      <c r="HM12" s="16">
        <f t="shared" si="24"/>
        <v>0</v>
      </c>
      <c r="HN12" s="16">
        <f t="shared" si="25"/>
        <v>0</v>
      </c>
      <c r="HO12" s="18"/>
      <c r="ID12" s="16">
        <f t="shared" si="26"/>
        <v>0</v>
      </c>
      <c r="IE12" s="16">
        <f t="shared" si="27"/>
        <v>0</v>
      </c>
      <c r="IF12" s="18"/>
      <c r="IU12" s="16">
        <f t="shared" si="28"/>
        <v>0</v>
      </c>
      <c r="IV12" s="16">
        <f t="shared" si="29"/>
        <v>0</v>
      </c>
    </row>
    <row r="13" spans="1:256" s="16" customFormat="1" x14ac:dyDescent="0.25">
      <c r="A13" s="15" t="s">
        <v>41</v>
      </c>
      <c r="B13" s="15"/>
      <c r="C13" s="16">
        <v>2</v>
      </c>
      <c r="J13" s="16">
        <v>1</v>
      </c>
      <c r="Q13" s="16">
        <f t="shared" si="0"/>
        <v>0</v>
      </c>
      <c r="R13" s="16">
        <f t="shared" si="1"/>
        <v>2</v>
      </c>
      <c r="S13" s="17"/>
      <c r="AH13" s="16">
        <f t="shared" si="2"/>
        <v>0</v>
      </c>
      <c r="AI13" s="16">
        <f t="shared" si="3"/>
        <v>0</v>
      </c>
      <c r="AJ13" s="18"/>
      <c r="AY13" s="16">
        <f t="shared" si="4"/>
        <v>0</v>
      </c>
      <c r="AZ13" s="16">
        <f t="shared" si="5"/>
        <v>0</v>
      </c>
      <c r="BA13" s="18"/>
      <c r="BP13" s="16">
        <f t="shared" si="6"/>
        <v>0</v>
      </c>
      <c r="BQ13" s="16">
        <f t="shared" si="7"/>
        <v>0</v>
      </c>
      <c r="BR13" s="18"/>
      <c r="CG13" s="16">
        <f t="shared" si="8"/>
        <v>0</v>
      </c>
      <c r="CH13" s="16">
        <f t="shared" si="9"/>
        <v>0</v>
      </c>
      <c r="CI13" s="18"/>
      <c r="CX13" s="16">
        <f t="shared" si="10"/>
        <v>0</v>
      </c>
      <c r="CY13" s="16">
        <f t="shared" si="11"/>
        <v>0</v>
      </c>
      <c r="CZ13" s="18"/>
      <c r="DO13" s="16">
        <f t="shared" si="12"/>
        <v>0</v>
      </c>
      <c r="DP13" s="16">
        <f t="shared" si="13"/>
        <v>0</v>
      </c>
      <c r="DQ13" s="18"/>
      <c r="EF13" s="16">
        <f t="shared" si="14"/>
        <v>0</v>
      </c>
      <c r="EG13" s="16">
        <f t="shared" si="15"/>
        <v>0</v>
      </c>
      <c r="EH13" s="18"/>
      <c r="EW13" s="16">
        <f t="shared" si="16"/>
        <v>0</v>
      </c>
      <c r="EX13" s="16">
        <f t="shared" si="17"/>
        <v>0</v>
      </c>
      <c r="EY13" s="18"/>
      <c r="FN13" s="16">
        <f t="shared" si="18"/>
        <v>0</v>
      </c>
      <c r="FO13" s="16">
        <f t="shared" si="19"/>
        <v>0</v>
      </c>
      <c r="FP13" s="18"/>
      <c r="GE13" s="16">
        <f t="shared" si="20"/>
        <v>0</v>
      </c>
      <c r="GF13" s="16">
        <f t="shared" si="21"/>
        <v>0</v>
      </c>
      <c r="GG13" s="18"/>
      <c r="GV13" s="16">
        <f t="shared" si="22"/>
        <v>0</v>
      </c>
      <c r="GW13" s="16">
        <f t="shared" si="23"/>
        <v>0</v>
      </c>
      <c r="GX13" s="18"/>
      <c r="HM13" s="16">
        <f t="shared" si="24"/>
        <v>0</v>
      </c>
      <c r="HN13" s="16">
        <f t="shared" si="25"/>
        <v>0</v>
      </c>
      <c r="HO13" s="18"/>
      <c r="ID13" s="16">
        <f t="shared" si="26"/>
        <v>0</v>
      </c>
      <c r="IE13" s="16">
        <f t="shared" si="27"/>
        <v>0</v>
      </c>
      <c r="IF13" s="18"/>
      <c r="IU13" s="16">
        <f t="shared" si="28"/>
        <v>0</v>
      </c>
      <c r="IV13" s="16">
        <f t="shared" si="29"/>
        <v>0</v>
      </c>
    </row>
    <row r="14" spans="1:256" s="16" customFormat="1" x14ac:dyDescent="0.25">
      <c r="A14" s="15" t="s">
        <v>42</v>
      </c>
      <c r="B14" s="15"/>
      <c r="C14" s="16">
        <v>3</v>
      </c>
      <c r="D14" s="16">
        <v>2</v>
      </c>
      <c r="E14" s="16">
        <v>2</v>
      </c>
      <c r="I14" s="16">
        <v>1</v>
      </c>
      <c r="J14" s="16">
        <v>1</v>
      </c>
      <c r="L14" s="16">
        <v>1</v>
      </c>
      <c r="Q14" s="16">
        <f t="shared" si="0"/>
        <v>2</v>
      </c>
      <c r="R14" s="16">
        <f t="shared" si="1"/>
        <v>3</v>
      </c>
      <c r="S14" s="17"/>
      <c r="AH14" s="16">
        <f t="shared" si="2"/>
        <v>0</v>
      </c>
      <c r="AI14" s="16">
        <f t="shared" si="3"/>
        <v>0</v>
      </c>
      <c r="AJ14" s="18"/>
      <c r="AY14" s="16">
        <f t="shared" si="4"/>
        <v>0</v>
      </c>
      <c r="AZ14" s="16">
        <f t="shared" si="5"/>
        <v>0</v>
      </c>
      <c r="BA14" s="18"/>
      <c r="BP14" s="16">
        <f t="shared" si="6"/>
        <v>0</v>
      </c>
      <c r="BQ14" s="16">
        <f t="shared" si="7"/>
        <v>0</v>
      </c>
      <c r="BR14" s="18"/>
      <c r="CG14" s="16">
        <f t="shared" si="8"/>
        <v>0</v>
      </c>
      <c r="CH14" s="16">
        <f t="shared" si="9"/>
        <v>0</v>
      </c>
      <c r="CI14" s="18"/>
      <c r="CX14" s="16">
        <f t="shared" si="10"/>
        <v>0</v>
      </c>
      <c r="CY14" s="16">
        <f t="shared" si="11"/>
        <v>0</v>
      </c>
      <c r="CZ14" s="18"/>
      <c r="DO14" s="16">
        <f t="shared" si="12"/>
        <v>0</v>
      </c>
      <c r="DP14" s="16">
        <f t="shared" si="13"/>
        <v>0</v>
      </c>
      <c r="DQ14" s="18"/>
      <c r="EF14" s="16">
        <f t="shared" si="14"/>
        <v>0</v>
      </c>
      <c r="EG14" s="16">
        <f t="shared" si="15"/>
        <v>0</v>
      </c>
      <c r="EH14" s="18"/>
      <c r="EW14" s="16">
        <f t="shared" si="16"/>
        <v>0</v>
      </c>
      <c r="EX14" s="16">
        <f t="shared" si="17"/>
        <v>0</v>
      </c>
      <c r="EY14" s="18"/>
      <c r="FN14" s="16">
        <f t="shared" si="18"/>
        <v>0</v>
      </c>
      <c r="FO14" s="16">
        <f t="shared" si="19"/>
        <v>0</v>
      </c>
      <c r="FP14" s="18"/>
      <c r="GE14" s="16">
        <f t="shared" si="20"/>
        <v>0</v>
      </c>
      <c r="GF14" s="16">
        <f t="shared" si="21"/>
        <v>0</v>
      </c>
      <c r="GG14" s="18"/>
      <c r="GV14" s="16">
        <f t="shared" si="22"/>
        <v>0</v>
      </c>
      <c r="GW14" s="16">
        <f t="shared" si="23"/>
        <v>0</v>
      </c>
      <c r="GX14" s="18"/>
      <c r="HM14" s="16">
        <f t="shared" si="24"/>
        <v>0</v>
      </c>
      <c r="HN14" s="16">
        <f t="shared" si="25"/>
        <v>0</v>
      </c>
      <c r="HO14" s="18"/>
      <c r="ID14" s="16">
        <f t="shared" si="26"/>
        <v>0</v>
      </c>
      <c r="IE14" s="16">
        <f t="shared" si="27"/>
        <v>0</v>
      </c>
      <c r="IF14" s="18"/>
      <c r="IU14" s="16">
        <f t="shared" si="28"/>
        <v>0</v>
      </c>
      <c r="IV14" s="16">
        <f t="shared" si="29"/>
        <v>0</v>
      </c>
    </row>
    <row r="15" spans="1:256" s="16" customFormat="1" x14ac:dyDescent="0.25">
      <c r="A15" s="15" t="s">
        <v>43</v>
      </c>
      <c r="B15" s="15"/>
      <c r="C15" s="16">
        <v>3</v>
      </c>
      <c r="D15" s="16">
        <v>1</v>
      </c>
      <c r="E15" s="16">
        <v>2</v>
      </c>
      <c r="G15" s="16">
        <v>1</v>
      </c>
      <c r="Q15" s="16">
        <f t="shared" si="0"/>
        <v>4</v>
      </c>
      <c r="R15" s="16">
        <f t="shared" si="1"/>
        <v>3</v>
      </c>
      <c r="S15" s="17"/>
      <c r="AH15" s="16">
        <f t="shared" si="2"/>
        <v>0</v>
      </c>
      <c r="AI15" s="16">
        <f t="shared" si="3"/>
        <v>0</v>
      </c>
      <c r="AJ15" s="18"/>
      <c r="AY15" s="16">
        <f t="shared" si="4"/>
        <v>0</v>
      </c>
      <c r="AZ15" s="16">
        <f t="shared" si="5"/>
        <v>0</v>
      </c>
      <c r="BA15" s="18"/>
      <c r="BP15" s="16">
        <f t="shared" si="6"/>
        <v>0</v>
      </c>
      <c r="BQ15" s="16">
        <f t="shared" si="7"/>
        <v>0</v>
      </c>
      <c r="BR15" s="18"/>
      <c r="CG15" s="16">
        <f t="shared" si="8"/>
        <v>0</v>
      </c>
      <c r="CH15" s="16">
        <f t="shared" si="9"/>
        <v>0</v>
      </c>
      <c r="CI15" s="18"/>
      <c r="CX15" s="16">
        <f t="shared" si="10"/>
        <v>0</v>
      </c>
      <c r="CY15" s="16">
        <f t="shared" si="11"/>
        <v>0</v>
      </c>
      <c r="CZ15" s="18"/>
      <c r="DO15" s="16">
        <f t="shared" si="12"/>
        <v>0</v>
      </c>
      <c r="DP15" s="16">
        <f t="shared" si="13"/>
        <v>0</v>
      </c>
      <c r="DQ15" s="18"/>
      <c r="EF15" s="16">
        <f t="shared" si="14"/>
        <v>0</v>
      </c>
      <c r="EG15" s="16">
        <f t="shared" si="15"/>
        <v>0</v>
      </c>
      <c r="EH15" s="18"/>
      <c r="EW15" s="16">
        <f t="shared" si="16"/>
        <v>0</v>
      </c>
      <c r="EX15" s="16">
        <f t="shared" si="17"/>
        <v>0</v>
      </c>
      <c r="EY15" s="18"/>
      <c r="FN15" s="16">
        <f t="shared" si="18"/>
        <v>0</v>
      </c>
      <c r="FO15" s="16">
        <f t="shared" si="19"/>
        <v>0</v>
      </c>
      <c r="FP15" s="18"/>
      <c r="GE15" s="16">
        <f t="shared" si="20"/>
        <v>0</v>
      </c>
      <c r="GF15" s="16">
        <f t="shared" si="21"/>
        <v>0</v>
      </c>
      <c r="GG15" s="18"/>
      <c r="GV15" s="16">
        <f t="shared" si="22"/>
        <v>0</v>
      </c>
      <c r="GW15" s="16">
        <f t="shared" si="23"/>
        <v>0</v>
      </c>
      <c r="GX15" s="18"/>
      <c r="HM15" s="16">
        <f t="shared" si="24"/>
        <v>0</v>
      </c>
      <c r="HN15" s="16">
        <f t="shared" si="25"/>
        <v>0</v>
      </c>
      <c r="HO15" s="18"/>
      <c r="ID15" s="16">
        <f t="shared" si="26"/>
        <v>0</v>
      </c>
      <c r="IE15" s="16">
        <f t="shared" si="27"/>
        <v>0</v>
      </c>
      <c r="IF15" s="18"/>
      <c r="IU15" s="16">
        <f t="shared" si="28"/>
        <v>0</v>
      </c>
      <c r="IV15" s="16">
        <f t="shared" si="29"/>
        <v>0</v>
      </c>
    </row>
    <row r="16" spans="1:256" s="16" customFormat="1" x14ac:dyDescent="0.25">
      <c r="A16" s="15" t="s">
        <v>44</v>
      </c>
      <c r="B16" s="15"/>
      <c r="C16" s="16">
        <v>3</v>
      </c>
      <c r="D16" s="16">
        <v>2</v>
      </c>
      <c r="E16" s="16">
        <v>2</v>
      </c>
      <c r="F16" s="16">
        <v>1</v>
      </c>
      <c r="I16" s="16">
        <v>2</v>
      </c>
      <c r="J16" s="16">
        <v>1</v>
      </c>
      <c r="L16" s="16">
        <v>3</v>
      </c>
      <c r="Q16" s="16">
        <f t="shared" si="0"/>
        <v>3</v>
      </c>
      <c r="R16" s="16">
        <f t="shared" si="1"/>
        <v>3</v>
      </c>
      <c r="S16" s="17"/>
      <c r="AH16" s="16">
        <f t="shared" si="2"/>
        <v>0</v>
      </c>
      <c r="AI16" s="16">
        <f t="shared" si="3"/>
        <v>0</v>
      </c>
      <c r="AJ16" s="18"/>
      <c r="AY16" s="16">
        <f t="shared" si="4"/>
        <v>0</v>
      </c>
      <c r="AZ16" s="16">
        <f t="shared" si="5"/>
        <v>0</v>
      </c>
      <c r="BA16" s="18"/>
      <c r="BP16" s="16">
        <f t="shared" si="6"/>
        <v>0</v>
      </c>
      <c r="BQ16" s="16">
        <f t="shared" si="7"/>
        <v>0</v>
      </c>
      <c r="BR16" s="18"/>
      <c r="CG16" s="16">
        <f t="shared" si="8"/>
        <v>0</v>
      </c>
      <c r="CH16" s="16">
        <f t="shared" si="9"/>
        <v>0</v>
      </c>
      <c r="CI16" s="18"/>
      <c r="CX16" s="16">
        <f t="shared" si="10"/>
        <v>0</v>
      </c>
      <c r="CY16" s="16">
        <f t="shared" si="11"/>
        <v>0</v>
      </c>
      <c r="CZ16" s="18"/>
      <c r="DO16" s="16">
        <f t="shared" si="12"/>
        <v>0</v>
      </c>
      <c r="DP16" s="16">
        <f t="shared" si="13"/>
        <v>0</v>
      </c>
      <c r="DQ16" s="18"/>
      <c r="EF16" s="16">
        <f t="shared" si="14"/>
        <v>0</v>
      </c>
      <c r="EG16" s="16">
        <f t="shared" si="15"/>
        <v>0</v>
      </c>
      <c r="EH16" s="18"/>
      <c r="EW16" s="16">
        <f t="shared" si="16"/>
        <v>0</v>
      </c>
      <c r="EX16" s="16">
        <f t="shared" si="17"/>
        <v>0</v>
      </c>
      <c r="EY16" s="18"/>
      <c r="FN16" s="16">
        <f t="shared" si="18"/>
        <v>0</v>
      </c>
      <c r="FO16" s="16">
        <f t="shared" si="19"/>
        <v>0</v>
      </c>
      <c r="FP16" s="18"/>
      <c r="GE16" s="16">
        <f t="shared" si="20"/>
        <v>0</v>
      </c>
      <c r="GF16" s="16">
        <f t="shared" si="21"/>
        <v>0</v>
      </c>
      <c r="GG16" s="18"/>
      <c r="GV16" s="16">
        <f t="shared" si="22"/>
        <v>0</v>
      </c>
      <c r="GW16" s="16">
        <f t="shared" si="23"/>
        <v>0</v>
      </c>
      <c r="GX16" s="18"/>
      <c r="HM16" s="16">
        <f t="shared" si="24"/>
        <v>0</v>
      </c>
      <c r="HN16" s="16">
        <f t="shared" si="25"/>
        <v>0</v>
      </c>
      <c r="HO16" s="18"/>
      <c r="ID16" s="16">
        <f t="shared" si="26"/>
        <v>0</v>
      </c>
      <c r="IE16" s="16">
        <f t="shared" si="27"/>
        <v>0</v>
      </c>
      <c r="IF16" s="18"/>
      <c r="IU16" s="16">
        <f t="shared" si="28"/>
        <v>0</v>
      </c>
      <c r="IV16" s="16">
        <f t="shared" si="29"/>
        <v>0</v>
      </c>
    </row>
    <row r="17" spans="1:256" s="16" customFormat="1" x14ac:dyDescent="0.25">
      <c r="A17" s="19" t="s">
        <v>45</v>
      </c>
      <c r="B17" s="19"/>
      <c r="C17" s="16">
        <v>2</v>
      </c>
      <c r="D17" s="16">
        <v>1</v>
      </c>
      <c r="J17" s="16">
        <v>1</v>
      </c>
      <c r="K17" s="16">
        <v>1</v>
      </c>
      <c r="L17" s="16">
        <v>1</v>
      </c>
      <c r="Q17" s="16">
        <f t="shared" si="0"/>
        <v>0</v>
      </c>
      <c r="R17" s="16">
        <f t="shared" si="1"/>
        <v>3</v>
      </c>
      <c r="S17" s="17"/>
      <c r="AH17" s="16">
        <f t="shared" si="2"/>
        <v>0</v>
      </c>
      <c r="AI17" s="16">
        <f t="shared" si="3"/>
        <v>0</v>
      </c>
      <c r="AJ17" s="18"/>
      <c r="AY17" s="16">
        <f t="shared" si="4"/>
        <v>0</v>
      </c>
      <c r="AZ17" s="16">
        <f t="shared" si="5"/>
        <v>0</v>
      </c>
      <c r="BA17" s="18"/>
      <c r="BP17" s="16">
        <f t="shared" si="6"/>
        <v>0</v>
      </c>
      <c r="BQ17" s="16">
        <f t="shared" si="7"/>
        <v>0</v>
      </c>
      <c r="BR17" s="18"/>
      <c r="CG17" s="16">
        <f t="shared" si="8"/>
        <v>0</v>
      </c>
      <c r="CH17" s="16">
        <f t="shared" si="9"/>
        <v>0</v>
      </c>
      <c r="CI17" s="18"/>
      <c r="CX17" s="16">
        <f t="shared" si="10"/>
        <v>0</v>
      </c>
      <c r="CY17" s="16">
        <f t="shared" si="11"/>
        <v>0</v>
      </c>
      <c r="CZ17" s="18"/>
      <c r="DO17" s="16">
        <f t="shared" si="12"/>
        <v>0</v>
      </c>
      <c r="DP17" s="16">
        <f t="shared" si="13"/>
        <v>0</v>
      </c>
      <c r="DQ17" s="18"/>
      <c r="EF17" s="16">
        <f t="shared" si="14"/>
        <v>0</v>
      </c>
      <c r="EG17" s="16">
        <f t="shared" si="15"/>
        <v>0</v>
      </c>
      <c r="EH17" s="18"/>
      <c r="EW17" s="16">
        <f t="shared" si="16"/>
        <v>0</v>
      </c>
      <c r="EX17" s="16">
        <f t="shared" si="17"/>
        <v>0</v>
      </c>
      <c r="EY17" s="18"/>
      <c r="FN17" s="16">
        <f t="shared" si="18"/>
        <v>0</v>
      </c>
      <c r="FO17" s="16">
        <f t="shared" si="19"/>
        <v>0</v>
      </c>
      <c r="FP17" s="18"/>
      <c r="GE17" s="16">
        <f t="shared" si="20"/>
        <v>0</v>
      </c>
      <c r="GF17" s="16">
        <f t="shared" si="21"/>
        <v>0</v>
      </c>
      <c r="GG17" s="18"/>
      <c r="GV17" s="16">
        <f t="shared" si="22"/>
        <v>0</v>
      </c>
      <c r="GW17" s="16">
        <f t="shared" si="23"/>
        <v>0</v>
      </c>
      <c r="GX17" s="18"/>
      <c r="HM17" s="16">
        <f t="shared" si="24"/>
        <v>0</v>
      </c>
      <c r="HN17" s="16">
        <f t="shared" si="25"/>
        <v>0</v>
      </c>
      <c r="HO17" s="18"/>
      <c r="ID17" s="16">
        <f t="shared" si="26"/>
        <v>0</v>
      </c>
      <c r="IE17" s="16">
        <f t="shared" si="27"/>
        <v>0</v>
      </c>
      <c r="IF17" s="18"/>
      <c r="IU17" s="16">
        <f t="shared" si="28"/>
        <v>0</v>
      </c>
      <c r="IV17" s="16">
        <f t="shared" si="29"/>
        <v>0</v>
      </c>
    </row>
    <row r="18" spans="1:256" s="16" customFormat="1" x14ac:dyDescent="0.25">
      <c r="A18" s="19" t="s">
        <v>46</v>
      </c>
      <c r="B18" s="19"/>
      <c r="Q18" s="16">
        <f t="shared" si="0"/>
        <v>0</v>
      </c>
      <c r="R18" s="16">
        <f t="shared" si="1"/>
        <v>0</v>
      </c>
      <c r="S18" s="17"/>
      <c r="AH18" s="16">
        <f t="shared" si="2"/>
        <v>0</v>
      </c>
      <c r="AI18" s="16">
        <f t="shared" si="3"/>
        <v>0</v>
      </c>
      <c r="AJ18" s="18"/>
      <c r="AY18" s="16">
        <f t="shared" si="4"/>
        <v>0</v>
      </c>
      <c r="AZ18" s="16">
        <f t="shared" si="5"/>
        <v>0</v>
      </c>
      <c r="BA18" s="18"/>
      <c r="BP18" s="16">
        <f t="shared" si="6"/>
        <v>0</v>
      </c>
      <c r="BQ18" s="16">
        <f t="shared" si="7"/>
        <v>0</v>
      </c>
      <c r="BR18" s="18"/>
      <c r="CG18" s="16">
        <f t="shared" si="8"/>
        <v>0</v>
      </c>
      <c r="CH18" s="16">
        <f t="shared" si="9"/>
        <v>0</v>
      </c>
      <c r="CI18" s="18"/>
      <c r="CX18" s="16">
        <f t="shared" si="10"/>
        <v>0</v>
      </c>
      <c r="CY18" s="16">
        <f t="shared" si="11"/>
        <v>0</v>
      </c>
      <c r="CZ18" s="18"/>
      <c r="DO18" s="16">
        <f t="shared" si="12"/>
        <v>0</v>
      </c>
      <c r="DP18" s="16">
        <f t="shared" si="13"/>
        <v>0</v>
      </c>
      <c r="DQ18" s="18"/>
      <c r="EF18" s="16">
        <f t="shared" si="14"/>
        <v>0</v>
      </c>
      <c r="EG18" s="16">
        <f t="shared" si="15"/>
        <v>0</v>
      </c>
      <c r="EH18" s="18"/>
      <c r="EW18" s="16">
        <f t="shared" si="16"/>
        <v>0</v>
      </c>
      <c r="EX18" s="16">
        <f t="shared" si="17"/>
        <v>0</v>
      </c>
      <c r="EY18" s="18"/>
      <c r="FN18" s="16">
        <f t="shared" si="18"/>
        <v>0</v>
      </c>
      <c r="FO18" s="16">
        <f t="shared" si="19"/>
        <v>0</v>
      </c>
      <c r="FP18" s="18"/>
      <c r="GE18" s="16">
        <f t="shared" si="20"/>
        <v>0</v>
      </c>
      <c r="GF18" s="16">
        <f t="shared" si="21"/>
        <v>0</v>
      </c>
      <c r="GG18" s="18"/>
      <c r="GV18" s="16">
        <f t="shared" si="22"/>
        <v>0</v>
      </c>
      <c r="GW18" s="16">
        <f t="shared" si="23"/>
        <v>0</v>
      </c>
      <c r="GX18" s="18"/>
      <c r="HM18" s="16">
        <f t="shared" si="24"/>
        <v>0</v>
      </c>
      <c r="HN18" s="16">
        <f t="shared" si="25"/>
        <v>0</v>
      </c>
      <c r="HO18" s="18"/>
      <c r="ID18" s="16">
        <f t="shared" si="26"/>
        <v>0</v>
      </c>
      <c r="IE18" s="16">
        <f t="shared" si="27"/>
        <v>0</v>
      </c>
      <c r="IF18" s="18"/>
      <c r="IU18" s="16">
        <f t="shared" si="28"/>
        <v>0</v>
      </c>
      <c r="IV18" s="16">
        <f t="shared" si="29"/>
        <v>0</v>
      </c>
    </row>
    <row r="19" spans="1:256" s="16" customFormat="1" x14ac:dyDescent="0.25">
      <c r="A19" s="19" t="s">
        <v>47</v>
      </c>
      <c r="B19" s="19"/>
      <c r="Q19" s="16">
        <f t="shared" si="0"/>
        <v>0</v>
      </c>
      <c r="R19" s="16">
        <f t="shared" si="1"/>
        <v>0</v>
      </c>
      <c r="S19" s="17"/>
      <c r="AH19" s="16">
        <f t="shared" si="2"/>
        <v>0</v>
      </c>
      <c r="AI19" s="16">
        <f t="shared" si="3"/>
        <v>0</v>
      </c>
      <c r="AJ19" s="18"/>
      <c r="AY19" s="16">
        <f t="shared" si="4"/>
        <v>0</v>
      </c>
      <c r="AZ19" s="16">
        <f t="shared" si="5"/>
        <v>0</v>
      </c>
      <c r="BA19" s="18"/>
      <c r="BP19" s="16">
        <f t="shared" si="6"/>
        <v>0</v>
      </c>
      <c r="BQ19" s="16">
        <f t="shared" si="7"/>
        <v>0</v>
      </c>
      <c r="BR19" s="18"/>
      <c r="CG19" s="16">
        <f t="shared" si="8"/>
        <v>0</v>
      </c>
      <c r="CH19" s="16">
        <f t="shared" si="9"/>
        <v>0</v>
      </c>
      <c r="CI19" s="18"/>
      <c r="CX19" s="16">
        <f t="shared" si="10"/>
        <v>0</v>
      </c>
      <c r="CY19" s="16">
        <f t="shared" si="11"/>
        <v>0</v>
      </c>
      <c r="CZ19" s="18"/>
      <c r="DO19" s="16">
        <f t="shared" si="12"/>
        <v>0</v>
      </c>
      <c r="DP19" s="16">
        <f t="shared" si="13"/>
        <v>0</v>
      </c>
      <c r="DQ19" s="18"/>
      <c r="EF19" s="16">
        <f t="shared" si="14"/>
        <v>0</v>
      </c>
      <c r="EG19" s="16">
        <f t="shared" si="15"/>
        <v>0</v>
      </c>
      <c r="EH19" s="18"/>
      <c r="EW19" s="16">
        <f t="shared" si="16"/>
        <v>0</v>
      </c>
      <c r="EX19" s="16">
        <f t="shared" si="17"/>
        <v>0</v>
      </c>
      <c r="EY19" s="18"/>
      <c r="FN19" s="16">
        <f t="shared" si="18"/>
        <v>0</v>
      </c>
      <c r="FO19" s="16">
        <f t="shared" si="19"/>
        <v>0</v>
      </c>
      <c r="FP19" s="18"/>
      <c r="GE19" s="16">
        <f t="shared" si="20"/>
        <v>0</v>
      </c>
      <c r="GF19" s="16">
        <f t="shared" si="21"/>
        <v>0</v>
      </c>
      <c r="GG19" s="18"/>
      <c r="GV19" s="16">
        <f t="shared" si="22"/>
        <v>0</v>
      </c>
      <c r="GW19" s="16">
        <f t="shared" si="23"/>
        <v>0</v>
      </c>
      <c r="GX19" s="18"/>
      <c r="HM19" s="16">
        <f t="shared" si="24"/>
        <v>0</v>
      </c>
      <c r="HN19" s="16">
        <f t="shared" si="25"/>
        <v>0</v>
      </c>
      <c r="HO19" s="18"/>
      <c r="ID19" s="16">
        <f t="shared" si="26"/>
        <v>0</v>
      </c>
      <c r="IE19" s="16">
        <f t="shared" si="27"/>
        <v>0</v>
      </c>
      <c r="IF19" s="18"/>
      <c r="IU19" s="16">
        <f t="shared" si="28"/>
        <v>0</v>
      </c>
      <c r="IV19" s="16">
        <f t="shared" si="29"/>
        <v>0</v>
      </c>
    </row>
    <row r="20" spans="1:256" s="16" customFormat="1" x14ac:dyDescent="0.25">
      <c r="A20" s="14"/>
      <c r="B20" s="19"/>
      <c r="Q20" s="16">
        <f t="shared" si="0"/>
        <v>0</v>
      </c>
      <c r="R20" s="16">
        <f t="shared" si="1"/>
        <v>0</v>
      </c>
      <c r="S20" s="17"/>
      <c r="AH20" s="16">
        <f t="shared" si="2"/>
        <v>0</v>
      </c>
      <c r="AI20" s="16">
        <f t="shared" si="3"/>
        <v>0</v>
      </c>
      <c r="AJ20" s="18"/>
      <c r="AY20" s="16">
        <f t="shared" si="4"/>
        <v>0</v>
      </c>
      <c r="AZ20" s="16">
        <f t="shared" si="5"/>
        <v>0</v>
      </c>
      <c r="BA20" s="18"/>
      <c r="BP20" s="16">
        <f t="shared" si="6"/>
        <v>0</v>
      </c>
      <c r="BQ20" s="16">
        <f t="shared" si="7"/>
        <v>0</v>
      </c>
      <c r="BR20" s="18"/>
      <c r="CG20" s="16">
        <f t="shared" si="8"/>
        <v>0</v>
      </c>
      <c r="CH20" s="16">
        <f t="shared" si="9"/>
        <v>0</v>
      </c>
      <c r="CI20" s="18"/>
      <c r="CX20" s="16">
        <f t="shared" si="10"/>
        <v>0</v>
      </c>
      <c r="CY20" s="16">
        <f t="shared" si="11"/>
        <v>0</v>
      </c>
      <c r="CZ20" s="18"/>
      <c r="DO20" s="16">
        <f t="shared" si="12"/>
        <v>0</v>
      </c>
      <c r="DP20" s="16">
        <f t="shared" si="13"/>
        <v>0</v>
      </c>
      <c r="DQ20" s="18"/>
      <c r="EF20" s="16">
        <f t="shared" si="14"/>
        <v>0</v>
      </c>
      <c r="EG20" s="16">
        <f t="shared" si="15"/>
        <v>0</v>
      </c>
      <c r="EH20" s="18"/>
      <c r="EW20" s="16">
        <f t="shared" si="16"/>
        <v>0</v>
      </c>
      <c r="EX20" s="16">
        <f t="shared" si="17"/>
        <v>0</v>
      </c>
      <c r="EY20" s="18"/>
      <c r="FN20" s="16">
        <f t="shared" si="18"/>
        <v>0</v>
      </c>
      <c r="FO20" s="16">
        <f t="shared" si="19"/>
        <v>0</v>
      </c>
      <c r="FP20" s="18"/>
      <c r="GE20" s="16">
        <f t="shared" si="20"/>
        <v>0</v>
      </c>
      <c r="GF20" s="16">
        <f t="shared" si="21"/>
        <v>0</v>
      </c>
      <c r="GG20" s="18"/>
      <c r="GV20" s="16">
        <f t="shared" si="22"/>
        <v>0</v>
      </c>
      <c r="GW20" s="16">
        <f t="shared" si="23"/>
        <v>0</v>
      </c>
      <c r="GX20" s="18"/>
      <c r="HM20" s="16">
        <f t="shared" si="24"/>
        <v>0</v>
      </c>
      <c r="HN20" s="16">
        <f t="shared" si="25"/>
        <v>0</v>
      </c>
      <c r="HO20" s="18"/>
      <c r="ID20" s="16">
        <f t="shared" si="26"/>
        <v>0</v>
      </c>
      <c r="IE20" s="16">
        <f t="shared" si="27"/>
        <v>0</v>
      </c>
      <c r="IF20" s="18"/>
      <c r="IU20" s="16">
        <f t="shared" si="28"/>
        <v>0</v>
      </c>
      <c r="IV20" s="16">
        <f t="shared" si="29"/>
        <v>0</v>
      </c>
    </row>
    <row r="21" spans="1:256" s="16" customFormat="1" x14ac:dyDescent="0.25">
      <c r="A21" s="14"/>
      <c r="B21" s="19"/>
      <c r="Q21" s="16">
        <f t="shared" si="0"/>
        <v>0</v>
      </c>
      <c r="R21" s="16">
        <f t="shared" si="1"/>
        <v>0</v>
      </c>
      <c r="S21" s="17"/>
      <c r="AH21" s="16">
        <f t="shared" si="2"/>
        <v>0</v>
      </c>
      <c r="AI21" s="16">
        <f t="shared" si="3"/>
        <v>0</v>
      </c>
      <c r="AJ21" s="18"/>
      <c r="AY21" s="16">
        <f t="shared" si="4"/>
        <v>0</v>
      </c>
      <c r="AZ21" s="16">
        <f t="shared" si="5"/>
        <v>0</v>
      </c>
      <c r="BA21" s="18"/>
      <c r="BP21" s="16">
        <f t="shared" si="6"/>
        <v>0</v>
      </c>
      <c r="BQ21" s="16">
        <f t="shared" si="7"/>
        <v>0</v>
      </c>
      <c r="BR21" s="18"/>
      <c r="CG21" s="16">
        <f t="shared" si="8"/>
        <v>0</v>
      </c>
      <c r="CH21" s="16">
        <f t="shared" si="9"/>
        <v>0</v>
      </c>
      <c r="CI21" s="18"/>
      <c r="CX21" s="16">
        <f t="shared" si="10"/>
        <v>0</v>
      </c>
      <c r="CY21" s="16">
        <f t="shared" si="11"/>
        <v>0</v>
      </c>
      <c r="CZ21" s="18"/>
      <c r="DO21" s="16">
        <f t="shared" si="12"/>
        <v>0</v>
      </c>
      <c r="DP21" s="16">
        <f t="shared" si="13"/>
        <v>0</v>
      </c>
      <c r="DQ21" s="18"/>
      <c r="EF21" s="16">
        <f t="shared" si="14"/>
        <v>0</v>
      </c>
      <c r="EG21" s="16">
        <f t="shared" si="15"/>
        <v>0</v>
      </c>
      <c r="EH21" s="18"/>
      <c r="EW21" s="16">
        <f t="shared" si="16"/>
        <v>0</v>
      </c>
      <c r="EX21" s="16">
        <f t="shared" si="17"/>
        <v>0</v>
      </c>
      <c r="EY21" s="18"/>
      <c r="FN21" s="16">
        <f t="shared" si="18"/>
        <v>0</v>
      </c>
      <c r="FO21" s="16">
        <f t="shared" si="19"/>
        <v>0</v>
      </c>
      <c r="FP21" s="18"/>
      <c r="GE21" s="16">
        <f t="shared" si="20"/>
        <v>0</v>
      </c>
      <c r="GF21" s="16">
        <f t="shared" si="21"/>
        <v>0</v>
      </c>
      <c r="GG21" s="18"/>
      <c r="GV21" s="16">
        <f t="shared" si="22"/>
        <v>0</v>
      </c>
      <c r="GW21" s="16">
        <f t="shared" si="23"/>
        <v>0</v>
      </c>
      <c r="GX21" s="18"/>
      <c r="HM21" s="16">
        <f t="shared" si="24"/>
        <v>0</v>
      </c>
      <c r="HN21" s="16">
        <f t="shared" si="25"/>
        <v>0</v>
      </c>
      <c r="HO21" s="18"/>
      <c r="ID21" s="16">
        <f t="shared" si="26"/>
        <v>0</v>
      </c>
      <c r="IE21" s="16">
        <f t="shared" si="27"/>
        <v>0</v>
      </c>
      <c r="IF21" s="18"/>
      <c r="IU21" s="16">
        <f t="shared" si="28"/>
        <v>0</v>
      </c>
      <c r="IV21" s="16">
        <f t="shared" si="29"/>
        <v>0</v>
      </c>
    </row>
    <row r="22" spans="1:256" s="16" customFormat="1" x14ac:dyDescent="0.25">
      <c r="A22" s="14"/>
      <c r="B22" s="19"/>
      <c r="Q22" s="16">
        <f t="shared" si="0"/>
        <v>0</v>
      </c>
      <c r="R22" s="16">
        <f t="shared" si="1"/>
        <v>0</v>
      </c>
      <c r="S22" s="17"/>
      <c r="AH22" s="16">
        <f t="shared" si="2"/>
        <v>0</v>
      </c>
      <c r="AI22" s="16">
        <f t="shared" si="3"/>
        <v>0</v>
      </c>
      <c r="AJ22" s="18"/>
      <c r="AY22" s="16">
        <f t="shared" si="4"/>
        <v>0</v>
      </c>
      <c r="AZ22" s="16">
        <f t="shared" si="5"/>
        <v>0</v>
      </c>
      <c r="BA22" s="18"/>
      <c r="BP22" s="16">
        <f t="shared" si="6"/>
        <v>0</v>
      </c>
      <c r="BQ22" s="16">
        <f t="shared" si="7"/>
        <v>0</v>
      </c>
      <c r="BR22" s="18"/>
      <c r="CG22" s="16">
        <f t="shared" si="8"/>
        <v>0</v>
      </c>
      <c r="CH22" s="16">
        <f t="shared" si="9"/>
        <v>0</v>
      </c>
      <c r="CI22" s="18"/>
      <c r="CX22" s="16">
        <f t="shared" si="10"/>
        <v>0</v>
      </c>
      <c r="CY22" s="16">
        <f t="shared" si="11"/>
        <v>0</v>
      </c>
      <c r="CZ22" s="18"/>
      <c r="DO22" s="16">
        <f t="shared" si="12"/>
        <v>0</v>
      </c>
      <c r="DP22" s="16">
        <f t="shared" si="13"/>
        <v>0</v>
      </c>
      <c r="DQ22" s="18"/>
      <c r="EF22" s="16">
        <f t="shared" si="14"/>
        <v>0</v>
      </c>
      <c r="EG22" s="16">
        <f t="shared" si="15"/>
        <v>0</v>
      </c>
      <c r="EH22" s="18"/>
      <c r="EW22" s="16">
        <f t="shared" si="16"/>
        <v>0</v>
      </c>
      <c r="EX22" s="16">
        <f t="shared" si="17"/>
        <v>0</v>
      </c>
      <c r="EY22" s="18"/>
      <c r="FN22" s="16">
        <f t="shared" si="18"/>
        <v>0</v>
      </c>
      <c r="FO22" s="16">
        <f t="shared" si="19"/>
        <v>0</v>
      </c>
      <c r="FP22" s="18"/>
      <c r="GE22" s="16">
        <f t="shared" si="20"/>
        <v>0</v>
      </c>
      <c r="GF22" s="16">
        <f t="shared" si="21"/>
        <v>0</v>
      </c>
      <c r="GG22" s="18"/>
      <c r="GV22" s="16">
        <f t="shared" si="22"/>
        <v>0</v>
      </c>
      <c r="GW22" s="16">
        <f t="shared" si="23"/>
        <v>0</v>
      </c>
      <c r="GX22" s="18"/>
      <c r="HM22" s="16">
        <f t="shared" si="24"/>
        <v>0</v>
      </c>
      <c r="HN22" s="16">
        <f t="shared" si="25"/>
        <v>0</v>
      </c>
      <c r="HO22" s="18"/>
      <c r="ID22" s="16">
        <f t="shared" si="26"/>
        <v>0</v>
      </c>
      <c r="IE22" s="16">
        <f t="shared" si="27"/>
        <v>0</v>
      </c>
      <c r="IF22" s="18"/>
      <c r="IU22" s="16">
        <f t="shared" si="28"/>
        <v>0</v>
      </c>
      <c r="IV22" s="16">
        <f t="shared" si="29"/>
        <v>0</v>
      </c>
    </row>
    <row r="23" spans="1:256" s="16" customFormat="1" x14ac:dyDescent="0.25">
      <c r="A23" s="14"/>
      <c r="B23" s="19"/>
      <c r="Q23" s="16">
        <f t="shared" si="0"/>
        <v>0</v>
      </c>
      <c r="R23" s="16">
        <f t="shared" si="1"/>
        <v>0</v>
      </c>
      <c r="S23" s="17"/>
      <c r="AH23" s="16">
        <f t="shared" si="2"/>
        <v>0</v>
      </c>
      <c r="AI23" s="16">
        <f t="shared" si="3"/>
        <v>0</v>
      </c>
      <c r="AJ23" s="18"/>
      <c r="AY23" s="16">
        <f t="shared" si="4"/>
        <v>0</v>
      </c>
      <c r="AZ23" s="16">
        <f t="shared" si="5"/>
        <v>0</v>
      </c>
      <c r="BA23" s="18"/>
      <c r="BP23" s="16">
        <f t="shared" si="6"/>
        <v>0</v>
      </c>
      <c r="BQ23" s="16">
        <f t="shared" si="7"/>
        <v>0</v>
      </c>
      <c r="BR23" s="18"/>
      <c r="CG23" s="16">
        <f t="shared" si="8"/>
        <v>0</v>
      </c>
      <c r="CH23" s="16">
        <f t="shared" si="9"/>
        <v>0</v>
      </c>
      <c r="CI23" s="18"/>
      <c r="CX23" s="16">
        <f t="shared" si="10"/>
        <v>0</v>
      </c>
      <c r="CY23" s="16">
        <f t="shared" si="11"/>
        <v>0</v>
      </c>
      <c r="CZ23" s="18"/>
      <c r="DO23" s="16">
        <f t="shared" si="12"/>
        <v>0</v>
      </c>
      <c r="DP23" s="16">
        <f t="shared" si="13"/>
        <v>0</v>
      </c>
      <c r="DQ23" s="18"/>
      <c r="EF23" s="16">
        <f t="shared" si="14"/>
        <v>0</v>
      </c>
      <c r="EG23" s="16">
        <f t="shared" si="15"/>
        <v>0</v>
      </c>
      <c r="EH23" s="18"/>
      <c r="EW23" s="16">
        <f t="shared" si="16"/>
        <v>0</v>
      </c>
      <c r="EX23" s="16">
        <f t="shared" si="17"/>
        <v>0</v>
      </c>
      <c r="EY23" s="18"/>
      <c r="FN23" s="16">
        <f t="shared" si="18"/>
        <v>0</v>
      </c>
      <c r="FO23" s="16">
        <f t="shared" si="19"/>
        <v>0</v>
      </c>
      <c r="FP23" s="18"/>
      <c r="GE23" s="16">
        <f t="shared" si="20"/>
        <v>0</v>
      </c>
      <c r="GF23" s="16">
        <f t="shared" si="21"/>
        <v>0</v>
      </c>
      <c r="GG23" s="18"/>
      <c r="GV23" s="16">
        <f t="shared" si="22"/>
        <v>0</v>
      </c>
      <c r="GW23" s="16">
        <f t="shared" si="23"/>
        <v>0</v>
      </c>
      <c r="GX23" s="18"/>
      <c r="HM23" s="16">
        <f t="shared" si="24"/>
        <v>0</v>
      </c>
      <c r="HN23" s="16">
        <f t="shared" si="25"/>
        <v>0</v>
      </c>
      <c r="HO23" s="18"/>
      <c r="ID23" s="16">
        <f t="shared" si="26"/>
        <v>0</v>
      </c>
      <c r="IE23" s="16">
        <f t="shared" si="27"/>
        <v>0</v>
      </c>
      <c r="IF23" s="18"/>
      <c r="IU23" s="16">
        <f t="shared" si="28"/>
        <v>0</v>
      </c>
      <c r="IV23" s="16">
        <f t="shared" si="29"/>
        <v>0</v>
      </c>
    </row>
    <row r="24" spans="1:256" s="16" customFormat="1" x14ac:dyDescent="0.25">
      <c r="A24" s="14"/>
      <c r="B24" s="19"/>
      <c r="Q24" s="16">
        <f t="shared" si="0"/>
        <v>0</v>
      </c>
      <c r="R24" s="16">
        <f t="shared" si="1"/>
        <v>0</v>
      </c>
      <c r="S24" s="17"/>
      <c r="AH24" s="16">
        <f t="shared" si="2"/>
        <v>0</v>
      </c>
      <c r="AI24" s="16">
        <f t="shared" si="3"/>
        <v>0</v>
      </c>
      <c r="AJ24" s="18"/>
      <c r="AY24" s="16">
        <f t="shared" si="4"/>
        <v>0</v>
      </c>
      <c r="AZ24" s="16">
        <f t="shared" si="5"/>
        <v>0</v>
      </c>
      <c r="BA24" s="18"/>
      <c r="BP24" s="16">
        <f t="shared" si="6"/>
        <v>0</v>
      </c>
      <c r="BQ24" s="16">
        <f t="shared" si="7"/>
        <v>0</v>
      </c>
      <c r="BR24" s="18"/>
      <c r="CG24" s="16">
        <f t="shared" si="8"/>
        <v>0</v>
      </c>
      <c r="CH24" s="16">
        <f t="shared" si="9"/>
        <v>0</v>
      </c>
      <c r="CI24" s="18"/>
      <c r="CX24" s="16">
        <f t="shared" si="10"/>
        <v>0</v>
      </c>
      <c r="CY24" s="16">
        <f t="shared" si="11"/>
        <v>0</v>
      </c>
      <c r="CZ24" s="18"/>
      <c r="DO24" s="16">
        <f t="shared" si="12"/>
        <v>0</v>
      </c>
      <c r="DP24" s="16">
        <f t="shared" si="13"/>
        <v>0</v>
      </c>
      <c r="DQ24" s="18"/>
      <c r="EF24" s="16">
        <f t="shared" si="14"/>
        <v>0</v>
      </c>
      <c r="EG24" s="16">
        <f t="shared" si="15"/>
        <v>0</v>
      </c>
      <c r="EH24" s="18"/>
      <c r="EW24" s="16">
        <f t="shared" si="16"/>
        <v>0</v>
      </c>
      <c r="EX24" s="16">
        <f t="shared" si="17"/>
        <v>0</v>
      </c>
      <c r="EY24" s="18"/>
      <c r="FN24" s="16">
        <f t="shared" si="18"/>
        <v>0</v>
      </c>
      <c r="FO24" s="16">
        <f t="shared" si="19"/>
        <v>0</v>
      </c>
      <c r="FP24" s="18"/>
      <c r="GE24" s="16">
        <f t="shared" si="20"/>
        <v>0</v>
      </c>
      <c r="GF24" s="16">
        <f t="shared" si="21"/>
        <v>0</v>
      </c>
      <c r="GG24" s="18"/>
      <c r="GV24" s="16">
        <f t="shared" si="22"/>
        <v>0</v>
      </c>
      <c r="GW24" s="16">
        <f t="shared" si="23"/>
        <v>0</v>
      </c>
      <c r="GX24" s="18"/>
      <c r="HM24" s="16">
        <f t="shared" si="24"/>
        <v>0</v>
      </c>
      <c r="HN24" s="16">
        <f t="shared" si="25"/>
        <v>0</v>
      </c>
      <c r="HO24" s="18"/>
      <c r="ID24" s="16">
        <f t="shared" si="26"/>
        <v>0</v>
      </c>
      <c r="IE24" s="16">
        <f t="shared" si="27"/>
        <v>0</v>
      </c>
      <c r="IF24" s="18"/>
      <c r="IU24" s="16">
        <f t="shared" si="28"/>
        <v>0</v>
      </c>
      <c r="IV24" s="16">
        <f t="shared" si="29"/>
        <v>0</v>
      </c>
    </row>
    <row r="25" spans="1:256" s="16" customFormat="1" x14ac:dyDescent="0.25">
      <c r="A25" s="14"/>
      <c r="B25" s="19"/>
      <c r="Q25" s="16">
        <f t="shared" si="0"/>
        <v>0</v>
      </c>
      <c r="R25" s="16">
        <f t="shared" si="1"/>
        <v>0</v>
      </c>
      <c r="S25" s="17"/>
      <c r="AH25" s="16">
        <f t="shared" si="2"/>
        <v>0</v>
      </c>
      <c r="AI25" s="16">
        <f t="shared" si="3"/>
        <v>0</v>
      </c>
      <c r="AJ25" s="18"/>
      <c r="AY25" s="16">
        <f t="shared" si="4"/>
        <v>0</v>
      </c>
      <c r="AZ25" s="16">
        <f t="shared" si="5"/>
        <v>0</v>
      </c>
      <c r="BA25" s="18"/>
      <c r="BP25" s="16">
        <f t="shared" si="6"/>
        <v>0</v>
      </c>
      <c r="BQ25" s="16">
        <f t="shared" si="7"/>
        <v>0</v>
      </c>
      <c r="BR25" s="18"/>
      <c r="CG25" s="16">
        <f t="shared" si="8"/>
        <v>0</v>
      </c>
      <c r="CH25" s="16">
        <f t="shared" si="9"/>
        <v>0</v>
      </c>
      <c r="CI25" s="18"/>
      <c r="CX25" s="16">
        <f t="shared" si="10"/>
        <v>0</v>
      </c>
      <c r="CY25" s="16">
        <f t="shared" si="11"/>
        <v>0</v>
      </c>
      <c r="CZ25" s="18"/>
      <c r="DO25" s="16">
        <f t="shared" si="12"/>
        <v>0</v>
      </c>
      <c r="DP25" s="16">
        <f t="shared" si="13"/>
        <v>0</v>
      </c>
      <c r="DQ25" s="18"/>
      <c r="EF25" s="16">
        <f t="shared" si="14"/>
        <v>0</v>
      </c>
      <c r="EG25" s="16">
        <f t="shared" si="15"/>
        <v>0</v>
      </c>
      <c r="EH25" s="18"/>
      <c r="EW25" s="16">
        <f t="shared" si="16"/>
        <v>0</v>
      </c>
      <c r="EX25" s="16">
        <f t="shared" si="17"/>
        <v>0</v>
      </c>
      <c r="EY25" s="18"/>
      <c r="FN25" s="16">
        <f t="shared" si="18"/>
        <v>0</v>
      </c>
      <c r="FO25" s="16">
        <f t="shared" si="19"/>
        <v>0</v>
      </c>
      <c r="FP25" s="18"/>
      <c r="GE25" s="16">
        <f t="shared" si="20"/>
        <v>0</v>
      </c>
      <c r="GF25" s="16">
        <f t="shared" si="21"/>
        <v>0</v>
      </c>
      <c r="GG25" s="18"/>
      <c r="GV25" s="16">
        <f t="shared" si="22"/>
        <v>0</v>
      </c>
      <c r="GW25" s="16">
        <f t="shared" si="23"/>
        <v>0</v>
      </c>
      <c r="GX25" s="18"/>
      <c r="HM25" s="16">
        <f t="shared" si="24"/>
        <v>0</v>
      </c>
      <c r="HN25" s="16">
        <f t="shared" si="25"/>
        <v>0</v>
      </c>
      <c r="HO25" s="18"/>
      <c r="ID25" s="16">
        <f t="shared" si="26"/>
        <v>0</v>
      </c>
      <c r="IE25" s="16">
        <f t="shared" si="27"/>
        <v>0</v>
      </c>
      <c r="IF25" s="18"/>
      <c r="IU25" s="16">
        <f t="shared" si="28"/>
        <v>0</v>
      </c>
      <c r="IV25" s="16">
        <f t="shared" si="29"/>
        <v>0</v>
      </c>
    </row>
    <row r="26" spans="1:256" s="20" customFormat="1" ht="13.8" thickBot="1" x14ac:dyDescent="0.3">
      <c r="A26" s="14"/>
      <c r="B26" s="19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>
        <f t="shared" si="0"/>
        <v>0</v>
      </c>
      <c r="R26" s="16">
        <f t="shared" si="1"/>
        <v>0</v>
      </c>
      <c r="S26" s="17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>
        <f t="shared" si="2"/>
        <v>0</v>
      </c>
      <c r="AI26" s="16">
        <f t="shared" si="3"/>
        <v>0</v>
      </c>
      <c r="AJ26" s="18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>
        <f t="shared" si="4"/>
        <v>0</v>
      </c>
      <c r="AZ26" s="16">
        <f t="shared" si="5"/>
        <v>0</v>
      </c>
      <c r="BA26" s="18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>
        <f t="shared" si="6"/>
        <v>0</v>
      </c>
      <c r="BQ26" s="16">
        <f t="shared" si="7"/>
        <v>0</v>
      </c>
      <c r="BR26" s="18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>
        <f t="shared" si="8"/>
        <v>0</v>
      </c>
      <c r="CH26" s="16">
        <f t="shared" si="9"/>
        <v>0</v>
      </c>
      <c r="CI26" s="18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>
        <f t="shared" si="10"/>
        <v>0</v>
      </c>
      <c r="CY26" s="16">
        <f t="shared" si="11"/>
        <v>0</v>
      </c>
      <c r="CZ26" s="18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>
        <f t="shared" si="12"/>
        <v>0</v>
      </c>
      <c r="DP26" s="16">
        <f t="shared" si="13"/>
        <v>0</v>
      </c>
      <c r="DQ26" s="18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>
        <f t="shared" si="14"/>
        <v>0</v>
      </c>
      <c r="EG26" s="16">
        <f t="shared" si="15"/>
        <v>0</v>
      </c>
      <c r="EH26" s="18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>
        <f t="shared" si="16"/>
        <v>0</v>
      </c>
      <c r="EX26" s="16">
        <f t="shared" si="17"/>
        <v>0</v>
      </c>
      <c r="EY26" s="18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>
        <f t="shared" si="18"/>
        <v>0</v>
      </c>
      <c r="FO26" s="16">
        <f t="shared" si="19"/>
        <v>0</v>
      </c>
      <c r="FP26" s="18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>
        <f t="shared" si="20"/>
        <v>0</v>
      </c>
      <c r="GF26" s="16">
        <f t="shared" si="21"/>
        <v>0</v>
      </c>
      <c r="GG26" s="18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>
        <f t="shared" si="22"/>
        <v>0</v>
      </c>
      <c r="GW26" s="16">
        <f t="shared" si="23"/>
        <v>0</v>
      </c>
      <c r="GX26" s="18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>
        <f t="shared" si="24"/>
        <v>0</v>
      </c>
      <c r="HN26" s="16">
        <f t="shared" si="25"/>
        <v>0</v>
      </c>
      <c r="HO26" s="18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>
        <f t="shared" si="26"/>
        <v>0</v>
      </c>
      <c r="IE26" s="16">
        <f t="shared" si="27"/>
        <v>0</v>
      </c>
      <c r="IF26" s="18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>
        <f t="shared" si="28"/>
        <v>0</v>
      </c>
      <c r="IV26" s="16">
        <f t="shared" si="29"/>
        <v>0</v>
      </c>
    </row>
    <row r="27" spans="1:256" s="22" customFormat="1" ht="13.8" thickBot="1" x14ac:dyDescent="0.3">
      <c r="A27" s="64" t="s">
        <v>48</v>
      </c>
      <c r="B27" s="64"/>
      <c r="C27" s="21">
        <f>SUM(C8:C26)</f>
        <v>25</v>
      </c>
      <c r="D27" s="21">
        <f t="shared" ref="D27:P27" si="30">SUM(D8:D26)</f>
        <v>10</v>
      </c>
      <c r="E27" s="21">
        <f t="shared" si="30"/>
        <v>9</v>
      </c>
      <c r="F27" s="21">
        <f t="shared" si="30"/>
        <v>2</v>
      </c>
      <c r="G27" s="21">
        <f t="shared" si="30"/>
        <v>1</v>
      </c>
      <c r="H27" s="21">
        <f t="shared" si="30"/>
        <v>0</v>
      </c>
      <c r="I27" s="21">
        <f t="shared" si="30"/>
        <v>4</v>
      </c>
      <c r="J27" s="21">
        <f t="shared" si="30"/>
        <v>4</v>
      </c>
      <c r="K27" s="21">
        <f t="shared" si="30"/>
        <v>5</v>
      </c>
      <c r="L27" s="21">
        <f t="shared" si="30"/>
        <v>9</v>
      </c>
      <c r="M27" s="21">
        <f t="shared" si="30"/>
        <v>0</v>
      </c>
      <c r="N27" s="21">
        <f t="shared" si="30"/>
        <v>0</v>
      </c>
      <c r="O27" s="21">
        <f t="shared" si="30"/>
        <v>0</v>
      </c>
      <c r="P27" s="21">
        <f t="shared" si="30"/>
        <v>0</v>
      </c>
      <c r="Q27" s="21">
        <f>SUM(Q8:Q26)</f>
        <v>13</v>
      </c>
      <c r="R27" s="21">
        <f>SUM(R8:R26)</f>
        <v>30</v>
      </c>
      <c r="T27" s="21">
        <f>SUM(T8:T26)</f>
        <v>0</v>
      </c>
      <c r="U27" s="21">
        <f t="shared" ref="U27:AG27" si="31">SUM(U8:U26)</f>
        <v>0</v>
      </c>
      <c r="V27" s="21">
        <f t="shared" si="31"/>
        <v>0</v>
      </c>
      <c r="W27" s="21">
        <f t="shared" si="31"/>
        <v>0</v>
      </c>
      <c r="X27" s="21">
        <f t="shared" si="31"/>
        <v>0</v>
      </c>
      <c r="Y27" s="21">
        <f t="shared" si="31"/>
        <v>0</v>
      </c>
      <c r="Z27" s="21">
        <f t="shared" si="31"/>
        <v>0</v>
      </c>
      <c r="AA27" s="21">
        <f t="shared" si="31"/>
        <v>0</v>
      </c>
      <c r="AB27" s="21">
        <f t="shared" si="31"/>
        <v>0</v>
      </c>
      <c r="AC27" s="21">
        <f t="shared" si="31"/>
        <v>0</v>
      </c>
      <c r="AD27" s="21">
        <f t="shared" si="31"/>
        <v>0</v>
      </c>
      <c r="AE27" s="21">
        <f t="shared" si="31"/>
        <v>0</v>
      </c>
      <c r="AF27" s="21">
        <f t="shared" si="31"/>
        <v>0</v>
      </c>
      <c r="AG27" s="21">
        <f t="shared" si="31"/>
        <v>0</v>
      </c>
      <c r="AH27" s="21">
        <f>SUM(AH8:AH26)</f>
        <v>0</v>
      </c>
      <c r="AI27" s="21">
        <f>SUM(AI8:AI26)</f>
        <v>0</v>
      </c>
      <c r="AK27" s="21">
        <f>SUM(AK8:AK26)</f>
        <v>0</v>
      </c>
      <c r="AL27" s="21">
        <f t="shared" ref="AL27:AX27" si="32">SUM(AL8:AL26)</f>
        <v>0</v>
      </c>
      <c r="AM27" s="21">
        <f t="shared" si="32"/>
        <v>0</v>
      </c>
      <c r="AN27" s="21">
        <f t="shared" si="32"/>
        <v>0</v>
      </c>
      <c r="AO27" s="21">
        <f t="shared" si="32"/>
        <v>0</v>
      </c>
      <c r="AP27" s="21">
        <f t="shared" si="32"/>
        <v>0</v>
      </c>
      <c r="AQ27" s="21">
        <f t="shared" si="32"/>
        <v>0</v>
      </c>
      <c r="AR27" s="21">
        <f t="shared" si="32"/>
        <v>0</v>
      </c>
      <c r="AS27" s="21">
        <f t="shared" si="32"/>
        <v>0</v>
      </c>
      <c r="AT27" s="21">
        <f t="shared" si="32"/>
        <v>0</v>
      </c>
      <c r="AU27" s="21">
        <f t="shared" si="32"/>
        <v>0</v>
      </c>
      <c r="AV27" s="21">
        <f t="shared" si="32"/>
        <v>0</v>
      </c>
      <c r="AW27" s="21">
        <f t="shared" si="32"/>
        <v>0</v>
      </c>
      <c r="AX27" s="21">
        <f t="shared" si="32"/>
        <v>0</v>
      </c>
      <c r="AY27" s="21">
        <f>SUM(AY8:AY26)</f>
        <v>0</v>
      </c>
      <c r="AZ27" s="21">
        <f>SUM(AZ8:AZ26)</f>
        <v>0</v>
      </c>
      <c r="BB27" s="21">
        <f>SUM(BB8:BB26)</f>
        <v>0</v>
      </c>
      <c r="BC27" s="21">
        <f t="shared" ref="BC27:BO27" si="33">SUM(BC8:BC26)</f>
        <v>0</v>
      </c>
      <c r="BD27" s="21">
        <f t="shared" si="33"/>
        <v>0</v>
      </c>
      <c r="BE27" s="21">
        <f t="shared" si="33"/>
        <v>0</v>
      </c>
      <c r="BF27" s="21">
        <f t="shared" si="33"/>
        <v>0</v>
      </c>
      <c r="BG27" s="21">
        <f t="shared" si="33"/>
        <v>0</v>
      </c>
      <c r="BH27" s="21">
        <f t="shared" si="33"/>
        <v>0</v>
      </c>
      <c r="BI27" s="21">
        <f t="shared" si="33"/>
        <v>0</v>
      </c>
      <c r="BJ27" s="21">
        <f t="shared" si="33"/>
        <v>0</v>
      </c>
      <c r="BK27" s="21">
        <f t="shared" si="33"/>
        <v>0</v>
      </c>
      <c r="BL27" s="21">
        <f t="shared" si="33"/>
        <v>0</v>
      </c>
      <c r="BM27" s="21">
        <f t="shared" si="33"/>
        <v>0</v>
      </c>
      <c r="BN27" s="21">
        <f t="shared" si="33"/>
        <v>0</v>
      </c>
      <c r="BO27" s="21">
        <f t="shared" si="33"/>
        <v>0</v>
      </c>
      <c r="BP27" s="21">
        <f>SUM(BP8:BP26)</f>
        <v>0</v>
      </c>
      <c r="BQ27" s="21">
        <f>SUM(BQ8:BQ26)</f>
        <v>0</v>
      </c>
      <c r="BS27" s="21">
        <f>SUM(BS8:BS26)</f>
        <v>0</v>
      </c>
      <c r="BT27" s="21">
        <f t="shared" ref="BT27:CF27" si="34">SUM(BT8:BT26)</f>
        <v>0</v>
      </c>
      <c r="BU27" s="21">
        <f t="shared" si="34"/>
        <v>0</v>
      </c>
      <c r="BV27" s="21">
        <f t="shared" si="34"/>
        <v>0</v>
      </c>
      <c r="BW27" s="21">
        <f t="shared" si="34"/>
        <v>0</v>
      </c>
      <c r="BX27" s="21">
        <f t="shared" si="34"/>
        <v>0</v>
      </c>
      <c r="BY27" s="21">
        <f t="shared" si="34"/>
        <v>0</v>
      </c>
      <c r="BZ27" s="21">
        <f t="shared" si="34"/>
        <v>0</v>
      </c>
      <c r="CA27" s="21">
        <f t="shared" si="34"/>
        <v>0</v>
      </c>
      <c r="CB27" s="21">
        <f t="shared" si="34"/>
        <v>0</v>
      </c>
      <c r="CC27" s="21">
        <f t="shared" si="34"/>
        <v>0</v>
      </c>
      <c r="CD27" s="21">
        <f t="shared" si="34"/>
        <v>0</v>
      </c>
      <c r="CE27" s="21">
        <f t="shared" si="34"/>
        <v>0</v>
      </c>
      <c r="CF27" s="21">
        <f t="shared" si="34"/>
        <v>0</v>
      </c>
      <c r="CG27" s="21">
        <f>SUM(CG8:CG26)</f>
        <v>0</v>
      </c>
      <c r="CH27" s="21">
        <f>SUM(CH8:CH26)</f>
        <v>0</v>
      </c>
      <c r="CJ27" s="21">
        <f>SUM(CJ8:CJ26)</f>
        <v>0</v>
      </c>
      <c r="CK27" s="21">
        <f t="shared" ref="CK27:CW27" si="35">SUM(CK8:CK26)</f>
        <v>0</v>
      </c>
      <c r="CL27" s="21">
        <f t="shared" si="35"/>
        <v>0</v>
      </c>
      <c r="CM27" s="21">
        <f t="shared" si="35"/>
        <v>0</v>
      </c>
      <c r="CN27" s="21">
        <f t="shared" si="35"/>
        <v>0</v>
      </c>
      <c r="CO27" s="21">
        <f t="shared" si="35"/>
        <v>0</v>
      </c>
      <c r="CP27" s="21">
        <f t="shared" si="35"/>
        <v>0</v>
      </c>
      <c r="CQ27" s="21">
        <f t="shared" si="35"/>
        <v>0</v>
      </c>
      <c r="CR27" s="21">
        <f t="shared" si="35"/>
        <v>0</v>
      </c>
      <c r="CS27" s="21">
        <f t="shared" si="35"/>
        <v>0</v>
      </c>
      <c r="CT27" s="21">
        <f t="shared" si="35"/>
        <v>0</v>
      </c>
      <c r="CU27" s="21">
        <f t="shared" si="35"/>
        <v>0</v>
      </c>
      <c r="CV27" s="21">
        <f t="shared" si="35"/>
        <v>0</v>
      </c>
      <c r="CW27" s="21">
        <f t="shared" si="35"/>
        <v>0</v>
      </c>
      <c r="CX27" s="21">
        <f>SUM(CX8:CX26)</f>
        <v>0</v>
      </c>
      <c r="CY27" s="21">
        <f>SUM(CY8:CY26)</f>
        <v>0</v>
      </c>
      <c r="DA27" s="21">
        <f>SUM(DA8:DA26)</f>
        <v>0</v>
      </c>
      <c r="DB27" s="21">
        <f t="shared" ref="DB27:DN27" si="36">SUM(DB8:DB26)</f>
        <v>0</v>
      </c>
      <c r="DC27" s="21">
        <f t="shared" si="36"/>
        <v>0</v>
      </c>
      <c r="DD27" s="21">
        <f t="shared" si="36"/>
        <v>0</v>
      </c>
      <c r="DE27" s="21">
        <f t="shared" si="36"/>
        <v>0</v>
      </c>
      <c r="DF27" s="21">
        <f t="shared" si="36"/>
        <v>0</v>
      </c>
      <c r="DG27" s="21">
        <f t="shared" si="36"/>
        <v>0</v>
      </c>
      <c r="DH27" s="21">
        <f t="shared" si="36"/>
        <v>0</v>
      </c>
      <c r="DI27" s="21">
        <f t="shared" si="36"/>
        <v>0</v>
      </c>
      <c r="DJ27" s="21">
        <f t="shared" si="36"/>
        <v>0</v>
      </c>
      <c r="DK27" s="21">
        <f t="shared" si="36"/>
        <v>0</v>
      </c>
      <c r="DL27" s="21">
        <f t="shared" si="36"/>
        <v>0</v>
      </c>
      <c r="DM27" s="21">
        <f t="shared" si="36"/>
        <v>0</v>
      </c>
      <c r="DN27" s="21">
        <f t="shared" si="36"/>
        <v>0</v>
      </c>
      <c r="DO27" s="21">
        <f>SUM(DO8:DO26)</f>
        <v>0</v>
      </c>
      <c r="DP27" s="21">
        <f>SUM(DP8:DP26)</f>
        <v>0</v>
      </c>
      <c r="DR27" s="21">
        <f>SUM(DR8:DR26)</f>
        <v>0</v>
      </c>
      <c r="DS27" s="21">
        <f t="shared" ref="DS27:EE27" si="37">SUM(DS8:DS26)</f>
        <v>0</v>
      </c>
      <c r="DT27" s="21">
        <f t="shared" si="37"/>
        <v>0</v>
      </c>
      <c r="DU27" s="21">
        <f t="shared" si="37"/>
        <v>0</v>
      </c>
      <c r="DV27" s="21">
        <f t="shared" si="37"/>
        <v>0</v>
      </c>
      <c r="DW27" s="21">
        <f t="shared" si="37"/>
        <v>0</v>
      </c>
      <c r="DX27" s="21">
        <f t="shared" si="37"/>
        <v>0</v>
      </c>
      <c r="DY27" s="21">
        <f t="shared" si="37"/>
        <v>0</v>
      </c>
      <c r="DZ27" s="21">
        <f t="shared" si="37"/>
        <v>0</v>
      </c>
      <c r="EA27" s="21">
        <f t="shared" si="37"/>
        <v>0</v>
      </c>
      <c r="EB27" s="21">
        <f t="shared" si="37"/>
        <v>0</v>
      </c>
      <c r="EC27" s="21">
        <f t="shared" si="37"/>
        <v>0</v>
      </c>
      <c r="ED27" s="21">
        <f t="shared" si="37"/>
        <v>0</v>
      </c>
      <c r="EE27" s="21">
        <f t="shared" si="37"/>
        <v>0</v>
      </c>
      <c r="EF27" s="21">
        <f>SUM(EF8:EF26)</f>
        <v>0</v>
      </c>
      <c r="EG27" s="21">
        <f>SUM(EG8:EG26)</f>
        <v>0</v>
      </c>
      <c r="EI27" s="21">
        <f>SUM(EI8:EI26)</f>
        <v>0</v>
      </c>
      <c r="EJ27" s="21">
        <f t="shared" ref="EJ27:EV27" si="38">SUM(EJ8:EJ26)</f>
        <v>0</v>
      </c>
      <c r="EK27" s="21">
        <f t="shared" si="38"/>
        <v>0</v>
      </c>
      <c r="EL27" s="21">
        <f t="shared" si="38"/>
        <v>0</v>
      </c>
      <c r="EM27" s="21">
        <f t="shared" si="38"/>
        <v>0</v>
      </c>
      <c r="EN27" s="21">
        <f t="shared" si="38"/>
        <v>0</v>
      </c>
      <c r="EO27" s="21">
        <f t="shared" si="38"/>
        <v>0</v>
      </c>
      <c r="EP27" s="21">
        <f t="shared" si="38"/>
        <v>0</v>
      </c>
      <c r="EQ27" s="21">
        <f t="shared" si="38"/>
        <v>0</v>
      </c>
      <c r="ER27" s="21">
        <f t="shared" si="38"/>
        <v>0</v>
      </c>
      <c r="ES27" s="21">
        <f t="shared" si="38"/>
        <v>0</v>
      </c>
      <c r="ET27" s="21">
        <f t="shared" si="38"/>
        <v>0</v>
      </c>
      <c r="EU27" s="21">
        <f t="shared" si="38"/>
        <v>0</v>
      </c>
      <c r="EV27" s="21">
        <f t="shared" si="38"/>
        <v>0</v>
      </c>
      <c r="EW27" s="21">
        <f>SUM(EW8:EW26)</f>
        <v>0</v>
      </c>
      <c r="EX27" s="21">
        <f>SUM(EX8:EX26)</f>
        <v>0</v>
      </c>
      <c r="EZ27" s="21">
        <f>SUM(EZ8:EZ26)</f>
        <v>0</v>
      </c>
      <c r="FA27" s="21">
        <f t="shared" ref="FA27:FM27" si="39">SUM(FA8:FA26)</f>
        <v>0</v>
      </c>
      <c r="FB27" s="21">
        <f t="shared" si="39"/>
        <v>0</v>
      </c>
      <c r="FC27" s="21">
        <f t="shared" si="39"/>
        <v>0</v>
      </c>
      <c r="FD27" s="21">
        <f t="shared" si="39"/>
        <v>0</v>
      </c>
      <c r="FE27" s="21">
        <f t="shared" si="39"/>
        <v>0</v>
      </c>
      <c r="FF27" s="21">
        <f t="shared" si="39"/>
        <v>0</v>
      </c>
      <c r="FG27" s="21">
        <f t="shared" si="39"/>
        <v>0</v>
      </c>
      <c r="FH27" s="21">
        <f t="shared" si="39"/>
        <v>0</v>
      </c>
      <c r="FI27" s="21">
        <f t="shared" si="39"/>
        <v>0</v>
      </c>
      <c r="FJ27" s="21">
        <f t="shared" si="39"/>
        <v>0</v>
      </c>
      <c r="FK27" s="21">
        <f t="shared" si="39"/>
        <v>0</v>
      </c>
      <c r="FL27" s="21">
        <f t="shared" si="39"/>
        <v>0</v>
      </c>
      <c r="FM27" s="21">
        <f t="shared" si="39"/>
        <v>0</v>
      </c>
      <c r="FN27" s="21">
        <f>SUM(FN8:FN26)</f>
        <v>0</v>
      </c>
      <c r="FO27" s="21">
        <f>SUM(FO8:FO26)</f>
        <v>0</v>
      </c>
      <c r="FQ27" s="21">
        <f>SUM(FQ8:FQ26)</f>
        <v>0</v>
      </c>
      <c r="FR27" s="21">
        <f t="shared" ref="FR27:GD27" si="40">SUM(FR8:FR26)</f>
        <v>0</v>
      </c>
      <c r="FS27" s="21">
        <f t="shared" si="40"/>
        <v>0</v>
      </c>
      <c r="FT27" s="21">
        <f t="shared" si="40"/>
        <v>0</v>
      </c>
      <c r="FU27" s="21">
        <f t="shared" si="40"/>
        <v>0</v>
      </c>
      <c r="FV27" s="21">
        <f t="shared" si="40"/>
        <v>0</v>
      </c>
      <c r="FW27" s="21">
        <f t="shared" si="40"/>
        <v>0</v>
      </c>
      <c r="FX27" s="21">
        <f t="shared" si="40"/>
        <v>0</v>
      </c>
      <c r="FY27" s="21">
        <f t="shared" si="40"/>
        <v>0</v>
      </c>
      <c r="FZ27" s="21">
        <f t="shared" si="40"/>
        <v>0</v>
      </c>
      <c r="GA27" s="21">
        <f t="shared" si="40"/>
        <v>0</v>
      </c>
      <c r="GB27" s="21">
        <f t="shared" si="40"/>
        <v>0</v>
      </c>
      <c r="GC27" s="21">
        <f t="shared" si="40"/>
        <v>0</v>
      </c>
      <c r="GD27" s="21">
        <f t="shared" si="40"/>
        <v>0</v>
      </c>
      <c r="GE27" s="21">
        <f>SUM(GE8:GE26)</f>
        <v>0</v>
      </c>
      <c r="GF27" s="21">
        <f>SUM(GF8:GF26)</f>
        <v>0</v>
      </c>
      <c r="GH27" s="21">
        <f>SUM(GH8:GH26)</f>
        <v>0</v>
      </c>
      <c r="GI27" s="21">
        <f t="shared" ref="GI27:GU27" si="41">SUM(GI8:GI26)</f>
        <v>0</v>
      </c>
      <c r="GJ27" s="21">
        <f t="shared" si="41"/>
        <v>0</v>
      </c>
      <c r="GK27" s="21">
        <f t="shared" si="41"/>
        <v>0</v>
      </c>
      <c r="GL27" s="21">
        <f t="shared" si="41"/>
        <v>0</v>
      </c>
      <c r="GM27" s="21">
        <f t="shared" si="41"/>
        <v>0</v>
      </c>
      <c r="GN27" s="21">
        <f t="shared" si="41"/>
        <v>0</v>
      </c>
      <c r="GO27" s="21">
        <f t="shared" si="41"/>
        <v>0</v>
      </c>
      <c r="GP27" s="21">
        <f t="shared" si="41"/>
        <v>0</v>
      </c>
      <c r="GQ27" s="21">
        <f t="shared" si="41"/>
        <v>0</v>
      </c>
      <c r="GR27" s="21">
        <f t="shared" si="41"/>
        <v>0</v>
      </c>
      <c r="GS27" s="21">
        <f t="shared" si="41"/>
        <v>0</v>
      </c>
      <c r="GT27" s="21">
        <f t="shared" si="41"/>
        <v>0</v>
      </c>
      <c r="GU27" s="21">
        <f t="shared" si="41"/>
        <v>0</v>
      </c>
      <c r="GV27" s="21">
        <f>SUM(GV8:GV26)</f>
        <v>0</v>
      </c>
      <c r="GW27" s="21">
        <f>SUM(GW8:GW26)</f>
        <v>0</v>
      </c>
      <c r="GY27" s="21">
        <f>SUM(GY8:GY26)</f>
        <v>0</v>
      </c>
      <c r="GZ27" s="21">
        <f t="shared" ref="GZ27:HL27" si="42">SUM(GZ8:GZ26)</f>
        <v>0</v>
      </c>
      <c r="HA27" s="21">
        <f t="shared" si="42"/>
        <v>0</v>
      </c>
      <c r="HB27" s="21">
        <f t="shared" si="42"/>
        <v>0</v>
      </c>
      <c r="HC27" s="21">
        <f t="shared" si="42"/>
        <v>0</v>
      </c>
      <c r="HD27" s="21">
        <f t="shared" si="42"/>
        <v>0</v>
      </c>
      <c r="HE27" s="21">
        <f t="shared" si="42"/>
        <v>0</v>
      </c>
      <c r="HF27" s="21">
        <f t="shared" si="42"/>
        <v>0</v>
      </c>
      <c r="HG27" s="21">
        <f t="shared" si="42"/>
        <v>0</v>
      </c>
      <c r="HH27" s="21">
        <f t="shared" si="42"/>
        <v>0</v>
      </c>
      <c r="HI27" s="21">
        <f t="shared" si="42"/>
        <v>0</v>
      </c>
      <c r="HJ27" s="21">
        <f t="shared" si="42"/>
        <v>0</v>
      </c>
      <c r="HK27" s="21">
        <f t="shared" si="42"/>
        <v>0</v>
      </c>
      <c r="HL27" s="21">
        <f t="shared" si="42"/>
        <v>0</v>
      </c>
      <c r="HM27" s="21">
        <f>SUM(HM8:HM26)</f>
        <v>0</v>
      </c>
      <c r="HN27" s="21">
        <f>SUM(HN8:HN26)</f>
        <v>0</v>
      </c>
      <c r="HP27" s="21">
        <f>SUM(HP8:HP26)</f>
        <v>0</v>
      </c>
      <c r="HQ27" s="21">
        <f t="shared" ref="HQ27:IC27" si="43">SUM(HQ8:HQ26)</f>
        <v>0</v>
      </c>
      <c r="HR27" s="21">
        <f t="shared" si="43"/>
        <v>0</v>
      </c>
      <c r="HS27" s="21">
        <f t="shared" si="43"/>
        <v>0</v>
      </c>
      <c r="HT27" s="21">
        <f t="shared" si="43"/>
        <v>0</v>
      </c>
      <c r="HU27" s="21">
        <f t="shared" si="43"/>
        <v>0</v>
      </c>
      <c r="HV27" s="21">
        <f t="shared" si="43"/>
        <v>0</v>
      </c>
      <c r="HW27" s="21">
        <f t="shared" si="43"/>
        <v>0</v>
      </c>
      <c r="HX27" s="21">
        <f t="shared" si="43"/>
        <v>0</v>
      </c>
      <c r="HY27" s="21">
        <f t="shared" si="43"/>
        <v>0</v>
      </c>
      <c r="HZ27" s="21">
        <f t="shared" si="43"/>
        <v>0</v>
      </c>
      <c r="IA27" s="21">
        <f t="shared" si="43"/>
        <v>0</v>
      </c>
      <c r="IB27" s="21">
        <f t="shared" si="43"/>
        <v>0</v>
      </c>
      <c r="IC27" s="21">
        <f t="shared" si="43"/>
        <v>0</v>
      </c>
      <c r="ID27" s="21">
        <f>SUM(ID8:ID26)</f>
        <v>0</v>
      </c>
      <c r="IE27" s="21">
        <f>SUM(IE8:IE26)</f>
        <v>0</v>
      </c>
      <c r="IG27" s="21">
        <f>SUM(IG8:IG26)</f>
        <v>0</v>
      </c>
      <c r="IH27" s="21">
        <f t="shared" ref="IH27:IT27" si="44">SUM(IH8:IH26)</f>
        <v>0</v>
      </c>
      <c r="II27" s="21">
        <f t="shared" si="44"/>
        <v>0</v>
      </c>
      <c r="IJ27" s="21">
        <f t="shared" si="44"/>
        <v>0</v>
      </c>
      <c r="IK27" s="21">
        <f t="shared" si="44"/>
        <v>0</v>
      </c>
      <c r="IL27" s="21">
        <f t="shared" si="44"/>
        <v>0</v>
      </c>
      <c r="IM27" s="21">
        <f t="shared" si="44"/>
        <v>0</v>
      </c>
      <c r="IN27" s="21">
        <f t="shared" si="44"/>
        <v>0</v>
      </c>
      <c r="IO27" s="21">
        <f t="shared" si="44"/>
        <v>0</v>
      </c>
      <c r="IP27" s="21">
        <f t="shared" si="44"/>
        <v>0</v>
      </c>
      <c r="IQ27" s="21">
        <f t="shared" si="44"/>
        <v>0</v>
      </c>
      <c r="IR27" s="21">
        <f t="shared" si="44"/>
        <v>0</v>
      </c>
      <c r="IS27" s="21">
        <f t="shared" si="44"/>
        <v>0</v>
      </c>
      <c r="IT27" s="21">
        <f t="shared" si="44"/>
        <v>0</v>
      </c>
      <c r="IU27" s="21">
        <f>SUM(IU8:IU26)</f>
        <v>0</v>
      </c>
      <c r="IV27" s="21">
        <f>SUM(IV8:IV26)</f>
        <v>0</v>
      </c>
    </row>
    <row r="28" spans="1:256" s="23" customFormat="1" ht="10.199999999999999" x14ac:dyDescent="0.2">
      <c r="S28" s="24"/>
      <c r="AJ28" s="24"/>
      <c r="BA28" s="24"/>
      <c r="BR28" s="24"/>
      <c r="CI28" s="24"/>
      <c r="CZ28" s="24"/>
      <c r="DQ28" s="24"/>
      <c r="EH28" s="24"/>
      <c r="EY28" s="24"/>
      <c r="FP28" s="24"/>
      <c r="GG28" s="24"/>
      <c r="GX28" s="24"/>
      <c r="HO28" s="24"/>
      <c r="IF28" s="24"/>
    </row>
    <row r="29" spans="1:256" s="23" customFormat="1" ht="10.199999999999999" x14ac:dyDescent="0.2">
      <c r="S29" s="24"/>
      <c r="AJ29" s="24"/>
      <c r="BA29" s="24"/>
      <c r="BR29" s="24"/>
      <c r="CI29" s="24"/>
      <c r="CZ29" s="24"/>
      <c r="DQ29" s="24"/>
      <c r="EH29" s="24"/>
      <c r="EY29" s="24"/>
      <c r="FP29" s="24"/>
      <c r="GG29" s="24"/>
      <c r="GX29" s="24"/>
      <c r="HO29" s="24"/>
      <c r="IF29" s="24"/>
    </row>
    <row r="30" spans="1:256" s="23" customFormat="1" x14ac:dyDescent="0.25">
      <c r="A30" s="65" t="s">
        <v>49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AJ30" s="24"/>
      <c r="BA30" s="24"/>
      <c r="BR30" s="24"/>
      <c r="CI30" s="24"/>
      <c r="CZ30" s="24"/>
      <c r="DQ30" s="24"/>
      <c r="EH30" s="24"/>
      <c r="EY30" s="24"/>
      <c r="FP30" s="24"/>
      <c r="GG30" s="24"/>
      <c r="GX30" s="24"/>
      <c r="HO30" s="24"/>
      <c r="IF30" s="24"/>
    </row>
    <row r="31" spans="1:256" s="23" customFormat="1" x14ac:dyDescent="0.25">
      <c r="A31" s="26" t="s">
        <v>19</v>
      </c>
      <c r="B31" s="26" t="s">
        <v>18</v>
      </c>
      <c r="C31" s="13" t="s">
        <v>20</v>
      </c>
      <c r="D31" s="11" t="s">
        <v>21</v>
      </c>
      <c r="E31" s="11" t="s">
        <v>22</v>
      </c>
      <c r="F31" s="11" t="s">
        <v>23</v>
      </c>
      <c r="G31" s="11" t="s">
        <v>24</v>
      </c>
      <c r="H31" s="11" t="s">
        <v>25</v>
      </c>
      <c r="I31" s="11" t="s">
        <v>26</v>
      </c>
      <c r="J31" s="11" t="s">
        <v>27</v>
      </c>
      <c r="K31" s="11" t="s">
        <v>28</v>
      </c>
      <c r="L31" s="11" t="s">
        <v>29</v>
      </c>
      <c r="M31" s="11" t="s">
        <v>30</v>
      </c>
      <c r="N31" s="11" t="s">
        <v>31</v>
      </c>
      <c r="O31" s="11" t="s">
        <v>32</v>
      </c>
      <c r="P31" s="12" t="s">
        <v>33</v>
      </c>
      <c r="Q31" s="11" t="s">
        <v>34</v>
      </c>
      <c r="R31" s="27" t="s">
        <v>35</v>
      </c>
      <c r="S31" s="24"/>
      <c r="T31" s="28" t="s">
        <v>50</v>
      </c>
      <c r="U31" s="29" t="s">
        <v>51</v>
      </c>
      <c r="AJ31" s="24"/>
      <c r="BA31" s="24"/>
      <c r="BR31" s="24"/>
      <c r="CI31" s="24"/>
      <c r="CZ31" s="24"/>
      <c r="DQ31" s="24"/>
      <c r="EH31" s="24"/>
      <c r="EY31" s="24"/>
      <c r="FP31" s="24"/>
      <c r="GG31" s="24"/>
      <c r="GX31" s="24"/>
      <c r="HO31" s="24"/>
      <c r="IF31" s="24"/>
    </row>
    <row r="32" spans="1:256" s="23" customFormat="1" x14ac:dyDescent="0.25">
      <c r="A32" s="30" t="str">
        <f t="shared" ref="A32:B50" si="45">IF(A8="","",A8)</f>
        <v>JESUS  PAEZ EQUIPO 2</v>
      </c>
      <c r="B32" s="30">
        <f t="shared" si="45"/>
        <v>13</v>
      </c>
      <c r="C32" s="16">
        <f t="shared" ref="C32:C50" si="46">+C8+T8+AK8+BB8+BS8+CJ8+DA8+DR8+EI8+EZ8+FQ8+GH8+GY8+HP8+IG8</f>
        <v>4</v>
      </c>
      <c r="D32" s="16">
        <f t="shared" ref="D32:D50" si="47">+D8+U8+AL8+BC8+BT8+CK8+DB8+DS8+EJ8+FA8+FR8+GI8+GZ8+HQ8+IH8</f>
        <v>2</v>
      </c>
      <c r="E32" s="16">
        <f t="shared" ref="E32:E50" si="48">+E8+V8+AM8+BD8+BU8+CL8+DC8+DT8+EK8+FB8+FS8+GJ8+HA8+HR8+II8</f>
        <v>1</v>
      </c>
      <c r="F32" s="16">
        <f t="shared" ref="F32:F50" si="49">+F8+W8+AN8+BE8+BV8+CM8+DD8+DU8+EL8+FC8+FT8+GK8+HB8+HS8+IJ8</f>
        <v>0</v>
      </c>
      <c r="G32" s="16">
        <f t="shared" ref="G32:G50" si="50">+G8+X8+AO8+BF8+BW8+CN8+DE8+DV8+EM8+FD8+FU8+GL8+HC8+HT8+IK8</f>
        <v>0</v>
      </c>
      <c r="H32" s="16">
        <f t="shared" ref="H32:H50" si="51">+H8+Y8+AP8+BG8+BX8+CO8+DF8+DW8+EN8+FE8+FV8+GM8+HD8+HU8+IL8</f>
        <v>0</v>
      </c>
      <c r="I32" s="16">
        <f t="shared" ref="I32:I50" si="52">+I8+Z8+AQ8+BH8+BY8+CP8+DG8+DX8+EO8+FF8+FW8+GN8+HE8+HV8+IM8</f>
        <v>0</v>
      </c>
      <c r="J32" s="16">
        <f t="shared" ref="J32:J50" si="53">+J8+AA8+AR8+BI8+BZ8+CQ8+DH8+DY8+EP8+FG8+FX8+GO8+HF8+HW8+IN8</f>
        <v>0</v>
      </c>
      <c r="K32" s="16">
        <f t="shared" ref="K32:K50" si="54">+K8+AB8+AS8+BJ8+CA8+CR8+DI8+DZ8+EQ8+FH8+FY8+GP8+HG8+HX8+IO8</f>
        <v>0</v>
      </c>
      <c r="L32" s="16">
        <f t="shared" ref="L32:L50" si="55">+L8+AC8+AT8+BK8+CB8+CS8+DJ8+EA8+ER8+FI8+FZ8+GQ8+HH8+HY8+IP8</f>
        <v>1</v>
      </c>
      <c r="M32" s="16">
        <f t="shared" ref="M32:M50" si="56">+M8+AD8+AU8+BL8+CC8+CT8+DK8+EB8+ES8+FJ8+GA8+GR8+HI8+HZ8+IQ8</f>
        <v>0</v>
      </c>
      <c r="N32" s="16">
        <f t="shared" ref="N32:N50" si="57">+N8+AE8+AV8+BM8+CD8+CU8+DL8+EC8+ET8+FK8+GB8+GS8+HJ8+IA8+IR8</f>
        <v>0</v>
      </c>
      <c r="O32" s="16">
        <f t="shared" ref="O32:O50" si="58">+O8+AF8+AW8+BN8+CE8+CV8+DM8+ED8+EU8+FL8+GC8+GT8+HK8+IB8+IS8</f>
        <v>0</v>
      </c>
      <c r="P32" s="16">
        <f t="shared" ref="P32:P50" si="59">+P8+AG8+AX8+BO8+CF8+CW8+DN8+EE8+EV8+FM8+GD8+GU8+HL8+IC8+IT8</f>
        <v>0</v>
      </c>
      <c r="Q32" s="16">
        <f t="shared" ref="Q32:Q50" si="60">+Q8+AH8+AY8+BP8+CG8+CX8+DO8+EF8+EW8+FN8+GE8+GV8+HM8+ID8+IU8</f>
        <v>1</v>
      </c>
      <c r="R32" s="16">
        <f t="shared" ref="R32:R50" si="61">+R8+AI8+AZ8+BQ8+CH8+CY8+DP8+EG8+EX8+FO8+GF8+GW8+HN8+IE8+IV8</f>
        <v>4</v>
      </c>
      <c r="S32" s="24"/>
      <c r="T32" s="31">
        <f t="shared" ref="T32:T51" si="62">IF(C32=0,0,E32*1000/C32)</f>
        <v>250</v>
      </c>
      <c r="U32" s="31">
        <f t="shared" ref="U32:U51" si="63">IF(C32=0,0,Q32*1000/C32)</f>
        <v>250</v>
      </c>
      <c r="AJ32" s="24"/>
      <c r="BA32" s="24"/>
      <c r="BR32" s="24"/>
      <c r="CI32" s="24"/>
      <c r="CZ32" s="24"/>
      <c r="DQ32" s="24"/>
      <c r="EH32" s="24"/>
      <c r="EY32" s="24"/>
      <c r="FP32" s="24"/>
      <c r="GG32" s="24"/>
      <c r="GX32" s="24"/>
      <c r="HO32" s="24"/>
      <c r="IF32" s="24"/>
    </row>
    <row r="33" spans="1:240" s="23" customFormat="1" x14ac:dyDescent="0.25">
      <c r="A33" s="30" t="str">
        <f t="shared" si="45"/>
        <v>JOSEPH MENDOZA</v>
      </c>
      <c r="B33" s="30">
        <f t="shared" si="45"/>
        <v>28</v>
      </c>
      <c r="C33" s="16">
        <f t="shared" si="46"/>
        <v>3</v>
      </c>
      <c r="D33" s="16">
        <f t="shared" si="47"/>
        <v>1</v>
      </c>
      <c r="E33" s="16">
        <f t="shared" si="48"/>
        <v>1</v>
      </c>
      <c r="F33" s="16">
        <f t="shared" si="49"/>
        <v>1</v>
      </c>
      <c r="G33" s="16">
        <f t="shared" si="50"/>
        <v>0</v>
      </c>
      <c r="H33" s="16">
        <f t="shared" si="51"/>
        <v>0</v>
      </c>
      <c r="I33" s="16">
        <f t="shared" si="52"/>
        <v>0</v>
      </c>
      <c r="J33" s="16">
        <f t="shared" si="53"/>
        <v>0</v>
      </c>
      <c r="K33" s="16">
        <f t="shared" si="54"/>
        <v>1</v>
      </c>
      <c r="L33" s="16">
        <f t="shared" si="55"/>
        <v>0</v>
      </c>
      <c r="M33" s="16">
        <f t="shared" si="56"/>
        <v>0</v>
      </c>
      <c r="N33" s="16">
        <f t="shared" si="57"/>
        <v>0</v>
      </c>
      <c r="O33" s="16">
        <f t="shared" si="58"/>
        <v>0</v>
      </c>
      <c r="P33" s="16">
        <f t="shared" si="59"/>
        <v>0</v>
      </c>
      <c r="Q33" s="16">
        <f t="shared" si="60"/>
        <v>2</v>
      </c>
      <c r="R33" s="16">
        <f t="shared" si="61"/>
        <v>4</v>
      </c>
      <c r="S33" s="24"/>
      <c r="T33" s="31">
        <f t="shared" si="62"/>
        <v>333.33333333333331</v>
      </c>
      <c r="U33" s="31">
        <f t="shared" si="63"/>
        <v>666.66666666666663</v>
      </c>
      <c r="AJ33" s="24"/>
      <c r="BA33" s="24"/>
      <c r="BR33" s="24"/>
      <c r="CI33" s="24"/>
      <c r="CZ33" s="24"/>
      <c r="DQ33" s="24"/>
      <c r="EH33" s="24"/>
      <c r="EY33" s="24"/>
      <c r="FP33" s="24"/>
      <c r="GG33" s="24"/>
      <c r="GX33" s="24"/>
      <c r="HO33" s="24"/>
      <c r="IF33" s="24"/>
    </row>
    <row r="34" spans="1:240" s="23" customFormat="1" x14ac:dyDescent="0.25">
      <c r="A34" s="30" t="str">
        <f t="shared" si="45"/>
        <v>ABRAHAN RODRIGUZ</v>
      </c>
      <c r="B34" s="30" t="str">
        <f t="shared" si="45"/>
        <v/>
      </c>
      <c r="C34" s="16">
        <f t="shared" si="46"/>
        <v>4</v>
      </c>
      <c r="D34" s="16">
        <f t="shared" si="47"/>
        <v>0</v>
      </c>
      <c r="E34" s="16">
        <f t="shared" si="48"/>
        <v>1</v>
      </c>
      <c r="F34" s="16">
        <f t="shared" si="49"/>
        <v>0</v>
      </c>
      <c r="G34" s="16">
        <f t="shared" si="50"/>
        <v>0</v>
      </c>
      <c r="H34" s="16">
        <f t="shared" si="51"/>
        <v>0</v>
      </c>
      <c r="I34" s="16">
        <f t="shared" si="52"/>
        <v>0</v>
      </c>
      <c r="J34" s="16">
        <f t="shared" si="53"/>
        <v>0</v>
      </c>
      <c r="K34" s="16">
        <f t="shared" si="54"/>
        <v>0</v>
      </c>
      <c r="L34" s="16">
        <f t="shared" si="55"/>
        <v>0</v>
      </c>
      <c r="M34" s="16">
        <f t="shared" si="56"/>
        <v>0</v>
      </c>
      <c r="N34" s="16">
        <f t="shared" si="57"/>
        <v>0</v>
      </c>
      <c r="O34" s="16">
        <f t="shared" si="58"/>
        <v>0</v>
      </c>
      <c r="P34" s="16">
        <f t="shared" si="59"/>
        <v>0</v>
      </c>
      <c r="Q34" s="16">
        <f t="shared" si="60"/>
        <v>1</v>
      </c>
      <c r="R34" s="16">
        <f t="shared" si="61"/>
        <v>4</v>
      </c>
      <c r="S34" s="24"/>
      <c r="T34" s="31">
        <f t="shared" si="62"/>
        <v>250</v>
      </c>
      <c r="U34" s="31">
        <f t="shared" si="63"/>
        <v>250</v>
      </c>
      <c r="AJ34" s="24"/>
      <c r="BA34" s="24"/>
      <c r="BR34" s="24"/>
      <c r="CI34" s="24"/>
      <c r="CZ34" s="24"/>
      <c r="DQ34" s="24"/>
      <c r="EH34" s="24"/>
      <c r="EY34" s="24"/>
      <c r="FP34" s="24"/>
      <c r="GG34" s="24"/>
      <c r="GX34" s="24"/>
      <c r="HO34" s="24"/>
      <c r="IF34" s="24"/>
    </row>
    <row r="35" spans="1:240" s="23" customFormat="1" x14ac:dyDescent="0.25">
      <c r="A35" s="30" t="str">
        <f t="shared" si="45"/>
        <v>ALEXANDER HERNANDEZ</v>
      </c>
      <c r="B35" s="30" t="str">
        <f t="shared" si="45"/>
        <v/>
      </c>
      <c r="C35" s="16">
        <f t="shared" si="46"/>
        <v>0</v>
      </c>
      <c r="D35" s="16">
        <f t="shared" si="47"/>
        <v>1</v>
      </c>
      <c r="E35" s="16">
        <f t="shared" si="48"/>
        <v>0</v>
      </c>
      <c r="F35" s="16">
        <f t="shared" si="49"/>
        <v>0</v>
      </c>
      <c r="G35" s="16">
        <f t="shared" si="50"/>
        <v>0</v>
      </c>
      <c r="H35" s="16">
        <f t="shared" si="51"/>
        <v>0</v>
      </c>
      <c r="I35" s="16">
        <f t="shared" si="52"/>
        <v>1</v>
      </c>
      <c r="J35" s="16">
        <f t="shared" si="53"/>
        <v>0</v>
      </c>
      <c r="K35" s="16">
        <f t="shared" si="54"/>
        <v>3</v>
      </c>
      <c r="L35" s="16">
        <f t="shared" si="55"/>
        <v>3</v>
      </c>
      <c r="M35" s="16">
        <f t="shared" si="56"/>
        <v>0</v>
      </c>
      <c r="N35" s="16">
        <f t="shared" si="57"/>
        <v>0</v>
      </c>
      <c r="O35" s="16">
        <f t="shared" si="58"/>
        <v>0</v>
      </c>
      <c r="P35" s="16">
        <f t="shared" si="59"/>
        <v>0</v>
      </c>
      <c r="Q35" s="16">
        <f t="shared" si="60"/>
        <v>0</v>
      </c>
      <c r="R35" s="16">
        <f t="shared" si="61"/>
        <v>3</v>
      </c>
      <c r="S35" s="24"/>
      <c r="T35" s="31">
        <f t="shared" si="62"/>
        <v>0</v>
      </c>
      <c r="U35" s="31">
        <f t="shared" si="63"/>
        <v>0</v>
      </c>
      <c r="AJ35" s="24"/>
      <c r="BA35" s="24"/>
      <c r="BR35" s="24"/>
      <c r="CI35" s="24"/>
      <c r="CZ35" s="24"/>
      <c r="DQ35" s="24"/>
      <c r="EH35" s="24"/>
      <c r="EY35" s="24"/>
      <c r="FP35" s="24"/>
      <c r="GG35" s="24"/>
      <c r="GX35" s="24"/>
      <c r="HO35" s="24"/>
      <c r="IF35" s="24"/>
    </row>
    <row r="36" spans="1:240" s="23" customFormat="1" x14ac:dyDescent="0.25">
      <c r="A36" s="30" t="str">
        <f t="shared" si="45"/>
        <v>DANIEL LIENDO</v>
      </c>
      <c r="B36" s="30" t="str">
        <f t="shared" si="45"/>
        <v/>
      </c>
      <c r="C36" s="16">
        <f t="shared" si="46"/>
        <v>1</v>
      </c>
      <c r="D36" s="16">
        <f t="shared" si="47"/>
        <v>0</v>
      </c>
      <c r="E36" s="16">
        <f t="shared" si="48"/>
        <v>0</v>
      </c>
      <c r="F36" s="16">
        <f t="shared" si="49"/>
        <v>0</v>
      </c>
      <c r="G36" s="16">
        <f t="shared" si="50"/>
        <v>0</v>
      </c>
      <c r="H36" s="16">
        <f t="shared" si="51"/>
        <v>0</v>
      </c>
      <c r="I36" s="16">
        <f t="shared" si="52"/>
        <v>0</v>
      </c>
      <c r="J36" s="16">
        <f t="shared" si="53"/>
        <v>0</v>
      </c>
      <c r="K36" s="16">
        <f t="shared" si="54"/>
        <v>0</v>
      </c>
      <c r="L36" s="16">
        <f t="shared" si="55"/>
        <v>0</v>
      </c>
      <c r="M36" s="16">
        <f t="shared" si="56"/>
        <v>0</v>
      </c>
      <c r="N36" s="16">
        <f t="shared" si="57"/>
        <v>0</v>
      </c>
      <c r="O36" s="16">
        <f t="shared" si="58"/>
        <v>0</v>
      </c>
      <c r="P36" s="16">
        <f t="shared" si="59"/>
        <v>0</v>
      </c>
      <c r="Q36" s="16">
        <f t="shared" si="60"/>
        <v>0</v>
      </c>
      <c r="R36" s="16">
        <f t="shared" si="61"/>
        <v>1</v>
      </c>
      <c r="S36" s="24"/>
      <c r="T36" s="31">
        <f t="shared" si="62"/>
        <v>0</v>
      </c>
      <c r="U36" s="31">
        <f t="shared" si="63"/>
        <v>0</v>
      </c>
      <c r="AJ36" s="24"/>
      <c r="BA36" s="24"/>
      <c r="BR36" s="24"/>
      <c r="CI36" s="24"/>
      <c r="CZ36" s="24"/>
      <c r="DQ36" s="24"/>
      <c r="EH36" s="24"/>
      <c r="EY36" s="24"/>
      <c r="FP36" s="24"/>
      <c r="GG36" s="24"/>
      <c r="GX36" s="24"/>
      <c r="HO36" s="24"/>
      <c r="IF36" s="24"/>
    </row>
    <row r="37" spans="1:240" s="23" customFormat="1" x14ac:dyDescent="0.25">
      <c r="A37" s="30" t="str">
        <f t="shared" si="45"/>
        <v>SEBASTIAN MUJICA</v>
      </c>
      <c r="B37" s="30" t="str">
        <f t="shared" si="45"/>
        <v/>
      </c>
      <c r="C37" s="16">
        <f t="shared" si="46"/>
        <v>2</v>
      </c>
      <c r="D37" s="16">
        <f t="shared" si="47"/>
        <v>0</v>
      </c>
      <c r="E37" s="16">
        <f t="shared" si="48"/>
        <v>0</v>
      </c>
      <c r="F37" s="16">
        <f t="shared" si="49"/>
        <v>0</v>
      </c>
      <c r="G37" s="16">
        <f t="shared" si="50"/>
        <v>0</v>
      </c>
      <c r="H37" s="16">
        <f t="shared" si="51"/>
        <v>0</v>
      </c>
      <c r="I37" s="16">
        <f t="shared" si="52"/>
        <v>0</v>
      </c>
      <c r="J37" s="16">
        <f t="shared" si="53"/>
        <v>1</v>
      </c>
      <c r="K37" s="16">
        <f t="shared" si="54"/>
        <v>0</v>
      </c>
      <c r="L37" s="16">
        <f t="shared" si="55"/>
        <v>0</v>
      </c>
      <c r="M37" s="16">
        <f t="shared" si="56"/>
        <v>0</v>
      </c>
      <c r="N37" s="16">
        <f t="shared" si="57"/>
        <v>0</v>
      </c>
      <c r="O37" s="16">
        <f t="shared" si="58"/>
        <v>0</v>
      </c>
      <c r="P37" s="16">
        <f t="shared" si="59"/>
        <v>0</v>
      </c>
      <c r="Q37" s="16">
        <f t="shared" si="60"/>
        <v>0</v>
      </c>
      <c r="R37" s="16">
        <f t="shared" si="61"/>
        <v>2</v>
      </c>
      <c r="S37" s="24"/>
      <c r="T37" s="31">
        <f t="shared" si="62"/>
        <v>0</v>
      </c>
      <c r="U37" s="31">
        <f t="shared" si="63"/>
        <v>0</v>
      </c>
      <c r="AJ37" s="24"/>
      <c r="BA37" s="24"/>
      <c r="BR37" s="24"/>
      <c r="CI37" s="24"/>
      <c r="CZ37" s="24"/>
      <c r="DQ37" s="24"/>
      <c r="EH37" s="24"/>
      <c r="EY37" s="24"/>
      <c r="FP37" s="24"/>
      <c r="GG37" s="24"/>
      <c r="GX37" s="24"/>
      <c r="HO37" s="24"/>
      <c r="IF37" s="24"/>
    </row>
    <row r="38" spans="1:240" s="23" customFormat="1" x14ac:dyDescent="0.25">
      <c r="A38" s="30" t="str">
        <f t="shared" si="45"/>
        <v>ANGEL RODRIGUEZ</v>
      </c>
      <c r="B38" s="30" t="str">
        <f t="shared" si="45"/>
        <v/>
      </c>
      <c r="C38" s="16">
        <f t="shared" si="46"/>
        <v>3</v>
      </c>
      <c r="D38" s="16">
        <f t="shared" si="47"/>
        <v>2</v>
      </c>
      <c r="E38" s="16">
        <f t="shared" si="48"/>
        <v>2</v>
      </c>
      <c r="F38" s="16">
        <f t="shared" si="49"/>
        <v>0</v>
      </c>
      <c r="G38" s="16">
        <f t="shared" si="50"/>
        <v>0</v>
      </c>
      <c r="H38" s="16">
        <f t="shared" si="51"/>
        <v>0</v>
      </c>
      <c r="I38" s="16">
        <f t="shared" si="52"/>
        <v>1</v>
      </c>
      <c r="J38" s="16">
        <f t="shared" si="53"/>
        <v>1</v>
      </c>
      <c r="K38" s="16">
        <f t="shared" si="54"/>
        <v>0</v>
      </c>
      <c r="L38" s="16">
        <f t="shared" si="55"/>
        <v>1</v>
      </c>
      <c r="M38" s="16">
        <f t="shared" si="56"/>
        <v>0</v>
      </c>
      <c r="N38" s="16">
        <f t="shared" si="57"/>
        <v>0</v>
      </c>
      <c r="O38" s="16">
        <f t="shared" si="58"/>
        <v>0</v>
      </c>
      <c r="P38" s="16">
        <f t="shared" si="59"/>
        <v>0</v>
      </c>
      <c r="Q38" s="16">
        <f t="shared" si="60"/>
        <v>2</v>
      </c>
      <c r="R38" s="16">
        <f t="shared" si="61"/>
        <v>3</v>
      </c>
      <c r="S38" s="24"/>
      <c r="T38" s="31">
        <f t="shared" si="62"/>
        <v>666.66666666666663</v>
      </c>
      <c r="U38" s="31">
        <f t="shared" si="63"/>
        <v>666.66666666666663</v>
      </c>
      <c r="AJ38" s="24"/>
      <c r="BA38" s="24"/>
      <c r="BR38" s="24"/>
      <c r="CI38" s="24"/>
      <c r="CZ38" s="24"/>
      <c r="DQ38" s="24"/>
      <c r="EH38" s="24"/>
      <c r="EY38" s="24"/>
      <c r="FP38" s="24"/>
      <c r="GG38" s="24"/>
      <c r="GX38" s="24"/>
      <c r="HO38" s="24"/>
      <c r="IF38" s="24"/>
    </row>
    <row r="39" spans="1:240" s="23" customFormat="1" x14ac:dyDescent="0.25">
      <c r="A39" s="30" t="str">
        <f t="shared" si="45"/>
        <v>FRANCISCO MONASTERIO</v>
      </c>
      <c r="B39" s="30" t="str">
        <f t="shared" si="45"/>
        <v/>
      </c>
      <c r="C39" s="16">
        <f t="shared" si="46"/>
        <v>3</v>
      </c>
      <c r="D39" s="16">
        <f t="shared" si="47"/>
        <v>1</v>
      </c>
      <c r="E39" s="16">
        <f t="shared" si="48"/>
        <v>2</v>
      </c>
      <c r="F39" s="16">
        <f t="shared" si="49"/>
        <v>0</v>
      </c>
      <c r="G39" s="16">
        <f t="shared" si="50"/>
        <v>1</v>
      </c>
      <c r="H39" s="16">
        <f t="shared" si="51"/>
        <v>0</v>
      </c>
      <c r="I39" s="16">
        <f t="shared" si="52"/>
        <v>0</v>
      </c>
      <c r="J39" s="16">
        <f t="shared" si="53"/>
        <v>0</v>
      </c>
      <c r="K39" s="16">
        <f t="shared" si="54"/>
        <v>0</v>
      </c>
      <c r="L39" s="16">
        <f t="shared" si="55"/>
        <v>0</v>
      </c>
      <c r="M39" s="16">
        <f t="shared" si="56"/>
        <v>0</v>
      </c>
      <c r="N39" s="16">
        <f t="shared" si="57"/>
        <v>0</v>
      </c>
      <c r="O39" s="16">
        <f t="shared" si="58"/>
        <v>0</v>
      </c>
      <c r="P39" s="16">
        <f t="shared" si="59"/>
        <v>0</v>
      </c>
      <c r="Q39" s="16">
        <f t="shared" si="60"/>
        <v>4</v>
      </c>
      <c r="R39" s="16">
        <f t="shared" si="61"/>
        <v>3</v>
      </c>
      <c r="S39" s="24"/>
      <c r="T39" s="31">
        <f t="shared" si="62"/>
        <v>666.66666666666663</v>
      </c>
      <c r="U39" s="31">
        <f t="shared" si="63"/>
        <v>1333.3333333333333</v>
      </c>
      <c r="AJ39" s="24"/>
      <c r="BA39" s="24"/>
      <c r="BR39" s="24"/>
      <c r="CI39" s="24"/>
      <c r="CZ39" s="24"/>
      <c r="DQ39" s="24"/>
      <c r="EH39" s="24"/>
      <c r="EY39" s="24"/>
      <c r="FP39" s="24"/>
      <c r="GG39" s="24"/>
      <c r="GX39" s="24"/>
      <c r="HO39" s="24"/>
      <c r="IF39" s="24"/>
    </row>
    <row r="40" spans="1:240" s="23" customFormat="1" x14ac:dyDescent="0.25">
      <c r="A40" s="30" t="str">
        <f t="shared" si="45"/>
        <v>MARCOS MORALES</v>
      </c>
      <c r="B40" s="30" t="str">
        <f t="shared" si="45"/>
        <v/>
      </c>
      <c r="C40" s="16">
        <f t="shared" si="46"/>
        <v>3</v>
      </c>
      <c r="D40" s="16">
        <f t="shared" si="47"/>
        <v>2</v>
      </c>
      <c r="E40" s="16">
        <f t="shared" si="48"/>
        <v>2</v>
      </c>
      <c r="F40" s="16">
        <f t="shared" si="49"/>
        <v>1</v>
      </c>
      <c r="G40" s="16">
        <f t="shared" si="50"/>
        <v>0</v>
      </c>
      <c r="H40" s="16">
        <f t="shared" si="51"/>
        <v>0</v>
      </c>
      <c r="I40" s="16">
        <f t="shared" si="52"/>
        <v>2</v>
      </c>
      <c r="J40" s="16">
        <f t="shared" si="53"/>
        <v>1</v>
      </c>
      <c r="K40" s="16">
        <f t="shared" si="54"/>
        <v>0</v>
      </c>
      <c r="L40" s="16">
        <f t="shared" si="55"/>
        <v>3</v>
      </c>
      <c r="M40" s="16">
        <f t="shared" si="56"/>
        <v>0</v>
      </c>
      <c r="N40" s="16">
        <f t="shared" si="57"/>
        <v>0</v>
      </c>
      <c r="O40" s="16">
        <f t="shared" si="58"/>
        <v>0</v>
      </c>
      <c r="P40" s="16">
        <f t="shared" si="59"/>
        <v>0</v>
      </c>
      <c r="Q40" s="16">
        <f t="shared" si="60"/>
        <v>3</v>
      </c>
      <c r="R40" s="16">
        <f t="shared" si="61"/>
        <v>3</v>
      </c>
      <c r="S40" s="24"/>
      <c r="T40" s="31">
        <f t="shared" si="62"/>
        <v>666.66666666666663</v>
      </c>
      <c r="U40" s="31">
        <f t="shared" si="63"/>
        <v>1000</v>
      </c>
      <c r="AJ40" s="24"/>
      <c r="BA40" s="24"/>
      <c r="BR40" s="24"/>
      <c r="CI40" s="24"/>
      <c r="CZ40" s="24"/>
      <c r="DQ40" s="24"/>
      <c r="EH40" s="24"/>
      <c r="EY40" s="24"/>
      <c r="FP40" s="24"/>
      <c r="GG40" s="24"/>
      <c r="GX40" s="24"/>
      <c r="HO40" s="24"/>
      <c r="IF40" s="24"/>
    </row>
    <row r="41" spans="1:240" s="23" customFormat="1" x14ac:dyDescent="0.25">
      <c r="A41" s="30" t="str">
        <f t="shared" si="45"/>
        <v>ADRIAN MURILLO</v>
      </c>
      <c r="B41" s="30" t="str">
        <f t="shared" si="45"/>
        <v/>
      </c>
      <c r="C41" s="16">
        <f t="shared" si="46"/>
        <v>2</v>
      </c>
      <c r="D41" s="16">
        <f t="shared" si="47"/>
        <v>1</v>
      </c>
      <c r="E41" s="16">
        <f t="shared" si="48"/>
        <v>0</v>
      </c>
      <c r="F41" s="16">
        <f t="shared" si="49"/>
        <v>0</v>
      </c>
      <c r="G41" s="16">
        <f t="shared" si="50"/>
        <v>0</v>
      </c>
      <c r="H41" s="16">
        <f t="shared" si="51"/>
        <v>0</v>
      </c>
      <c r="I41" s="16">
        <f t="shared" si="52"/>
        <v>0</v>
      </c>
      <c r="J41" s="16">
        <f t="shared" si="53"/>
        <v>1</v>
      </c>
      <c r="K41" s="16">
        <f t="shared" si="54"/>
        <v>1</v>
      </c>
      <c r="L41" s="16">
        <f t="shared" si="55"/>
        <v>1</v>
      </c>
      <c r="M41" s="16">
        <f t="shared" si="56"/>
        <v>0</v>
      </c>
      <c r="N41" s="16">
        <f t="shared" si="57"/>
        <v>0</v>
      </c>
      <c r="O41" s="16">
        <f t="shared" si="58"/>
        <v>0</v>
      </c>
      <c r="P41" s="16">
        <f t="shared" si="59"/>
        <v>0</v>
      </c>
      <c r="Q41" s="16">
        <f t="shared" si="60"/>
        <v>0</v>
      </c>
      <c r="R41" s="16">
        <f t="shared" si="61"/>
        <v>3</v>
      </c>
      <c r="S41" s="24"/>
      <c r="T41" s="31">
        <f t="shared" si="62"/>
        <v>0</v>
      </c>
      <c r="U41" s="31">
        <f t="shared" si="63"/>
        <v>0</v>
      </c>
      <c r="AJ41" s="24"/>
      <c r="BA41" s="24"/>
      <c r="BR41" s="24"/>
      <c r="CI41" s="24"/>
      <c r="CZ41" s="24"/>
      <c r="DQ41" s="24"/>
      <c r="EH41" s="24"/>
      <c r="EY41" s="24"/>
      <c r="FP41" s="24"/>
      <c r="GG41" s="24"/>
      <c r="GX41" s="24"/>
      <c r="HO41" s="24"/>
      <c r="IF41" s="24"/>
    </row>
    <row r="42" spans="1:240" s="23" customFormat="1" x14ac:dyDescent="0.25">
      <c r="A42" s="30" t="str">
        <f t="shared" si="45"/>
        <v>DARGREYBER RODRIGUEZ</v>
      </c>
      <c r="B42" s="30" t="str">
        <f t="shared" si="45"/>
        <v/>
      </c>
      <c r="C42" s="16">
        <f t="shared" si="46"/>
        <v>0</v>
      </c>
      <c r="D42" s="16">
        <f t="shared" si="47"/>
        <v>0</v>
      </c>
      <c r="E42" s="16">
        <f t="shared" si="48"/>
        <v>0</v>
      </c>
      <c r="F42" s="16">
        <f t="shared" si="49"/>
        <v>0</v>
      </c>
      <c r="G42" s="16">
        <f t="shared" si="50"/>
        <v>0</v>
      </c>
      <c r="H42" s="16">
        <f t="shared" si="51"/>
        <v>0</v>
      </c>
      <c r="I42" s="16">
        <f t="shared" si="52"/>
        <v>0</v>
      </c>
      <c r="J42" s="16">
        <f t="shared" si="53"/>
        <v>0</v>
      </c>
      <c r="K42" s="16">
        <f t="shared" si="54"/>
        <v>0</v>
      </c>
      <c r="L42" s="16">
        <f t="shared" si="55"/>
        <v>0</v>
      </c>
      <c r="M42" s="16">
        <f t="shared" si="56"/>
        <v>0</v>
      </c>
      <c r="N42" s="16">
        <f t="shared" si="57"/>
        <v>0</v>
      </c>
      <c r="O42" s="16">
        <f t="shared" si="58"/>
        <v>0</v>
      </c>
      <c r="P42" s="16">
        <f t="shared" si="59"/>
        <v>0</v>
      </c>
      <c r="Q42" s="16">
        <f t="shared" si="60"/>
        <v>0</v>
      </c>
      <c r="R42" s="16">
        <f t="shared" si="61"/>
        <v>0</v>
      </c>
      <c r="S42" s="24"/>
      <c r="T42" s="31">
        <f t="shared" si="62"/>
        <v>0</v>
      </c>
      <c r="U42" s="31">
        <f t="shared" si="63"/>
        <v>0</v>
      </c>
      <c r="AJ42" s="24"/>
      <c r="BA42" s="24"/>
      <c r="BR42" s="24"/>
      <c r="CI42" s="24"/>
      <c r="CZ42" s="24"/>
      <c r="DQ42" s="24"/>
      <c r="EH42" s="24"/>
      <c r="EY42" s="24"/>
      <c r="FP42" s="24"/>
      <c r="GG42" s="24"/>
      <c r="GX42" s="24"/>
      <c r="HO42" s="24"/>
      <c r="IF42" s="24"/>
    </row>
    <row r="43" spans="1:240" s="23" customFormat="1" x14ac:dyDescent="0.25">
      <c r="A43" s="30" t="str">
        <f t="shared" si="45"/>
        <v>JENSE FLORES</v>
      </c>
      <c r="B43" s="30" t="str">
        <f t="shared" si="45"/>
        <v/>
      </c>
      <c r="C43" s="16">
        <f t="shared" si="46"/>
        <v>0</v>
      </c>
      <c r="D43" s="16">
        <f t="shared" si="47"/>
        <v>0</v>
      </c>
      <c r="E43" s="16">
        <f t="shared" si="48"/>
        <v>0</v>
      </c>
      <c r="F43" s="16">
        <f t="shared" si="49"/>
        <v>0</v>
      </c>
      <c r="G43" s="16">
        <f t="shared" si="50"/>
        <v>0</v>
      </c>
      <c r="H43" s="16">
        <f t="shared" si="51"/>
        <v>0</v>
      </c>
      <c r="I43" s="16">
        <f t="shared" si="52"/>
        <v>0</v>
      </c>
      <c r="J43" s="16">
        <f t="shared" si="53"/>
        <v>0</v>
      </c>
      <c r="K43" s="16">
        <f t="shared" si="54"/>
        <v>0</v>
      </c>
      <c r="L43" s="16">
        <f t="shared" si="55"/>
        <v>0</v>
      </c>
      <c r="M43" s="16">
        <f t="shared" si="56"/>
        <v>0</v>
      </c>
      <c r="N43" s="16">
        <f t="shared" si="57"/>
        <v>0</v>
      </c>
      <c r="O43" s="16">
        <f t="shared" si="58"/>
        <v>0</v>
      </c>
      <c r="P43" s="16">
        <f t="shared" si="59"/>
        <v>0</v>
      </c>
      <c r="Q43" s="16">
        <f t="shared" si="60"/>
        <v>0</v>
      </c>
      <c r="R43" s="16">
        <f t="shared" si="61"/>
        <v>0</v>
      </c>
      <c r="S43" s="24"/>
      <c r="T43" s="31">
        <f t="shared" si="62"/>
        <v>0</v>
      </c>
      <c r="U43" s="31">
        <f t="shared" si="63"/>
        <v>0</v>
      </c>
      <c r="AJ43" s="24"/>
      <c r="BA43" s="24"/>
      <c r="BR43" s="24"/>
      <c r="CI43" s="24"/>
      <c r="CZ43" s="24"/>
      <c r="DQ43" s="24"/>
      <c r="EH43" s="24"/>
      <c r="EY43" s="24"/>
      <c r="FP43" s="24"/>
      <c r="GG43" s="24"/>
      <c r="GX43" s="24"/>
      <c r="HO43" s="24"/>
      <c r="IF43" s="24"/>
    </row>
    <row r="44" spans="1:240" s="23" customFormat="1" x14ac:dyDescent="0.25">
      <c r="A44" s="30" t="str">
        <f t="shared" si="45"/>
        <v/>
      </c>
      <c r="B44" s="30" t="str">
        <f t="shared" si="45"/>
        <v/>
      </c>
      <c r="C44" s="16">
        <f t="shared" si="46"/>
        <v>0</v>
      </c>
      <c r="D44" s="16">
        <f t="shared" si="47"/>
        <v>0</v>
      </c>
      <c r="E44" s="16">
        <f t="shared" si="48"/>
        <v>0</v>
      </c>
      <c r="F44" s="16">
        <f t="shared" si="49"/>
        <v>0</v>
      </c>
      <c r="G44" s="16">
        <f t="shared" si="50"/>
        <v>0</v>
      </c>
      <c r="H44" s="16">
        <f t="shared" si="51"/>
        <v>0</v>
      </c>
      <c r="I44" s="16">
        <f t="shared" si="52"/>
        <v>0</v>
      </c>
      <c r="J44" s="16">
        <f t="shared" si="53"/>
        <v>0</v>
      </c>
      <c r="K44" s="16">
        <f t="shared" si="54"/>
        <v>0</v>
      </c>
      <c r="L44" s="16">
        <f t="shared" si="55"/>
        <v>0</v>
      </c>
      <c r="M44" s="16">
        <f t="shared" si="56"/>
        <v>0</v>
      </c>
      <c r="N44" s="16">
        <f t="shared" si="57"/>
        <v>0</v>
      </c>
      <c r="O44" s="16">
        <f t="shared" si="58"/>
        <v>0</v>
      </c>
      <c r="P44" s="16">
        <f t="shared" si="59"/>
        <v>0</v>
      </c>
      <c r="Q44" s="16">
        <f t="shared" si="60"/>
        <v>0</v>
      </c>
      <c r="R44" s="16">
        <f t="shared" si="61"/>
        <v>0</v>
      </c>
      <c r="S44" s="24"/>
      <c r="T44" s="31">
        <f t="shared" si="62"/>
        <v>0</v>
      </c>
      <c r="U44" s="31">
        <f t="shared" si="63"/>
        <v>0</v>
      </c>
      <c r="AJ44" s="24"/>
      <c r="BA44" s="24"/>
      <c r="BR44" s="24"/>
      <c r="CI44" s="24"/>
      <c r="CZ44" s="24"/>
      <c r="DQ44" s="24"/>
      <c r="EH44" s="24"/>
      <c r="EY44" s="24"/>
      <c r="FP44" s="24"/>
      <c r="GG44" s="24"/>
      <c r="GX44" s="24"/>
      <c r="HO44" s="24"/>
      <c r="IF44" s="24"/>
    </row>
    <row r="45" spans="1:240" s="23" customFormat="1" x14ac:dyDescent="0.25">
      <c r="A45" s="30" t="str">
        <f t="shared" si="45"/>
        <v/>
      </c>
      <c r="B45" s="30" t="str">
        <f t="shared" si="45"/>
        <v/>
      </c>
      <c r="C45" s="16">
        <f t="shared" si="46"/>
        <v>0</v>
      </c>
      <c r="D45" s="16">
        <f t="shared" si="47"/>
        <v>0</v>
      </c>
      <c r="E45" s="16">
        <f t="shared" si="48"/>
        <v>0</v>
      </c>
      <c r="F45" s="16">
        <f t="shared" si="49"/>
        <v>0</v>
      </c>
      <c r="G45" s="16">
        <f t="shared" si="50"/>
        <v>0</v>
      </c>
      <c r="H45" s="16">
        <f t="shared" si="51"/>
        <v>0</v>
      </c>
      <c r="I45" s="16">
        <f t="shared" si="52"/>
        <v>0</v>
      </c>
      <c r="J45" s="16">
        <f t="shared" si="53"/>
        <v>0</v>
      </c>
      <c r="K45" s="16">
        <f t="shared" si="54"/>
        <v>0</v>
      </c>
      <c r="L45" s="16">
        <f t="shared" si="55"/>
        <v>0</v>
      </c>
      <c r="M45" s="16">
        <f t="shared" si="56"/>
        <v>0</v>
      </c>
      <c r="N45" s="16">
        <f t="shared" si="57"/>
        <v>0</v>
      </c>
      <c r="O45" s="16">
        <f t="shared" si="58"/>
        <v>0</v>
      </c>
      <c r="P45" s="16">
        <f t="shared" si="59"/>
        <v>0</v>
      </c>
      <c r="Q45" s="16">
        <f t="shared" si="60"/>
        <v>0</v>
      </c>
      <c r="R45" s="16">
        <f t="shared" si="61"/>
        <v>0</v>
      </c>
      <c r="S45" s="24"/>
      <c r="T45" s="31">
        <f t="shared" si="62"/>
        <v>0</v>
      </c>
      <c r="U45" s="31">
        <f t="shared" si="63"/>
        <v>0</v>
      </c>
      <c r="AJ45" s="24"/>
      <c r="BA45" s="24"/>
      <c r="BR45" s="24"/>
      <c r="CI45" s="24"/>
      <c r="CZ45" s="24"/>
      <c r="DQ45" s="24"/>
      <c r="EH45" s="24"/>
      <c r="EY45" s="24"/>
      <c r="FP45" s="24"/>
      <c r="GG45" s="24"/>
      <c r="GX45" s="24"/>
      <c r="HO45" s="24"/>
      <c r="IF45" s="24"/>
    </row>
    <row r="46" spans="1:240" s="23" customFormat="1" x14ac:dyDescent="0.25">
      <c r="A46" s="30" t="str">
        <f t="shared" si="45"/>
        <v/>
      </c>
      <c r="B46" s="30" t="str">
        <f t="shared" si="45"/>
        <v/>
      </c>
      <c r="C46" s="16">
        <f t="shared" si="46"/>
        <v>0</v>
      </c>
      <c r="D46" s="16">
        <f t="shared" si="47"/>
        <v>0</v>
      </c>
      <c r="E46" s="16">
        <f t="shared" si="48"/>
        <v>0</v>
      </c>
      <c r="F46" s="16">
        <f t="shared" si="49"/>
        <v>0</v>
      </c>
      <c r="G46" s="16">
        <f t="shared" si="50"/>
        <v>0</v>
      </c>
      <c r="H46" s="16">
        <f t="shared" si="51"/>
        <v>0</v>
      </c>
      <c r="I46" s="16">
        <f t="shared" si="52"/>
        <v>0</v>
      </c>
      <c r="J46" s="16">
        <f t="shared" si="53"/>
        <v>0</v>
      </c>
      <c r="K46" s="16">
        <f t="shared" si="54"/>
        <v>0</v>
      </c>
      <c r="L46" s="16">
        <f t="shared" si="55"/>
        <v>0</v>
      </c>
      <c r="M46" s="16">
        <f t="shared" si="56"/>
        <v>0</v>
      </c>
      <c r="N46" s="16">
        <f t="shared" si="57"/>
        <v>0</v>
      </c>
      <c r="O46" s="16">
        <f t="shared" si="58"/>
        <v>0</v>
      </c>
      <c r="P46" s="16">
        <f t="shared" si="59"/>
        <v>0</v>
      </c>
      <c r="Q46" s="16">
        <f t="shared" si="60"/>
        <v>0</v>
      </c>
      <c r="R46" s="16">
        <f t="shared" si="61"/>
        <v>0</v>
      </c>
      <c r="S46" s="24"/>
      <c r="T46" s="31">
        <f t="shared" si="62"/>
        <v>0</v>
      </c>
      <c r="U46" s="31">
        <f t="shared" si="63"/>
        <v>0</v>
      </c>
      <c r="AJ46" s="24"/>
      <c r="BA46" s="24"/>
      <c r="BR46" s="24"/>
      <c r="CI46" s="24"/>
      <c r="CZ46" s="24"/>
      <c r="DQ46" s="24"/>
      <c r="EH46" s="24"/>
      <c r="EY46" s="24"/>
      <c r="FP46" s="24"/>
      <c r="GG46" s="24"/>
      <c r="GX46" s="24"/>
      <c r="HO46" s="24"/>
      <c r="IF46" s="24"/>
    </row>
    <row r="47" spans="1:240" x14ac:dyDescent="0.25">
      <c r="A47" s="30" t="str">
        <f t="shared" si="45"/>
        <v/>
      </c>
      <c r="B47" s="30" t="str">
        <f t="shared" si="45"/>
        <v/>
      </c>
      <c r="C47" s="16">
        <f t="shared" si="46"/>
        <v>0</v>
      </c>
      <c r="D47" s="16">
        <f t="shared" si="47"/>
        <v>0</v>
      </c>
      <c r="E47" s="16">
        <f t="shared" si="48"/>
        <v>0</v>
      </c>
      <c r="F47" s="16">
        <f t="shared" si="49"/>
        <v>0</v>
      </c>
      <c r="G47" s="16">
        <f t="shared" si="50"/>
        <v>0</v>
      </c>
      <c r="H47" s="16">
        <f t="shared" si="51"/>
        <v>0</v>
      </c>
      <c r="I47" s="16">
        <f t="shared" si="52"/>
        <v>0</v>
      </c>
      <c r="J47" s="16">
        <f t="shared" si="53"/>
        <v>0</v>
      </c>
      <c r="K47" s="16">
        <f t="shared" si="54"/>
        <v>0</v>
      </c>
      <c r="L47" s="16">
        <f t="shared" si="55"/>
        <v>0</v>
      </c>
      <c r="M47" s="16">
        <f t="shared" si="56"/>
        <v>0</v>
      </c>
      <c r="N47" s="16">
        <f t="shared" si="57"/>
        <v>0</v>
      </c>
      <c r="O47" s="16">
        <f t="shared" si="58"/>
        <v>0</v>
      </c>
      <c r="P47" s="16">
        <f t="shared" si="59"/>
        <v>0</v>
      </c>
      <c r="Q47" s="16">
        <f t="shared" si="60"/>
        <v>0</v>
      </c>
      <c r="R47" s="16">
        <f t="shared" si="61"/>
        <v>0</v>
      </c>
      <c r="S47" s="2"/>
      <c r="T47" s="31">
        <f t="shared" si="62"/>
        <v>0</v>
      </c>
      <c r="U47" s="31">
        <f t="shared" si="63"/>
        <v>0</v>
      </c>
      <c r="AJ47" s="2"/>
      <c r="BA47" s="2"/>
      <c r="BR47" s="2"/>
      <c r="CI47" s="2"/>
      <c r="CZ47" s="2"/>
      <c r="DQ47" s="2"/>
      <c r="EH47" s="2"/>
      <c r="EY47" s="2"/>
      <c r="FP47" s="2"/>
      <c r="GG47" s="2"/>
      <c r="GX47" s="2"/>
      <c r="HO47" s="2"/>
      <c r="IF47" s="2"/>
    </row>
    <row r="48" spans="1:240" x14ac:dyDescent="0.25">
      <c r="A48" s="30" t="str">
        <f t="shared" si="45"/>
        <v/>
      </c>
      <c r="B48" s="30" t="str">
        <f t="shared" si="45"/>
        <v/>
      </c>
      <c r="C48" s="16">
        <f t="shared" si="46"/>
        <v>0</v>
      </c>
      <c r="D48" s="16">
        <f t="shared" si="47"/>
        <v>0</v>
      </c>
      <c r="E48" s="16">
        <f t="shared" si="48"/>
        <v>0</v>
      </c>
      <c r="F48" s="16">
        <f t="shared" si="49"/>
        <v>0</v>
      </c>
      <c r="G48" s="16">
        <f t="shared" si="50"/>
        <v>0</v>
      </c>
      <c r="H48" s="16">
        <f t="shared" si="51"/>
        <v>0</v>
      </c>
      <c r="I48" s="16">
        <f t="shared" si="52"/>
        <v>0</v>
      </c>
      <c r="J48" s="16">
        <f t="shared" si="53"/>
        <v>0</v>
      </c>
      <c r="K48" s="16">
        <f t="shared" si="54"/>
        <v>0</v>
      </c>
      <c r="L48" s="16">
        <f t="shared" si="55"/>
        <v>0</v>
      </c>
      <c r="M48" s="16">
        <f t="shared" si="56"/>
        <v>0</v>
      </c>
      <c r="N48" s="16">
        <f t="shared" si="57"/>
        <v>0</v>
      </c>
      <c r="O48" s="16">
        <f t="shared" si="58"/>
        <v>0</v>
      </c>
      <c r="P48" s="16">
        <f t="shared" si="59"/>
        <v>0</v>
      </c>
      <c r="Q48" s="16">
        <f t="shared" si="60"/>
        <v>0</v>
      </c>
      <c r="R48" s="16">
        <f t="shared" si="61"/>
        <v>0</v>
      </c>
      <c r="S48" s="2"/>
      <c r="T48" s="31">
        <f t="shared" si="62"/>
        <v>0</v>
      </c>
      <c r="U48" s="31">
        <f t="shared" si="63"/>
        <v>0</v>
      </c>
      <c r="AJ48" s="2"/>
      <c r="BA48" s="2"/>
      <c r="BR48" s="2"/>
      <c r="CI48" s="2"/>
      <c r="CZ48" s="2"/>
      <c r="DQ48" s="2"/>
      <c r="EH48" s="2"/>
      <c r="EY48" s="2"/>
      <c r="FP48" s="2"/>
      <c r="GG48" s="2"/>
      <c r="GX48" s="2"/>
      <c r="HO48" s="2"/>
      <c r="IF48" s="2"/>
    </row>
    <row r="49" spans="1:240" x14ac:dyDescent="0.25">
      <c r="A49" s="30" t="str">
        <f t="shared" si="45"/>
        <v/>
      </c>
      <c r="B49" s="30" t="str">
        <f t="shared" si="45"/>
        <v/>
      </c>
      <c r="C49" s="16">
        <f t="shared" si="46"/>
        <v>0</v>
      </c>
      <c r="D49" s="16">
        <f t="shared" si="47"/>
        <v>0</v>
      </c>
      <c r="E49" s="16">
        <f t="shared" si="48"/>
        <v>0</v>
      </c>
      <c r="F49" s="16">
        <f t="shared" si="49"/>
        <v>0</v>
      </c>
      <c r="G49" s="16">
        <f t="shared" si="50"/>
        <v>0</v>
      </c>
      <c r="H49" s="16">
        <f t="shared" si="51"/>
        <v>0</v>
      </c>
      <c r="I49" s="16">
        <f t="shared" si="52"/>
        <v>0</v>
      </c>
      <c r="J49" s="16">
        <f t="shared" si="53"/>
        <v>0</v>
      </c>
      <c r="K49" s="16">
        <f t="shared" si="54"/>
        <v>0</v>
      </c>
      <c r="L49" s="16">
        <f t="shared" si="55"/>
        <v>0</v>
      </c>
      <c r="M49" s="16">
        <f t="shared" si="56"/>
        <v>0</v>
      </c>
      <c r="N49" s="16">
        <f t="shared" si="57"/>
        <v>0</v>
      </c>
      <c r="O49" s="16">
        <f t="shared" si="58"/>
        <v>0</v>
      </c>
      <c r="P49" s="16">
        <f t="shared" si="59"/>
        <v>0</v>
      </c>
      <c r="Q49" s="16">
        <f t="shared" si="60"/>
        <v>0</v>
      </c>
      <c r="R49" s="16">
        <f t="shared" si="61"/>
        <v>0</v>
      </c>
      <c r="S49" s="2"/>
      <c r="T49" s="31">
        <f t="shared" si="62"/>
        <v>0</v>
      </c>
      <c r="U49" s="31">
        <f t="shared" si="63"/>
        <v>0</v>
      </c>
      <c r="AJ49" s="2"/>
      <c r="BA49" s="2"/>
      <c r="BR49" s="2"/>
      <c r="CI49" s="2"/>
      <c r="CZ49" s="2"/>
      <c r="DQ49" s="2"/>
      <c r="EH49" s="2"/>
      <c r="EY49" s="2"/>
      <c r="FP49" s="2"/>
      <c r="GG49" s="2"/>
      <c r="GX49" s="2"/>
      <c r="HO49" s="2"/>
      <c r="IF49" s="2"/>
    </row>
    <row r="50" spans="1:240" ht="13.8" thickBot="1" x14ac:dyDescent="0.3">
      <c r="A50" s="30" t="str">
        <f t="shared" si="45"/>
        <v/>
      </c>
      <c r="B50" s="30" t="str">
        <f t="shared" si="45"/>
        <v/>
      </c>
      <c r="C50" s="16">
        <f t="shared" si="46"/>
        <v>0</v>
      </c>
      <c r="D50" s="16">
        <f t="shared" si="47"/>
        <v>0</v>
      </c>
      <c r="E50" s="16">
        <f t="shared" si="48"/>
        <v>0</v>
      </c>
      <c r="F50" s="16">
        <f t="shared" si="49"/>
        <v>0</v>
      </c>
      <c r="G50" s="16">
        <f t="shared" si="50"/>
        <v>0</v>
      </c>
      <c r="H50" s="16">
        <f t="shared" si="51"/>
        <v>0</v>
      </c>
      <c r="I50" s="16">
        <f t="shared" si="52"/>
        <v>0</v>
      </c>
      <c r="J50" s="16">
        <f t="shared" si="53"/>
        <v>0</v>
      </c>
      <c r="K50" s="16">
        <f t="shared" si="54"/>
        <v>0</v>
      </c>
      <c r="L50" s="16">
        <f t="shared" si="55"/>
        <v>0</v>
      </c>
      <c r="M50" s="16">
        <f t="shared" si="56"/>
        <v>0</v>
      </c>
      <c r="N50" s="16">
        <f t="shared" si="57"/>
        <v>0</v>
      </c>
      <c r="O50" s="16">
        <f t="shared" si="58"/>
        <v>0</v>
      </c>
      <c r="P50" s="16">
        <f t="shared" si="59"/>
        <v>0</v>
      </c>
      <c r="Q50" s="16">
        <f t="shared" si="60"/>
        <v>0</v>
      </c>
      <c r="R50" s="16">
        <f t="shared" si="61"/>
        <v>0</v>
      </c>
      <c r="S50" s="2"/>
      <c r="T50" s="31">
        <f t="shared" si="62"/>
        <v>0</v>
      </c>
      <c r="U50" s="31">
        <f t="shared" si="63"/>
        <v>0</v>
      </c>
      <c r="AJ50" s="2"/>
      <c r="BA50" s="2"/>
      <c r="BR50" s="2"/>
      <c r="CI50" s="2"/>
      <c r="CZ50" s="2"/>
      <c r="DQ50" s="2"/>
      <c r="EH50" s="2"/>
      <c r="EY50" s="2"/>
      <c r="FP50" s="2"/>
      <c r="GG50" s="2"/>
      <c r="GX50" s="2"/>
      <c r="HO50" s="2"/>
      <c r="IF50" s="2"/>
    </row>
    <row r="51" spans="1:240" ht="13.8" thickBot="1" x14ac:dyDescent="0.3">
      <c r="A51" s="62" t="s">
        <v>48</v>
      </c>
      <c r="B51" s="63"/>
      <c r="C51" s="32">
        <f>SUM(C32:C50)</f>
        <v>25</v>
      </c>
      <c r="D51" s="32">
        <f t="shared" ref="D51:P51" si="64">SUM(D32:D50)</f>
        <v>10</v>
      </c>
      <c r="E51" s="32">
        <f t="shared" si="64"/>
        <v>9</v>
      </c>
      <c r="F51" s="32">
        <f t="shared" si="64"/>
        <v>2</v>
      </c>
      <c r="G51" s="32">
        <f t="shared" si="64"/>
        <v>1</v>
      </c>
      <c r="H51" s="32">
        <f t="shared" si="64"/>
        <v>0</v>
      </c>
      <c r="I51" s="32">
        <f t="shared" si="64"/>
        <v>4</v>
      </c>
      <c r="J51" s="32">
        <f t="shared" si="64"/>
        <v>4</v>
      </c>
      <c r="K51" s="32">
        <f t="shared" si="64"/>
        <v>5</v>
      </c>
      <c r="L51" s="32">
        <f t="shared" si="64"/>
        <v>9</v>
      </c>
      <c r="M51" s="32">
        <f t="shared" si="64"/>
        <v>0</v>
      </c>
      <c r="N51" s="32">
        <f t="shared" si="64"/>
        <v>0</v>
      </c>
      <c r="O51" s="32">
        <f t="shared" si="64"/>
        <v>0</v>
      </c>
      <c r="P51" s="32">
        <f t="shared" si="64"/>
        <v>0</v>
      </c>
      <c r="Q51" s="32">
        <f>SUM(Q32:Q50)</f>
        <v>13</v>
      </c>
      <c r="R51" s="32">
        <f>SUM(R32:R50)</f>
        <v>30</v>
      </c>
      <c r="S51" s="33"/>
      <c r="T51" s="34">
        <f t="shared" si="62"/>
        <v>360</v>
      </c>
      <c r="U51" s="35">
        <f t="shared" si="63"/>
        <v>520</v>
      </c>
      <c r="AJ51" s="2"/>
      <c r="BA51" s="2"/>
      <c r="BR51" s="2"/>
      <c r="CI51" s="2"/>
      <c r="CZ51" s="2"/>
      <c r="DQ51" s="2"/>
      <c r="EH51" s="2"/>
      <c r="EY51" s="2"/>
      <c r="FP51" s="2"/>
      <c r="GG51" s="2"/>
      <c r="GX51" s="2"/>
      <c r="HO51" s="2"/>
      <c r="IF51" s="2"/>
    </row>
    <row r="52" spans="1:240" x14ac:dyDescent="0.25">
      <c r="S52" s="2"/>
      <c r="AJ52" s="2"/>
      <c r="BA52" s="2"/>
      <c r="BR52" s="2"/>
      <c r="CI52" s="2"/>
      <c r="CZ52" s="2"/>
      <c r="DQ52" s="2"/>
      <c r="EH52" s="2"/>
      <c r="EY52" s="2"/>
      <c r="FP52" s="2"/>
      <c r="GG52" s="2"/>
      <c r="GX52" s="2"/>
      <c r="HO52" s="2"/>
      <c r="IF52" s="2"/>
    </row>
    <row r="53" spans="1:240" x14ac:dyDescent="0.25">
      <c r="S53" s="2"/>
      <c r="AJ53" s="2"/>
      <c r="BA53" s="2"/>
      <c r="BR53" s="2"/>
      <c r="CI53" s="2"/>
      <c r="CZ53" s="2"/>
      <c r="DQ53" s="2"/>
      <c r="EH53" s="2"/>
      <c r="EY53" s="2"/>
      <c r="FP53" s="2"/>
      <c r="GG53" s="2"/>
      <c r="GX53" s="2"/>
      <c r="HO53" s="2"/>
      <c r="IF53" s="2"/>
    </row>
  </sheetData>
  <sheetProtection selectLockedCells="1" selectUnlockedCells="1"/>
  <mergeCells count="18">
    <mergeCell ref="GH6:GW6"/>
    <mergeCell ref="GY6:HN6"/>
    <mergeCell ref="HP6:IE6"/>
    <mergeCell ref="A27:B27"/>
    <mergeCell ref="A30:U30"/>
    <mergeCell ref="A51:B51"/>
    <mergeCell ref="CJ6:CY6"/>
    <mergeCell ref="DA6:DP6"/>
    <mergeCell ref="DR6:EG6"/>
    <mergeCell ref="EI6:EX6"/>
    <mergeCell ref="EZ6:FO6"/>
    <mergeCell ref="FQ6:GF6"/>
    <mergeCell ref="A6:B6"/>
    <mergeCell ref="C6:R6"/>
    <mergeCell ref="T6:AI6"/>
    <mergeCell ref="AK6:AZ6"/>
    <mergeCell ref="BB6:BQ6"/>
    <mergeCell ref="BS6:CH6"/>
  </mergeCell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 alignWithMargins="0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1940B-6769-467E-BEEF-3920B44D62C7}">
  <dimension ref="A1:IV53"/>
  <sheetViews>
    <sheetView zoomScale="180" zoomScaleNormal="180" workbookViewId="0">
      <pane xSplit="1" topLeftCell="B1" activePane="topRight" state="frozen"/>
      <selection pane="topRight" activeCell="B7" sqref="B7:B10"/>
    </sheetView>
  </sheetViews>
  <sheetFormatPr baseColWidth="10" defaultColWidth="4.33203125" defaultRowHeight="13.2" x14ac:dyDescent="0.25"/>
  <cols>
    <col min="1" max="1" width="26.109375" customWidth="1"/>
    <col min="2" max="2" width="3" customWidth="1"/>
    <col min="19" max="19" width="1" customWidth="1"/>
    <col min="36" max="36" width="1.5546875" customWidth="1"/>
    <col min="53" max="53" width="1.33203125" customWidth="1"/>
    <col min="70" max="70" width="1.33203125" customWidth="1"/>
    <col min="87" max="87" width="1.109375" customWidth="1"/>
    <col min="104" max="104" width="1.44140625" customWidth="1"/>
    <col min="121" max="121" width="1.5546875" customWidth="1"/>
    <col min="138" max="138" width="1.44140625" customWidth="1"/>
    <col min="155" max="155" width="1.33203125" customWidth="1"/>
    <col min="172" max="172" width="1.33203125" customWidth="1"/>
    <col min="189" max="189" width="1.33203125" customWidth="1"/>
    <col min="206" max="206" width="1.109375" customWidth="1"/>
    <col min="223" max="223" width="1.33203125" customWidth="1"/>
    <col min="240" max="240" width="1.44140625" customWidth="1"/>
  </cols>
  <sheetData>
    <row r="1" spans="1:256" x14ac:dyDescent="0.25">
      <c r="A1" s="1" t="s">
        <v>0</v>
      </c>
      <c r="B1" s="1"/>
      <c r="C1" s="1"/>
      <c r="D1" s="1"/>
      <c r="E1" s="1"/>
      <c r="F1" s="1"/>
      <c r="G1" s="1"/>
      <c r="S1" s="2"/>
      <c r="AJ1" s="2"/>
      <c r="BA1" s="2"/>
      <c r="BR1" s="2"/>
      <c r="CI1" s="2"/>
      <c r="CZ1" s="2"/>
      <c r="DQ1" s="2"/>
      <c r="EH1" s="2"/>
      <c r="EY1" s="2"/>
      <c r="FP1" s="2"/>
      <c r="GG1" s="2"/>
      <c r="GX1" s="2"/>
      <c r="HO1" s="2"/>
      <c r="IF1" s="2"/>
    </row>
    <row r="2" spans="1:256" x14ac:dyDescent="0.25">
      <c r="A2" s="1" t="s">
        <v>1</v>
      </c>
      <c r="B2" s="1"/>
      <c r="C2" s="1"/>
      <c r="D2" s="1"/>
      <c r="E2" s="1"/>
      <c r="F2" s="1"/>
      <c r="G2" s="1"/>
      <c r="S2" s="2"/>
      <c r="AJ2" s="2"/>
      <c r="BA2" s="2"/>
      <c r="BR2" s="2"/>
      <c r="CI2" s="2"/>
      <c r="CZ2" s="2"/>
      <c r="DQ2" s="2"/>
      <c r="EH2" s="2"/>
      <c r="EY2" s="2"/>
      <c r="FP2" s="2"/>
      <c r="GG2" s="2"/>
      <c r="GX2" s="2"/>
      <c r="HO2" s="2"/>
      <c r="IF2" s="2"/>
    </row>
    <row r="3" spans="1:256" x14ac:dyDescent="0.25">
      <c r="B3" s="3" t="s">
        <v>2</v>
      </c>
      <c r="C3" s="3"/>
      <c r="D3" s="3"/>
      <c r="E3" s="3"/>
      <c r="F3" s="3"/>
      <c r="G3" s="3"/>
      <c r="S3" s="2"/>
      <c r="AJ3" s="2"/>
      <c r="BA3" s="2"/>
      <c r="BR3" s="2"/>
      <c r="CI3" s="2"/>
      <c r="CZ3" s="2"/>
      <c r="DQ3" s="2"/>
      <c r="EH3" s="2"/>
      <c r="EY3" s="2"/>
      <c r="FP3" s="2"/>
      <c r="GG3" s="2"/>
      <c r="GX3" s="2"/>
      <c r="HO3" s="2"/>
      <c r="IF3" s="2"/>
    </row>
    <row r="4" spans="1:256" x14ac:dyDescent="0.25">
      <c r="B4" s="4" t="s">
        <v>3</v>
      </c>
      <c r="S4" s="2"/>
      <c r="AJ4" s="2"/>
      <c r="BA4" s="2"/>
      <c r="BR4" s="2"/>
      <c r="CI4" s="2"/>
      <c r="CZ4" s="2"/>
      <c r="DQ4" s="2"/>
      <c r="EH4" s="2"/>
      <c r="EY4" s="2"/>
      <c r="FP4" s="2"/>
      <c r="GG4" s="2"/>
      <c r="GX4" s="2"/>
      <c r="HO4" s="2"/>
      <c r="IF4" s="2"/>
    </row>
    <row r="5" spans="1:256" ht="13.8" thickBot="1" x14ac:dyDescent="0.3">
      <c r="B5" s="4"/>
      <c r="C5" t="s">
        <v>4</v>
      </c>
      <c r="F5" t="s">
        <v>5</v>
      </c>
      <c r="S5" s="2"/>
      <c r="U5" s="4" t="s">
        <v>6</v>
      </c>
      <c r="Y5" s="4" t="s">
        <v>7</v>
      </c>
      <c r="AC5">
        <v>2</v>
      </c>
      <c r="AJ5" s="2"/>
      <c r="AL5" s="4" t="s">
        <v>6</v>
      </c>
      <c r="AP5" t="s">
        <v>8</v>
      </c>
      <c r="AT5">
        <v>3</v>
      </c>
      <c r="BA5" s="2"/>
      <c r="BC5" s="4" t="s">
        <v>6</v>
      </c>
      <c r="BG5" t="s">
        <v>9</v>
      </c>
      <c r="BK5">
        <v>4</v>
      </c>
      <c r="BR5" s="2"/>
      <c r="BT5" s="4" t="s">
        <v>6</v>
      </c>
      <c r="BY5" t="s">
        <v>10</v>
      </c>
      <c r="CB5">
        <v>5</v>
      </c>
      <c r="CI5" s="2"/>
      <c r="CK5" s="4" t="s">
        <v>6</v>
      </c>
      <c r="CO5" t="s">
        <v>11</v>
      </c>
      <c r="CS5">
        <v>6</v>
      </c>
      <c r="CZ5" s="2"/>
      <c r="DB5" s="4" t="s">
        <v>6</v>
      </c>
      <c r="DF5" t="s">
        <v>12</v>
      </c>
      <c r="DJ5">
        <v>7</v>
      </c>
      <c r="DQ5" s="2"/>
      <c r="DS5" s="4" t="s">
        <v>6</v>
      </c>
      <c r="DW5" t="s">
        <v>13</v>
      </c>
      <c r="EA5">
        <v>8</v>
      </c>
      <c r="EH5" s="2"/>
      <c r="EJ5" s="4" t="s">
        <v>6</v>
      </c>
      <c r="EN5" t="s">
        <v>14</v>
      </c>
      <c r="ER5">
        <v>9</v>
      </c>
      <c r="EY5" s="2"/>
      <c r="FA5" s="4" t="s">
        <v>6</v>
      </c>
      <c r="FE5" t="s">
        <v>15</v>
      </c>
      <c r="FI5">
        <v>10</v>
      </c>
      <c r="FP5" s="2"/>
      <c r="FR5" s="4" t="s">
        <v>6</v>
      </c>
      <c r="FV5" t="s">
        <v>15</v>
      </c>
      <c r="FZ5">
        <v>11</v>
      </c>
      <c r="GG5" s="2"/>
      <c r="GI5" s="4" t="s">
        <v>6</v>
      </c>
      <c r="GM5" t="s">
        <v>16</v>
      </c>
      <c r="GQ5">
        <v>12</v>
      </c>
      <c r="GX5" s="2"/>
      <c r="GZ5" s="4" t="s">
        <v>6</v>
      </c>
      <c r="HH5">
        <v>13</v>
      </c>
      <c r="HO5" s="2"/>
      <c r="HQ5" s="4" t="s">
        <v>6</v>
      </c>
      <c r="HY5">
        <v>14</v>
      </c>
      <c r="IF5" s="2"/>
      <c r="IH5" s="4" t="s">
        <v>6</v>
      </c>
      <c r="IP5">
        <v>15</v>
      </c>
    </row>
    <row r="6" spans="1:256" s="5" customFormat="1" x14ac:dyDescent="0.25">
      <c r="A6" s="60" t="s">
        <v>55</v>
      </c>
      <c r="B6" s="60"/>
      <c r="C6" s="61" t="s">
        <v>17</v>
      </c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2"/>
      <c r="T6" s="59" t="s">
        <v>17</v>
      </c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2"/>
      <c r="AK6" s="59" t="s">
        <v>17</v>
      </c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2"/>
      <c r="BB6" s="59" t="s">
        <v>17</v>
      </c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59"/>
      <c r="BN6" s="59"/>
      <c r="BO6" s="59"/>
      <c r="BP6" s="59"/>
      <c r="BQ6" s="59"/>
      <c r="BR6" s="2"/>
      <c r="BS6" s="59" t="s">
        <v>17</v>
      </c>
      <c r="BT6" s="59"/>
      <c r="BU6" s="59"/>
      <c r="BV6" s="59"/>
      <c r="BW6" s="59"/>
      <c r="BX6" s="59"/>
      <c r="BY6" s="59"/>
      <c r="BZ6" s="59"/>
      <c r="CA6" s="59"/>
      <c r="CB6" s="59"/>
      <c r="CC6" s="59"/>
      <c r="CD6" s="59"/>
      <c r="CE6" s="59"/>
      <c r="CF6" s="59"/>
      <c r="CG6" s="59"/>
      <c r="CH6" s="59"/>
      <c r="CI6" s="2"/>
      <c r="CJ6" s="59" t="s">
        <v>17</v>
      </c>
      <c r="CK6" s="59"/>
      <c r="CL6" s="59"/>
      <c r="CM6" s="59"/>
      <c r="CN6" s="59"/>
      <c r="CO6" s="59"/>
      <c r="CP6" s="59"/>
      <c r="CQ6" s="59"/>
      <c r="CR6" s="59"/>
      <c r="CS6" s="59"/>
      <c r="CT6" s="59"/>
      <c r="CU6" s="59"/>
      <c r="CV6" s="59"/>
      <c r="CW6" s="59"/>
      <c r="CX6" s="59"/>
      <c r="CY6" s="59"/>
      <c r="CZ6" s="2"/>
      <c r="DA6" s="59" t="s">
        <v>17</v>
      </c>
      <c r="DB6" s="59"/>
      <c r="DC6" s="59"/>
      <c r="DD6" s="59"/>
      <c r="DE6" s="59"/>
      <c r="DF6" s="59"/>
      <c r="DG6" s="59"/>
      <c r="DH6" s="59"/>
      <c r="DI6" s="59"/>
      <c r="DJ6" s="59"/>
      <c r="DK6" s="59"/>
      <c r="DL6" s="59"/>
      <c r="DM6" s="59"/>
      <c r="DN6" s="59"/>
      <c r="DO6" s="59"/>
      <c r="DP6" s="59"/>
      <c r="DQ6" s="2"/>
      <c r="DR6" s="59" t="s">
        <v>17</v>
      </c>
      <c r="DS6" s="59"/>
      <c r="DT6" s="59"/>
      <c r="DU6" s="59"/>
      <c r="DV6" s="59"/>
      <c r="DW6" s="59"/>
      <c r="DX6" s="59"/>
      <c r="DY6" s="59"/>
      <c r="DZ6" s="59"/>
      <c r="EA6" s="59"/>
      <c r="EB6" s="59"/>
      <c r="EC6" s="59"/>
      <c r="ED6" s="59"/>
      <c r="EE6" s="59"/>
      <c r="EF6" s="59"/>
      <c r="EG6" s="59"/>
      <c r="EH6" s="2"/>
      <c r="EI6" s="59" t="s">
        <v>17</v>
      </c>
      <c r="EJ6" s="59"/>
      <c r="EK6" s="59"/>
      <c r="EL6" s="59"/>
      <c r="EM6" s="59"/>
      <c r="EN6" s="59"/>
      <c r="EO6" s="59"/>
      <c r="EP6" s="59"/>
      <c r="EQ6" s="59"/>
      <c r="ER6" s="59"/>
      <c r="ES6" s="59"/>
      <c r="ET6" s="59"/>
      <c r="EU6" s="59"/>
      <c r="EV6" s="59"/>
      <c r="EW6" s="59"/>
      <c r="EX6" s="59"/>
      <c r="EY6" s="2"/>
      <c r="EZ6" s="59" t="s">
        <v>17</v>
      </c>
      <c r="FA6" s="59"/>
      <c r="FB6" s="59"/>
      <c r="FC6" s="59"/>
      <c r="FD6" s="59"/>
      <c r="FE6" s="59"/>
      <c r="FF6" s="59"/>
      <c r="FG6" s="59"/>
      <c r="FH6" s="59"/>
      <c r="FI6" s="59"/>
      <c r="FJ6" s="59"/>
      <c r="FK6" s="59"/>
      <c r="FL6" s="59"/>
      <c r="FM6" s="59"/>
      <c r="FN6" s="59"/>
      <c r="FO6" s="59"/>
      <c r="FP6" s="2"/>
      <c r="FQ6" s="59" t="s">
        <v>17</v>
      </c>
      <c r="FR6" s="59"/>
      <c r="FS6" s="59"/>
      <c r="FT6" s="59"/>
      <c r="FU6" s="59"/>
      <c r="FV6" s="59"/>
      <c r="FW6" s="59"/>
      <c r="FX6" s="59"/>
      <c r="FY6" s="59"/>
      <c r="FZ6" s="59"/>
      <c r="GA6" s="59"/>
      <c r="GB6" s="59"/>
      <c r="GC6" s="59"/>
      <c r="GD6" s="59"/>
      <c r="GE6" s="59"/>
      <c r="GF6" s="59"/>
      <c r="GG6" s="2"/>
      <c r="GH6" s="59" t="s">
        <v>17</v>
      </c>
      <c r="GI6" s="59"/>
      <c r="GJ6" s="59"/>
      <c r="GK6" s="59"/>
      <c r="GL6" s="59"/>
      <c r="GM6" s="59"/>
      <c r="GN6" s="59"/>
      <c r="GO6" s="59"/>
      <c r="GP6" s="59"/>
      <c r="GQ6" s="59"/>
      <c r="GR6" s="59"/>
      <c r="GS6" s="59"/>
      <c r="GT6" s="59"/>
      <c r="GU6" s="59"/>
      <c r="GV6" s="59"/>
      <c r="GW6" s="59"/>
      <c r="GX6" s="2"/>
      <c r="GY6" s="59" t="s">
        <v>17</v>
      </c>
      <c r="GZ6" s="59"/>
      <c r="HA6" s="59"/>
      <c r="HB6" s="59"/>
      <c r="HC6" s="59"/>
      <c r="HD6" s="59"/>
      <c r="HE6" s="59"/>
      <c r="HF6" s="59"/>
      <c r="HG6" s="59"/>
      <c r="HH6" s="59"/>
      <c r="HI6" s="59"/>
      <c r="HJ6" s="59"/>
      <c r="HK6" s="59"/>
      <c r="HL6" s="59"/>
      <c r="HM6" s="59"/>
      <c r="HN6" s="59"/>
      <c r="HO6" s="2"/>
      <c r="HP6" s="59" t="s">
        <v>17</v>
      </c>
      <c r="HQ6" s="59"/>
      <c r="HR6" s="59"/>
      <c r="HS6" s="59"/>
      <c r="HT6" s="59"/>
      <c r="HU6" s="59"/>
      <c r="HV6" s="59"/>
      <c r="HW6" s="59"/>
      <c r="HX6" s="59"/>
      <c r="HY6" s="59"/>
      <c r="HZ6" s="59"/>
      <c r="IA6" s="59"/>
      <c r="IB6" s="59"/>
      <c r="IC6" s="59"/>
      <c r="ID6" s="59"/>
      <c r="IE6" s="59"/>
      <c r="IF6" s="2"/>
      <c r="IG6" s="6" t="s">
        <v>17</v>
      </c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</row>
    <row r="7" spans="1:256" s="2" customFormat="1" x14ac:dyDescent="0.25">
      <c r="A7" s="8" t="s">
        <v>19</v>
      </c>
      <c r="B7" s="50" t="s">
        <v>18</v>
      </c>
      <c r="C7" s="9" t="s">
        <v>20</v>
      </c>
      <c r="D7" s="9" t="s">
        <v>21</v>
      </c>
      <c r="E7" s="9" t="s">
        <v>22</v>
      </c>
      <c r="F7" s="9" t="s">
        <v>23</v>
      </c>
      <c r="G7" s="9" t="s">
        <v>24</v>
      </c>
      <c r="H7" s="9" t="s">
        <v>25</v>
      </c>
      <c r="I7" s="9" t="s">
        <v>26</v>
      </c>
      <c r="J7" s="9" t="s">
        <v>27</v>
      </c>
      <c r="K7" s="9" t="s">
        <v>28</v>
      </c>
      <c r="L7" s="9" t="s">
        <v>29</v>
      </c>
      <c r="M7" s="9" t="s">
        <v>30</v>
      </c>
      <c r="N7" s="9" t="s">
        <v>31</v>
      </c>
      <c r="O7" s="9" t="s">
        <v>32</v>
      </c>
      <c r="P7" s="9" t="s">
        <v>33</v>
      </c>
      <c r="Q7" s="9" t="s">
        <v>34</v>
      </c>
      <c r="R7" s="9" t="s">
        <v>35</v>
      </c>
      <c r="S7" s="10"/>
      <c r="T7" s="9" t="s">
        <v>20</v>
      </c>
      <c r="U7" s="9" t="s">
        <v>21</v>
      </c>
      <c r="V7" s="9" t="s">
        <v>22</v>
      </c>
      <c r="W7" s="9" t="s">
        <v>23</v>
      </c>
      <c r="X7" s="9" t="s">
        <v>24</v>
      </c>
      <c r="Y7" s="9" t="s">
        <v>25</v>
      </c>
      <c r="Z7" s="9" t="s">
        <v>26</v>
      </c>
      <c r="AA7" s="9" t="s">
        <v>27</v>
      </c>
      <c r="AB7" s="9" t="s">
        <v>28</v>
      </c>
      <c r="AC7" s="9" t="s">
        <v>29</v>
      </c>
      <c r="AD7" s="9" t="s">
        <v>30</v>
      </c>
      <c r="AE7" s="9" t="s">
        <v>31</v>
      </c>
      <c r="AF7" s="9" t="s">
        <v>32</v>
      </c>
      <c r="AG7" s="9" t="s">
        <v>33</v>
      </c>
      <c r="AH7" s="9" t="s">
        <v>34</v>
      </c>
      <c r="AI7" s="9" t="s">
        <v>35</v>
      </c>
      <c r="AK7" s="9" t="s">
        <v>20</v>
      </c>
      <c r="AL7" s="9" t="s">
        <v>21</v>
      </c>
      <c r="AM7" s="9" t="s">
        <v>22</v>
      </c>
      <c r="AN7" s="9" t="s">
        <v>23</v>
      </c>
      <c r="AO7" s="9" t="s">
        <v>24</v>
      </c>
      <c r="AP7" s="9" t="s">
        <v>25</v>
      </c>
      <c r="AQ7" s="9" t="s">
        <v>26</v>
      </c>
      <c r="AR7" s="9" t="s">
        <v>27</v>
      </c>
      <c r="AS7" s="9" t="s">
        <v>28</v>
      </c>
      <c r="AT7" s="9" t="s">
        <v>29</v>
      </c>
      <c r="AU7" s="9" t="s">
        <v>30</v>
      </c>
      <c r="AV7" s="9" t="s">
        <v>31</v>
      </c>
      <c r="AW7" s="9" t="s">
        <v>32</v>
      </c>
      <c r="AX7" s="9" t="s">
        <v>33</v>
      </c>
      <c r="AY7" s="9" t="s">
        <v>34</v>
      </c>
      <c r="AZ7" s="9" t="s">
        <v>35</v>
      </c>
      <c r="BB7" s="9" t="s">
        <v>20</v>
      </c>
      <c r="BC7" s="9" t="s">
        <v>21</v>
      </c>
      <c r="BD7" s="9" t="s">
        <v>22</v>
      </c>
      <c r="BE7" s="9" t="s">
        <v>23</v>
      </c>
      <c r="BF7" s="9" t="s">
        <v>24</v>
      </c>
      <c r="BG7" s="9" t="s">
        <v>25</v>
      </c>
      <c r="BH7" s="9" t="s">
        <v>26</v>
      </c>
      <c r="BI7" s="9" t="s">
        <v>27</v>
      </c>
      <c r="BJ7" s="9" t="s">
        <v>28</v>
      </c>
      <c r="BK7" s="9" t="s">
        <v>29</v>
      </c>
      <c r="BL7" s="9" t="s">
        <v>30</v>
      </c>
      <c r="BM7" s="9" t="s">
        <v>31</v>
      </c>
      <c r="BN7" s="9" t="s">
        <v>32</v>
      </c>
      <c r="BO7" s="9" t="s">
        <v>33</v>
      </c>
      <c r="BP7" s="9" t="s">
        <v>34</v>
      </c>
      <c r="BQ7" s="9" t="s">
        <v>35</v>
      </c>
      <c r="BS7" s="9" t="s">
        <v>20</v>
      </c>
      <c r="BT7" s="9" t="s">
        <v>21</v>
      </c>
      <c r="BU7" s="9" t="s">
        <v>22</v>
      </c>
      <c r="BV7" s="9" t="s">
        <v>23</v>
      </c>
      <c r="BW7" s="9" t="s">
        <v>24</v>
      </c>
      <c r="BX7" s="9" t="s">
        <v>25</v>
      </c>
      <c r="BY7" s="9" t="s">
        <v>26</v>
      </c>
      <c r="BZ7" s="9" t="s">
        <v>27</v>
      </c>
      <c r="CA7" s="9" t="s">
        <v>28</v>
      </c>
      <c r="CB7" s="9" t="s">
        <v>29</v>
      </c>
      <c r="CC7" s="9" t="s">
        <v>30</v>
      </c>
      <c r="CD7" s="9" t="s">
        <v>31</v>
      </c>
      <c r="CE7" s="9" t="s">
        <v>32</v>
      </c>
      <c r="CF7" s="9" t="s">
        <v>33</v>
      </c>
      <c r="CG7" s="9" t="s">
        <v>34</v>
      </c>
      <c r="CH7" s="9" t="s">
        <v>35</v>
      </c>
      <c r="CJ7" s="9" t="s">
        <v>20</v>
      </c>
      <c r="CK7" s="9" t="s">
        <v>21</v>
      </c>
      <c r="CL7" s="9" t="s">
        <v>22</v>
      </c>
      <c r="CM7" s="9" t="s">
        <v>23</v>
      </c>
      <c r="CN7" s="9" t="s">
        <v>24</v>
      </c>
      <c r="CO7" s="9" t="s">
        <v>25</v>
      </c>
      <c r="CP7" s="9" t="s">
        <v>26</v>
      </c>
      <c r="CQ7" s="9" t="s">
        <v>27</v>
      </c>
      <c r="CR7" s="9" t="s">
        <v>28</v>
      </c>
      <c r="CS7" s="9" t="s">
        <v>29</v>
      </c>
      <c r="CT7" s="9" t="s">
        <v>30</v>
      </c>
      <c r="CU7" s="9" t="s">
        <v>31</v>
      </c>
      <c r="CV7" s="9" t="s">
        <v>32</v>
      </c>
      <c r="CW7" s="9" t="s">
        <v>33</v>
      </c>
      <c r="CX7" s="9" t="s">
        <v>34</v>
      </c>
      <c r="CY7" s="9" t="s">
        <v>35</v>
      </c>
      <c r="DA7" s="9" t="s">
        <v>20</v>
      </c>
      <c r="DB7" s="9" t="s">
        <v>21</v>
      </c>
      <c r="DC7" s="9" t="s">
        <v>22</v>
      </c>
      <c r="DD7" s="9" t="s">
        <v>23</v>
      </c>
      <c r="DE7" s="9" t="s">
        <v>24</v>
      </c>
      <c r="DF7" s="9" t="s">
        <v>25</v>
      </c>
      <c r="DG7" s="9" t="s">
        <v>26</v>
      </c>
      <c r="DH7" s="9" t="s">
        <v>27</v>
      </c>
      <c r="DI7" s="9" t="s">
        <v>28</v>
      </c>
      <c r="DJ7" s="9" t="s">
        <v>29</v>
      </c>
      <c r="DK7" s="9" t="s">
        <v>30</v>
      </c>
      <c r="DL7" s="9" t="s">
        <v>31</v>
      </c>
      <c r="DM7" s="9" t="s">
        <v>32</v>
      </c>
      <c r="DN7" s="9" t="s">
        <v>33</v>
      </c>
      <c r="DO7" s="9" t="s">
        <v>34</v>
      </c>
      <c r="DP7" s="9" t="s">
        <v>35</v>
      </c>
      <c r="DR7" s="9" t="s">
        <v>20</v>
      </c>
      <c r="DS7" s="9" t="s">
        <v>21</v>
      </c>
      <c r="DT7" s="9" t="s">
        <v>22</v>
      </c>
      <c r="DU7" s="9" t="s">
        <v>23</v>
      </c>
      <c r="DV7" s="9" t="s">
        <v>24</v>
      </c>
      <c r="DW7" s="9" t="s">
        <v>25</v>
      </c>
      <c r="DX7" s="9" t="s">
        <v>26</v>
      </c>
      <c r="DY7" s="9" t="s">
        <v>27</v>
      </c>
      <c r="DZ7" s="9" t="s">
        <v>28</v>
      </c>
      <c r="EA7" s="9" t="s">
        <v>29</v>
      </c>
      <c r="EB7" s="9" t="s">
        <v>30</v>
      </c>
      <c r="EC7" s="9" t="s">
        <v>31</v>
      </c>
      <c r="ED7" s="9" t="s">
        <v>32</v>
      </c>
      <c r="EE7" s="9" t="s">
        <v>33</v>
      </c>
      <c r="EF7" s="9" t="s">
        <v>34</v>
      </c>
      <c r="EG7" s="9" t="s">
        <v>35</v>
      </c>
      <c r="EI7" s="9" t="s">
        <v>20</v>
      </c>
      <c r="EJ7" s="9" t="s">
        <v>21</v>
      </c>
      <c r="EK7" s="9" t="s">
        <v>22</v>
      </c>
      <c r="EL7" s="9" t="s">
        <v>23</v>
      </c>
      <c r="EM7" s="9" t="s">
        <v>24</v>
      </c>
      <c r="EN7" s="9" t="s">
        <v>25</v>
      </c>
      <c r="EO7" s="9" t="s">
        <v>26</v>
      </c>
      <c r="EP7" s="9" t="s">
        <v>27</v>
      </c>
      <c r="EQ7" s="9" t="s">
        <v>28</v>
      </c>
      <c r="ER7" s="9" t="s">
        <v>29</v>
      </c>
      <c r="ES7" s="9" t="s">
        <v>30</v>
      </c>
      <c r="ET7" s="9" t="s">
        <v>31</v>
      </c>
      <c r="EU7" s="9" t="s">
        <v>32</v>
      </c>
      <c r="EV7" s="9" t="s">
        <v>33</v>
      </c>
      <c r="EW7" s="9" t="s">
        <v>34</v>
      </c>
      <c r="EX7" s="9" t="s">
        <v>35</v>
      </c>
      <c r="EZ7" s="9" t="s">
        <v>20</v>
      </c>
      <c r="FA7" s="9" t="s">
        <v>21</v>
      </c>
      <c r="FB7" s="9" t="s">
        <v>22</v>
      </c>
      <c r="FC7" s="9" t="s">
        <v>23</v>
      </c>
      <c r="FD7" s="9" t="s">
        <v>24</v>
      </c>
      <c r="FE7" s="9" t="s">
        <v>25</v>
      </c>
      <c r="FF7" s="9" t="s">
        <v>26</v>
      </c>
      <c r="FG7" s="9" t="s">
        <v>27</v>
      </c>
      <c r="FH7" s="9" t="s">
        <v>28</v>
      </c>
      <c r="FI7" s="9" t="s">
        <v>29</v>
      </c>
      <c r="FJ7" s="9" t="s">
        <v>30</v>
      </c>
      <c r="FK7" s="9" t="s">
        <v>31</v>
      </c>
      <c r="FL7" s="9" t="s">
        <v>32</v>
      </c>
      <c r="FM7" s="9" t="s">
        <v>33</v>
      </c>
      <c r="FN7" s="9" t="s">
        <v>34</v>
      </c>
      <c r="FO7" s="9" t="s">
        <v>35</v>
      </c>
      <c r="FQ7" s="9" t="s">
        <v>20</v>
      </c>
      <c r="FR7" s="9" t="s">
        <v>21</v>
      </c>
      <c r="FS7" s="9" t="s">
        <v>22</v>
      </c>
      <c r="FT7" s="9" t="s">
        <v>23</v>
      </c>
      <c r="FU7" s="9" t="s">
        <v>24</v>
      </c>
      <c r="FV7" s="9" t="s">
        <v>25</v>
      </c>
      <c r="FW7" s="9" t="s">
        <v>26</v>
      </c>
      <c r="FX7" s="9" t="s">
        <v>27</v>
      </c>
      <c r="FY7" s="9" t="s">
        <v>28</v>
      </c>
      <c r="FZ7" s="9" t="s">
        <v>29</v>
      </c>
      <c r="GA7" s="9" t="s">
        <v>30</v>
      </c>
      <c r="GB7" s="9" t="s">
        <v>31</v>
      </c>
      <c r="GC7" s="9" t="s">
        <v>32</v>
      </c>
      <c r="GD7" s="9" t="s">
        <v>33</v>
      </c>
      <c r="GE7" s="9" t="s">
        <v>34</v>
      </c>
      <c r="GF7" s="9" t="s">
        <v>35</v>
      </c>
      <c r="GH7" s="9" t="s">
        <v>20</v>
      </c>
      <c r="GI7" s="9" t="s">
        <v>21</v>
      </c>
      <c r="GJ7" s="9" t="s">
        <v>22</v>
      </c>
      <c r="GK7" s="9" t="s">
        <v>23</v>
      </c>
      <c r="GL7" s="9" t="s">
        <v>24</v>
      </c>
      <c r="GM7" s="9" t="s">
        <v>25</v>
      </c>
      <c r="GN7" s="9" t="s">
        <v>26</v>
      </c>
      <c r="GO7" s="9" t="s">
        <v>27</v>
      </c>
      <c r="GP7" s="9" t="s">
        <v>28</v>
      </c>
      <c r="GQ7" s="9" t="s">
        <v>29</v>
      </c>
      <c r="GR7" s="9" t="s">
        <v>30</v>
      </c>
      <c r="GS7" s="9" t="s">
        <v>31</v>
      </c>
      <c r="GT7" s="9" t="s">
        <v>32</v>
      </c>
      <c r="GU7" s="9" t="s">
        <v>33</v>
      </c>
      <c r="GV7" s="9" t="s">
        <v>34</v>
      </c>
      <c r="GW7" s="9" t="s">
        <v>35</v>
      </c>
      <c r="GY7" s="9" t="s">
        <v>20</v>
      </c>
      <c r="GZ7" s="9" t="s">
        <v>21</v>
      </c>
      <c r="HA7" s="9" t="s">
        <v>22</v>
      </c>
      <c r="HB7" s="9" t="s">
        <v>23</v>
      </c>
      <c r="HC7" s="9" t="s">
        <v>24</v>
      </c>
      <c r="HD7" s="9" t="s">
        <v>25</v>
      </c>
      <c r="HE7" s="9" t="s">
        <v>26</v>
      </c>
      <c r="HF7" s="9" t="s">
        <v>27</v>
      </c>
      <c r="HG7" s="9" t="s">
        <v>28</v>
      </c>
      <c r="HH7" s="9" t="s">
        <v>29</v>
      </c>
      <c r="HI7" s="9" t="s">
        <v>30</v>
      </c>
      <c r="HJ7" s="9" t="s">
        <v>31</v>
      </c>
      <c r="HK7" s="9" t="s">
        <v>32</v>
      </c>
      <c r="HL7" s="9" t="s">
        <v>33</v>
      </c>
      <c r="HM7" s="9" t="s">
        <v>34</v>
      </c>
      <c r="HN7" s="9" t="s">
        <v>35</v>
      </c>
      <c r="HP7" s="9" t="s">
        <v>20</v>
      </c>
      <c r="HQ7" s="9" t="s">
        <v>21</v>
      </c>
      <c r="HR7" s="9" t="s">
        <v>22</v>
      </c>
      <c r="HS7" s="9" t="s">
        <v>23</v>
      </c>
      <c r="HT7" s="9" t="s">
        <v>24</v>
      </c>
      <c r="HU7" s="9" t="s">
        <v>25</v>
      </c>
      <c r="HV7" s="9" t="s">
        <v>26</v>
      </c>
      <c r="HW7" s="9" t="s">
        <v>27</v>
      </c>
      <c r="HX7" s="9" t="s">
        <v>28</v>
      </c>
      <c r="HY7" s="9" t="s">
        <v>29</v>
      </c>
      <c r="HZ7" s="9" t="s">
        <v>30</v>
      </c>
      <c r="IA7" s="9" t="s">
        <v>31</v>
      </c>
      <c r="IB7" s="9" t="s">
        <v>32</v>
      </c>
      <c r="IC7" s="9" t="s">
        <v>33</v>
      </c>
      <c r="ID7" s="9" t="s">
        <v>34</v>
      </c>
      <c r="IE7" s="9" t="s">
        <v>35</v>
      </c>
      <c r="IG7" s="9" t="s">
        <v>20</v>
      </c>
      <c r="IH7" s="9" t="s">
        <v>21</v>
      </c>
      <c r="II7" s="9" t="s">
        <v>22</v>
      </c>
      <c r="IJ7" s="9" t="s">
        <v>23</v>
      </c>
      <c r="IK7" s="9" t="s">
        <v>24</v>
      </c>
      <c r="IL7" s="9" t="s">
        <v>25</v>
      </c>
      <c r="IM7" s="9" t="s">
        <v>26</v>
      </c>
      <c r="IN7" s="9" t="s">
        <v>27</v>
      </c>
      <c r="IO7" s="9" t="s">
        <v>28</v>
      </c>
      <c r="IP7" s="9" t="s">
        <v>29</v>
      </c>
      <c r="IQ7" s="9" t="s">
        <v>30</v>
      </c>
      <c r="IR7" s="9" t="s">
        <v>31</v>
      </c>
      <c r="IS7" s="9" t="s">
        <v>32</v>
      </c>
      <c r="IT7" s="9" t="s">
        <v>33</v>
      </c>
      <c r="IU7" s="9" t="s">
        <v>34</v>
      </c>
      <c r="IV7" s="9" t="s">
        <v>35</v>
      </c>
    </row>
    <row r="8" spans="1:256" s="16" customFormat="1" x14ac:dyDescent="0.25">
      <c r="A8" s="15" t="s">
        <v>64</v>
      </c>
      <c r="B8" s="53">
        <v>2</v>
      </c>
      <c r="C8" s="16">
        <v>4</v>
      </c>
      <c r="D8" s="16">
        <v>2</v>
      </c>
      <c r="E8" s="16">
        <v>1</v>
      </c>
      <c r="L8" s="16">
        <v>1</v>
      </c>
      <c r="Q8" s="16">
        <f t="shared" ref="Q8:Q26" si="0">(E8-(F8+G8+H8))+(F8*2)+(G8*3)+(H8*4)</f>
        <v>1</v>
      </c>
      <c r="R8" s="16">
        <f t="shared" ref="R8:R26" si="1">+C8+K8+M8+N8+O8+P8</f>
        <v>4</v>
      </c>
      <c r="S8" s="17"/>
      <c r="AH8" s="16">
        <f t="shared" ref="AH8:AH26" si="2">(V8-(W8+X8+Y8))+(W8*2)+(X8*3)+(Y8*4)</f>
        <v>0</v>
      </c>
      <c r="AI8" s="16">
        <f t="shared" ref="AI8:AI26" si="3">+T8+AB8+AD8+AE8+AF8+AG8</f>
        <v>0</v>
      </c>
      <c r="AJ8" s="18"/>
      <c r="AY8" s="16">
        <f t="shared" ref="AY8:AY26" si="4">(AM8-(AN8+AO8+AP8))+(AN8*2)+(AO8*3)+(AP8*4)</f>
        <v>0</v>
      </c>
      <c r="AZ8" s="16">
        <f t="shared" ref="AZ8:AZ26" si="5">+AK8+AS8+AU8+AV8+AW8+AX8</f>
        <v>0</v>
      </c>
      <c r="BA8" s="18"/>
      <c r="BP8" s="16">
        <f t="shared" ref="BP8:BP26" si="6">(BD8-(BE8+BF8+BG8))+(BE8*2)+(BF8*3)+(BG8*4)</f>
        <v>0</v>
      </c>
      <c r="BQ8" s="16">
        <f t="shared" ref="BQ8:BQ26" si="7">+BB8+BJ8+BL8+BM8+BN8+BO8</f>
        <v>0</v>
      </c>
      <c r="BR8" s="18"/>
      <c r="CG8" s="16">
        <f t="shared" ref="CG8:CG26" si="8">(BU8-(BV8+BW8+BX8))+(BV8*2)+(BW8*3)+(BX8*4)</f>
        <v>0</v>
      </c>
      <c r="CH8" s="16">
        <f t="shared" ref="CH8:CH26" si="9">+BS8+CA8+CC8+CD8+CE8+CF8</f>
        <v>0</v>
      </c>
      <c r="CI8" s="18"/>
      <c r="CX8" s="16">
        <f t="shared" ref="CX8:CX26" si="10">(CL8-(CM8+CN8+CO8))+(CM8*2)+(CN8*3)+(CO8*4)</f>
        <v>0</v>
      </c>
      <c r="CY8" s="16">
        <f t="shared" ref="CY8:CY26" si="11">+CJ8+CR8+CT8+CU8+CV8+CW8</f>
        <v>0</v>
      </c>
      <c r="CZ8" s="18"/>
      <c r="DO8" s="16">
        <f t="shared" ref="DO8:DO26" si="12">(DC8-(DD8+DE8+DF8))+(DD8*2)+(DE8*3)+(DF8*4)</f>
        <v>0</v>
      </c>
      <c r="DP8" s="16">
        <f t="shared" ref="DP8:DP26" si="13">+DA8+DI8+DK8+DL8+DM8+DN8</f>
        <v>0</v>
      </c>
      <c r="DQ8" s="18"/>
      <c r="EF8" s="16">
        <f t="shared" ref="EF8:EF26" si="14">(DT8-(DU8+DV8+DW8))+(DU8*2)+(DV8*3)+(DW8*4)</f>
        <v>0</v>
      </c>
      <c r="EG8" s="16">
        <f t="shared" ref="EG8:EG26" si="15">+DR8+DZ8+EB8+EC8+ED8+EE8</f>
        <v>0</v>
      </c>
      <c r="EH8" s="18"/>
      <c r="EW8" s="16">
        <f t="shared" ref="EW8:EW26" si="16">(EK8-(EL8+EM8+EN8))+(EL8*2)+(EM8*3)+(EN8*4)</f>
        <v>0</v>
      </c>
      <c r="EX8" s="16">
        <f t="shared" ref="EX8:EX26" si="17">+EI8+EQ8+ES8+ET8+EU8+EV8</f>
        <v>0</v>
      </c>
      <c r="EY8" s="18"/>
      <c r="FN8" s="16">
        <f t="shared" ref="FN8:FN26" si="18">(FB8-(FC8+FD8+FE8))+(FC8*2)+(FD8*3)+(FE8*4)</f>
        <v>0</v>
      </c>
      <c r="FO8" s="16">
        <f t="shared" ref="FO8:FO26" si="19">+EZ8+FH8+FJ8+FK8+FL8+FM8</f>
        <v>0</v>
      </c>
      <c r="FP8" s="18"/>
      <c r="GE8" s="16">
        <f t="shared" ref="GE8:GE26" si="20">(FS8-(FT8+FU8+FV8))+(FT8*2)+(FU8*3)+(FV8*4)</f>
        <v>0</v>
      </c>
      <c r="GF8" s="16">
        <f t="shared" ref="GF8:GF26" si="21">+FQ8+FY8+GA8+GB8+GC8+GD8</f>
        <v>0</v>
      </c>
      <c r="GG8" s="18"/>
      <c r="GV8" s="16">
        <f t="shared" ref="GV8:GV26" si="22">(GJ8-(GK8+GL8+GM8))+(GK8*2)+(GL8*3)+(GM8*4)</f>
        <v>0</v>
      </c>
      <c r="GW8" s="16">
        <f t="shared" ref="GW8:GW26" si="23">+GH8+GP8+GR8+GS8+GT8+GU8</f>
        <v>0</v>
      </c>
      <c r="GX8" s="18"/>
      <c r="HM8" s="16">
        <f t="shared" ref="HM8:HM26" si="24">(HA8-(HB8+HC8+HD8))+(HB8*2)+(HC8*3)+(HD8*4)</f>
        <v>0</v>
      </c>
      <c r="HN8" s="16">
        <f t="shared" ref="HN8:HN26" si="25">+GY8+HG8+HI8+HJ8+HK8+HL8</f>
        <v>0</v>
      </c>
      <c r="HO8" s="18"/>
      <c r="ID8" s="16">
        <f t="shared" ref="ID8:ID26" si="26">(HR8-(HS8+HT8+HU8))+(HS8*2)+(HT8*3)+(HU8*4)</f>
        <v>0</v>
      </c>
      <c r="IE8" s="16">
        <f t="shared" ref="IE8:IE26" si="27">+HP8+HX8+HZ8+IA8+IB8+IC8</f>
        <v>0</v>
      </c>
      <c r="IF8" s="18"/>
      <c r="IU8" s="16">
        <f t="shared" ref="IU8:IU26" si="28">(II8-(IJ8+IK8+IL8))+(IJ8*2)+(IK8*3)+(IL8*4)</f>
        <v>0</v>
      </c>
      <c r="IV8" s="16">
        <f t="shared" ref="IV8:IV26" si="29">+IG8+IO8+IQ8+IR8+IS8+IT8</f>
        <v>0</v>
      </c>
    </row>
    <row r="9" spans="1:256" s="16" customFormat="1" x14ac:dyDescent="0.25">
      <c r="A9" s="15" t="s">
        <v>37</v>
      </c>
      <c r="B9" s="53">
        <v>3</v>
      </c>
      <c r="C9" s="16">
        <v>3</v>
      </c>
      <c r="D9" s="16">
        <v>1</v>
      </c>
      <c r="E9" s="16">
        <v>1</v>
      </c>
      <c r="F9" s="16">
        <v>1</v>
      </c>
      <c r="K9" s="16">
        <v>1</v>
      </c>
      <c r="Q9" s="16">
        <f t="shared" si="0"/>
        <v>2</v>
      </c>
      <c r="R9" s="16">
        <f t="shared" si="1"/>
        <v>4</v>
      </c>
      <c r="S9" s="17"/>
      <c r="AH9" s="16">
        <f t="shared" si="2"/>
        <v>0</v>
      </c>
      <c r="AI9" s="16">
        <f t="shared" si="3"/>
        <v>0</v>
      </c>
      <c r="AJ9" s="18"/>
      <c r="AY9" s="16">
        <f t="shared" si="4"/>
        <v>0</v>
      </c>
      <c r="AZ9" s="16">
        <f t="shared" si="5"/>
        <v>0</v>
      </c>
      <c r="BA9" s="18"/>
      <c r="BP9" s="16">
        <f t="shared" si="6"/>
        <v>0</v>
      </c>
      <c r="BQ9" s="16">
        <f t="shared" si="7"/>
        <v>0</v>
      </c>
      <c r="BR9" s="18"/>
      <c r="CG9" s="16">
        <f t="shared" si="8"/>
        <v>0</v>
      </c>
      <c r="CH9" s="16">
        <f t="shared" si="9"/>
        <v>0</v>
      </c>
      <c r="CI9" s="18"/>
      <c r="CX9" s="16">
        <f t="shared" si="10"/>
        <v>0</v>
      </c>
      <c r="CY9" s="16">
        <f t="shared" si="11"/>
        <v>0</v>
      </c>
      <c r="CZ9" s="18"/>
      <c r="DO9" s="16">
        <f t="shared" si="12"/>
        <v>0</v>
      </c>
      <c r="DP9" s="16">
        <f t="shared" si="13"/>
        <v>0</v>
      </c>
      <c r="DQ9" s="18"/>
      <c r="EF9" s="16">
        <f t="shared" si="14"/>
        <v>0</v>
      </c>
      <c r="EG9" s="16">
        <f t="shared" si="15"/>
        <v>0</v>
      </c>
      <c r="EH9" s="18"/>
      <c r="EW9" s="16">
        <f t="shared" si="16"/>
        <v>0</v>
      </c>
      <c r="EX9" s="16">
        <f t="shared" si="17"/>
        <v>0</v>
      </c>
      <c r="EY9" s="18"/>
      <c r="FN9" s="16">
        <f t="shared" si="18"/>
        <v>0</v>
      </c>
      <c r="FO9" s="16">
        <f t="shared" si="19"/>
        <v>0</v>
      </c>
      <c r="FP9" s="18"/>
      <c r="GE9" s="16">
        <f t="shared" si="20"/>
        <v>0</v>
      </c>
      <c r="GF9" s="16">
        <f t="shared" si="21"/>
        <v>0</v>
      </c>
      <c r="GG9" s="18"/>
      <c r="GV9" s="16">
        <f t="shared" si="22"/>
        <v>0</v>
      </c>
      <c r="GW9" s="16">
        <f t="shared" si="23"/>
        <v>0</v>
      </c>
      <c r="GX9" s="18"/>
      <c r="HM9" s="16">
        <f t="shared" si="24"/>
        <v>0</v>
      </c>
      <c r="HN9" s="16">
        <f t="shared" si="25"/>
        <v>0</v>
      </c>
      <c r="HO9" s="18"/>
      <c r="ID9" s="16">
        <f t="shared" si="26"/>
        <v>0</v>
      </c>
      <c r="IE9" s="16">
        <f t="shared" si="27"/>
        <v>0</v>
      </c>
      <c r="IF9" s="18"/>
      <c r="IU9" s="16">
        <f t="shared" si="28"/>
        <v>0</v>
      </c>
      <c r="IV9" s="16">
        <f t="shared" si="29"/>
        <v>0</v>
      </c>
    </row>
    <row r="10" spans="1:256" s="16" customFormat="1" x14ac:dyDescent="0.25">
      <c r="A10" s="15" t="s">
        <v>38</v>
      </c>
      <c r="B10" s="53"/>
      <c r="C10" s="16">
        <v>4</v>
      </c>
      <c r="E10" s="16">
        <v>1</v>
      </c>
      <c r="Q10" s="16">
        <f t="shared" si="0"/>
        <v>1</v>
      </c>
      <c r="R10" s="16">
        <f t="shared" si="1"/>
        <v>4</v>
      </c>
      <c r="S10" s="17"/>
      <c r="AH10" s="16">
        <f t="shared" si="2"/>
        <v>0</v>
      </c>
      <c r="AI10" s="16">
        <f t="shared" si="3"/>
        <v>0</v>
      </c>
      <c r="AJ10" s="18"/>
      <c r="AY10" s="16">
        <f t="shared" si="4"/>
        <v>0</v>
      </c>
      <c r="AZ10" s="16">
        <f t="shared" si="5"/>
        <v>0</v>
      </c>
      <c r="BA10" s="18"/>
      <c r="BP10" s="16">
        <f t="shared" si="6"/>
        <v>0</v>
      </c>
      <c r="BQ10" s="16">
        <f t="shared" si="7"/>
        <v>0</v>
      </c>
      <c r="BR10" s="18"/>
      <c r="CG10" s="16">
        <f t="shared" si="8"/>
        <v>0</v>
      </c>
      <c r="CH10" s="16">
        <f t="shared" si="9"/>
        <v>0</v>
      </c>
      <c r="CI10" s="18"/>
      <c r="CX10" s="16">
        <f t="shared" si="10"/>
        <v>0</v>
      </c>
      <c r="CY10" s="16">
        <f t="shared" si="11"/>
        <v>0</v>
      </c>
      <c r="CZ10" s="18"/>
      <c r="DO10" s="16">
        <f t="shared" si="12"/>
        <v>0</v>
      </c>
      <c r="DP10" s="16">
        <f t="shared" si="13"/>
        <v>0</v>
      </c>
      <c r="DQ10" s="18"/>
      <c r="EF10" s="16">
        <f t="shared" si="14"/>
        <v>0</v>
      </c>
      <c r="EG10" s="16">
        <f t="shared" si="15"/>
        <v>0</v>
      </c>
      <c r="EH10" s="18"/>
      <c r="EW10" s="16">
        <f t="shared" si="16"/>
        <v>0</v>
      </c>
      <c r="EX10" s="16">
        <f t="shared" si="17"/>
        <v>0</v>
      </c>
      <c r="EY10" s="18"/>
      <c r="FN10" s="16">
        <f t="shared" si="18"/>
        <v>0</v>
      </c>
      <c r="FO10" s="16">
        <f t="shared" si="19"/>
        <v>0</v>
      </c>
      <c r="FP10" s="18"/>
      <c r="GE10" s="16">
        <f t="shared" si="20"/>
        <v>0</v>
      </c>
      <c r="GF10" s="16">
        <f t="shared" si="21"/>
        <v>0</v>
      </c>
      <c r="GG10" s="18"/>
      <c r="GV10" s="16">
        <f t="shared" si="22"/>
        <v>0</v>
      </c>
      <c r="GW10" s="16">
        <f t="shared" si="23"/>
        <v>0</v>
      </c>
      <c r="GX10" s="18"/>
      <c r="HM10" s="16">
        <f t="shared" si="24"/>
        <v>0</v>
      </c>
      <c r="HN10" s="16">
        <f t="shared" si="25"/>
        <v>0</v>
      </c>
      <c r="HO10" s="18"/>
      <c r="ID10" s="16">
        <f t="shared" si="26"/>
        <v>0</v>
      </c>
      <c r="IE10" s="16">
        <f t="shared" si="27"/>
        <v>0</v>
      </c>
      <c r="IF10" s="18"/>
      <c r="IU10" s="16">
        <f t="shared" si="28"/>
        <v>0</v>
      </c>
      <c r="IV10" s="16">
        <f t="shared" si="29"/>
        <v>0</v>
      </c>
    </row>
    <row r="11" spans="1:256" s="16" customFormat="1" x14ac:dyDescent="0.25">
      <c r="A11" s="15" t="s">
        <v>39</v>
      </c>
      <c r="B11" s="15"/>
      <c r="D11" s="16">
        <v>1</v>
      </c>
      <c r="I11" s="16">
        <v>1</v>
      </c>
      <c r="K11" s="16">
        <v>3</v>
      </c>
      <c r="L11" s="16">
        <v>3</v>
      </c>
      <c r="Q11" s="16">
        <f t="shared" si="0"/>
        <v>0</v>
      </c>
      <c r="R11" s="16">
        <f t="shared" si="1"/>
        <v>3</v>
      </c>
      <c r="S11" s="17"/>
      <c r="AH11" s="16">
        <f t="shared" si="2"/>
        <v>0</v>
      </c>
      <c r="AI11" s="16">
        <f t="shared" si="3"/>
        <v>0</v>
      </c>
      <c r="AJ11" s="18"/>
      <c r="AY11" s="16">
        <f t="shared" si="4"/>
        <v>0</v>
      </c>
      <c r="AZ11" s="16">
        <f t="shared" si="5"/>
        <v>0</v>
      </c>
      <c r="BA11" s="18"/>
      <c r="BP11" s="16">
        <f t="shared" si="6"/>
        <v>0</v>
      </c>
      <c r="BQ11" s="16">
        <f t="shared" si="7"/>
        <v>0</v>
      </c>
      <c r="BR11" s="18"/>
      <c r="CG11" s="16">
        <f t="shared" si="8"/>
        <v>0</v>
      </c>
      <c r="CH11" s="16">
        <f t="shared" si="9"/>
        <v>0</v>
      </c>
      <c r="CI11" s="18"/>
      <c r="CX11" s="16">
        <f t="shared" si="10"/>
        <v>0</v>
      </c>
      <c r="CY11" s="16">
        <f t="shared" si="11"/>
        <v>0</v>
      </c>
      <c r="CZ11" s="18"/>
      <c r="DO11" s="16">
        <f t="shared" si="12"/>
        <v>0</v>
      </c>
      <c r="DP11" s="16">
        <f t="shared" si="13"/>
        <v>0</v>
      </c>
      <c r="DQ11" s="18"/>
      <c r="EF11" s="16">
        <f t="shared" si="14"/>
        <v>0</v>
      </c>
      <c r="EG11" s="16">
        <f t="shared" si="15"/>
        <v>0</v>
      </c>
      <c r="EH11" s="18"/>
      <c r="EW11" s="16">
        <f t="shared" si="16"/>
        <v>0</v>
      </c>
      <c r="EX11" s="16">
        <f t="shared" si="17"/>
        <v>0</v>
      </c>
      <c r="EY11" s="18"/>
      <c r="FN11" s="16">
        <f t="shared" si="18"/>
        <v>0</v>
      </c>
      <c r="FO11" s="16">
        <f t="shared" si="19"/>
        <v>0</v>
      </c>
      <c r="FP11" s="18"/>
      <c r="GE11" s="16">
        <f t="shared" si="20"/>
        <v>0</v>
      </c>
      <c r="GF11" s="16">
        <f t="shared" si="21"/>
        <v>0</v>
      </c>
      <c r="GG11" s="18"/>
      <c r="GV11" s="16">
        <f t="shared" si="22"/>
        <v>0</v>
      </c>
      <c r="GW11" s="16">
        <f t="shared" si="23"/>
        <v>0</v>
      </c>
      <c r="GX11" s="18"/>
      <c r="HM11" s="16">
        <f t="shared" si="24"/>
        <v>0</v>
      </c>
      <c r="HN11" s="16">
        <f t="shared" si="25"/>
        <v>0</v>
      </c>
      <c r="HO11" s="18"/>
      <c r="ID11" s="16">
        <f t="shared" si="26"/>
        <v>0</v>
      </c>
      <c r="IE11" s="16">
        <f t="shared" si="27"/>
        <v>0</v>
      </c>
      <c r="IF11" s="18"/>
      <c r="IU11" s="16">
        <f t="shared" si="28"/>
        <v>0</v>
      </c>
      <c r="IV11" s="16">
        <f t="shared" si="29"/>
        <v>0</v>
      </c>
    </row>
    <row r="12" spans="1:256" s="16" customFormat="1" x14ac:dyDescent="0.25">
      <c r="A12" s="15" t="s">
        <v>40</v>
      </c>
      <c r="B12" s="15"/>
      <c r="C12" s="16">
        <v>1</v>
      </c>
      <c r="Q12" s="16">
        <f t="shared" si="0"/>
        <v>0</v>
      </c>
      <c r="R12" s="16">
        <f t="shared" si="1"/>
        <v>1</v>
      </c>
      <c r="S12" s="17"/>
      <c r="AH12" s="16">
        <f t="shared" si="2"/>
        <v>0</v>
      </c>
      <c r="AI12" s="16">
        <f t="shared" si="3"/>
        <v>0</v>
      </c>
      <c r="AJ12" s="18"/>
      <c r="AY12" s="16">
        <f t="shared" si="4"/>
        <v>0</v>
      </c>
      <c r="AZ12" s="16">
        <f t="shared" si="5"/>
        <v>0</v>
      </c>
      <c r="BA12" s="18"/>
      <c r="BP12" s="16">
        <f t="shared" si="6"/>
        <v>0</v>
      </c>
      <c r="BQ12" s="16">
        <f t="shared" si="7"/>
        <v>0</v>
      </c>
      <c r="BR12" s="18"/>
      <c r="CG12" s="16">
        <f t="shared" si="8"/>
        <v>0</v>
      </c>
      <c r="CH12" s="16">
        <f t="shared" si="9"/>
        <v>0</v>
      </c>
      <c r="CI12" s="18"/>
      <c r="CX12" s="16">
        <f t="shared" si="10"/>
        <v>0</v>
      </c>
      <c r="CY12" s="16">
        <f t="shared" si="11"/>
        <v>0</v>
      </c>
      <c r="CZ12" s="18"/>
      <c r="DO12" s="16">
        <f t="shared" si="12"/>
        <v>0</v>
      </c>
      <c r="DP12" s="16">
        <f t="shared" si="13"/>
        <v>0</v>
      </c>
      <c r="DQ12" s="18"/>
      <c r="EF12" s="16">
        <f t="shared" si="14"/>
        <v>0</v>
      </c>
      <c r="EG12" s="16">
        <f t="shared" si="15"/>
        <v>0</v>
      </c>
      <c r="EH12" s="18"/>
      <c r="EW12" s="16">
        <f t="shared" si="16"/>
        <v>0</v>
      </c>
      <c r="EX12" s="16">
        <f t="shared" si="17"/>
        <v>0</v>
      </c>
      <c r="EY12" s="18"/>
      <c r="FN12" s="16">
        <f t="shared" si="18"/>
        <v>0</v>
      </c>
      <c r="FO12" s="16">
        <f t="shared" si="19"/>
        <v>0</v>
      </c>
      <c r="FP12" s="18"/>
      <c r="GE12" s="16">
        <f t="shared" si="20"/>
        <v>0</v>
      </c>
      <c r="GF12" s="16">
        <f t="shared" si="21"/>
        <v>0</v>
      </c>
      <c r="GG12" s="18"/>
      <c r="GV12" s="16">
        <f t="shared" si="22"/>
        <v>0</v>
      </c>
      <c r="GW12" s="16">
        <f t="shared" si="23"/>
        <v>0</v>
      </c>
      <c r="GX12" s="18"/>
      <c r="HM12" s="16">
        <f t="shared" si="24"/>
        <v>0</v>
      </c>
      <c r="HN12" s="16">
        <f t="shared" si="25"/>
        <v>0</v>
      </c>
      <c r="HO12" s="18"/>
      <c r="ID12" s="16">
        <f t="shared" si="26"/>
        <v>0</v>
      </c>
      <c r="IE12" s="16">
        <f t="shared" si="27"/>
        <v>0</v>
      </c>
      <c r="IF12" s="18"/>
      <c r="IU12" s="16">
        <f t="shared" si="28"/>
        <v>0</v>
      </c>
      <c r="IV12" s="16">
        <f t="shared" si="29"/>
        <v>0</v>
      </c>
    </row>
    <row r="13" spans="1:256" s="16" customFormat="1" x14ac:dyDescent="0.25">
      <c r="A13" s="15" t="s">
        <v>41</v>
      </c>
      <c r="B13" s="15"/>
      <c r="C13" s="16">
        <v>2</v>
      </c>
      <c r="J13" s="16">
        <v>1</v>
      </c>
      <c r="Q13" s="16">
        <f t="shared" si="0"/>
        <v>0</v>
      </c>
      <c r="R13" s="16">
        <f t="shared" si="1"/>
        <v>2</v>
      </c>
      <c r="S13" s="17"/>
      <c r="AH13" s="16">
        <f t="shared" si="2"/>
        <v>0</v>
      </c>
      <c r="AI13" s="16">
        <f t="shared" si="3"/>
        <v>0</v>
      </c>
      <c r="AJ13" s="18"/>
      <c r="AY13" s="16">
        <f t="shared" si="4"/>
        <v>0</v>
      </c>
      <c r="AZ13" s="16">
        <f t="shared" si="5"/>
        <v>0</v>
      </c>
      <c r="BA13" s="18"/>
      <c r="BP13" s="16">
        <f t="shared" si="6"/>
        <v>0</v>
      </c>
      <c r="BQ13" s="16">
        <f t="shared" si="7"/>
        <v>0</v>
      </c>
      <c r="BR13" s="18"/>
      <c r="CG13" s="16">
        <f t="shared" si="8"/>
        <v>0</v>
      </c>
      <c r="CH13" s="16">
        <f t="shared" si="9"/>
        <v>0</v>
      </c>
      <c r="CI13" s="18"/>
      <c r="CX13" s="16">
        <f t="shared" si="10"/>
        <v>0</v>
      </c>
      <c r="CY13" s="16">
        <f t="shared" si="11"/>
        <v>0</v>
      </c>
      <c r="CZ13" s="18"/>
      <c r="DO13" s="16">
        <f t="shared" si="12"/>
        <v>0</v>
      </c>
      <c r="DP13" s="16">
        <f t="shared" si="13"/>
        <v>0</v>
      </c>
      <c r="DQ13" s="18"/>
      <c r="EF13" s="16">
        <f t="shared" si="14"/>
        <v>0</v>
      </c>
      <c r="EG13" s="16">
        <f t="shared" si="15"/>
        <v>0</v>
      </c>
      <c r="EH13" s="18"/>
      <c r="EW13" s="16">
        <f t="shared" si="16"/>
        <v>0</v>
      </c>
      <c r="EX13" s="16">
        <f t="shared" si="17"/>
        <v>0</v>
      </c>
      <c r="EY13" s="18"/>
      <c r="FN13" s="16">
        <f t="shared" si="18"/>
        <v>0</v>
      </c>
      <c r="FO13" s="16">
        <f t="shared" si="19"/>
        <v>0</v>
      </c>
      <c r="FP13" s="18"/>
      <c r="GE13" s="16">
        <f t="shared" si="20"/>
        <v>0</v>
      </c>
      <c r="GF13" s="16">
        <f t="shared" si="21"/>
        <v>0</v>
      </c>
      <c r="GG13" s="18"/>
      <c r="GV13" s="16">
        <f t="shared" si="22"/>
        <v>0</v>
      </c>
      <c r="GW13" s="16">
        <f t="shared" si="23"/>
        <v>0</v>
      </c>
      <c r="GX13" s="18"/>
      <c r="HM13" s="16">
        <f t="shared" si="24"/>
        <v>0</v>
      </c>
      <c r="HN13" s="16">
        <f t="shared" si="25"/>
        <v>0</v>
      </c>
      <c r="HO13" s="18"/>
      <c r="ID13" s="16">
        <f t="shared" si="26"/>
        <v>0</v>
      </c>
      <c r="IE13" s="16">
        <f t="shared" si="27"/>
        <v>0</v>
      </c>
      <c r="IF13" s="18"/>
      <c r="IU13" s="16">
        <f t="shared" si="28"/>
        <v>0</v>
      </c>
      <c r="IV13" s="16">
        <f t="shared" si="29"/>
        <v>0</v>
      </c>
    </row>
    <row r="14" spans="1:256" s="16" customFormat="1" x14ac:dyDescent="0.25">
      <c r="A14" s="15" t="s">
        <v>42</v>
      </c>
      <c r="B14" s="15"/>
      <c r="C14" s="16">
        <v>3</v>
      </c>
      <c r="D14" s="16">
        <v>2</v>
      </c>
      <c r="E14" s="16">
        <v>2</v>
      </c>
      <c r="I14" s="16">
        <v>1</v>
      </c>
      <c r="J14" s="16">
        <v>1</v>
      </c>
      <c r="L14" s="16">
        <v>1</v>
      </c>
      <c r="Q14" s="16">
        <f t="shared" si="0"/>
        <v>2</v>
      </c>
      <c r="R14" s="16">
        <f t="shared" si="1"/>
        <v>3</v>
      </c>
      <c r="S14" s="17"/>
      <c r="AH14" s="16">
        <f t="shared" si="2"/>
        <v>0</v>
      </c>
      <c r="AI14" s="16">
        <f t="shared" si="3"/>
        <v>0</v>
      </c>
      <c r="AJ14" s="18"/>
      <c r="AY14" s="16">
        <f t="shared" si="4"/>
        <v>0</v>
      </c>
      <c r="AZ14" s="16">
        <f t="shared" si="5"/>
        <v>0</v>
      </c>
      <c r="BA14" s="18"/>
      <c r="BP14" s="16">
        <f t="shared" si="6"/>
        <v>0</v>
      </c>
      <c r="BQ14" s="16">
        <f t="shared" si="7"/>
        <v>0</v>
      </c>
      <c r="BR14" s="18"/>
      <c r="CG14" s="16">
        <f t="shared" si="8"/>
        <v>0</v>
      </c>
      <c r="CH14" s="16">
        <f t="shared" si="9"/>
        <v>0</v>
      </c>
      <c r="CI14" s="18"/>
      <c r="CX14" s="16">
        <f t="shared" si="10"/>
        <v>0</v>
      </c>
      <c r="CY14" s="16">
        <f t="shared" si="11"/>
        <v>0</v>
      </c>
      <c r="CZ14" s="18"/>
      <c r="DO14" s="16">
        <f t="shared" si="12"/>
        <v>0</v>
      </c>
      <c r="DP14" s="16">
        <f t="shared" si="13"/>
        <v>0</v>
      </c>
      <c r="DQ14" s="18"/>
      <c r="EF14" s="16">
        <f t="shared" si="14"/>
        <v>0</v>
      </c>
      <c r="EG14" s="16">
        <f t="shared" si="15"/>
        <v>0</v>
      </c>
      <c r="EH14" s="18"/>
      <c r="EW14" s="16">
        <f t="shared" si="16"/>
        <v>0</v>
      </c>
      <c r="EX14" s="16">
        <f t="shared" si="17"/>
        <v>0</v>
      </c>
      <c r="EY14" s="18"/>
      <c r="FN14" s="16">
        <f t="shared" si="18"/>
        <v>0</v>
      </c>
      <c r="FO14" s="16">
        <f t="shared" si="19"/>
        <v>0</v>
      </c>
      <c r="FP14" s="18"/>
      <c r="GE14" s="16">
        <f t="shared" si="20"/>
        <v>0</v>
      </c>
      <c r="GF14" s="16">
        <f t="shared" si="21"/>
        <v>0</v>
      </c>
      <c r="GG14" s="18"/>
      <c r="GV14" s="16">
        <f t="shared" si="22"/>
        <v>0</v>
      </c>
      <c r="GW14" s="16">
        <f t="shared" si="23"/>
        <v>0</v>
      </c>
      <c r="GX14" s="18"/>
      <c r="HM14" s="16">
        <f t="shared" si="24"/>
        <v>0</v>
      </c>
      <c r="HN14" s="16">
        <f t="shared" si="25"/>
        <v>0</v>
      </c>
      <c r="HO14" s="18"/>
      <c r="ID14" s="16">
        <f t="shared" si="26"/>
        <v>0</v>
      </c>
      <c r="IE14" s="16">
        <f t="shared" si="27"/>
        <v>0</v>
      </c>
      <c r="IF14" s="18"/>
      <c r="IU14" s="16">
        <f t="shared" si="28"/>
        <v>0</v>
      </c>
      <c r="IV14" s="16">
        <f t="shared" si="29"/>
        <v>0</v>
      </c>
    </row>
    <row r="15" spans="1:256" s="16" customFormat="1" x14ac:dyDescent="0.25">
      <c r="A15" s="15" t="s">
        <v>43</v>
      </c>
      <c r="B15" s="15"/>
      <c r="C15" s="16">
        <v>3</v>
      </c>
      <c r="D15" s="16">
        <v>1</v>
      </c>
      <c r="E15" s="16">
        <v>2</v>
      </c>
      <c r="G15" s="16">
        <v>1</v>
      </c>
      <c r="Q15" s="16">
        <f t="shared" si="0"/>
        <v>4</v>
      </c>
      <c r="R15" s="16">
        <f t="shared" si="1"/>
        <v>3</v>
      </c>
      <c r="S15" s="17"/>
      <c r="AH15" s="16">
        <f t="shared" si="2"/>
        <v>0</v>
      </c>
      <c r="AI15" s="16">
        <f t="shared" si="3"/>
        <v>0</v>
      </c>
      <c r="AJ15" s="18"/>
      <c r="AY15" s="16">
        <f t="shared" si="4"/>
        <v>0</v>
      </c>
      <c r="AZ15" s="16">
        <f t="shared" si="5"/>
        <v>0</v>
      </c>
      <c r="BA15" s="18"/>
      <c r="BP15" s="16">
        <f t="shared" si="6"/>
        <v>0</v>
      </c>
      <c r="BQ15" s="16">
        <f t="shared" si="7"/>
        <v>0</v>
      </c>
      <c r="BR15" s="18"/>
      <c r="CG15" s="16">
        <f t="shared" si="8"/>
        <v>0</v>
      </c>
      <c r="CH15" s="16">
        <f t="shared" si="9"/>
        <v>0</v>
      </c>
      <c r="CI15" s="18"/>
      <c r="CX15" s="16">
        <f t="shared" si="10"/>
        <v>0</v>
      </c>
      <c r="CY15" s="16">
        <f t="shared" si="11"/>
        <v>0</v>
      </c>
      <c r="CZ15" s="18"/>
      <c r="DO15" s="16">
        <f t="shared" si="12"/>
        <v>0</v>
      </c>
      <c r="DP15" s="16">
        <f t="shared" si="13"/>
        <v>0</v>
      </c>
      <c r="DQ15" s="18"/>
      <c r="EF15" s="16">
        <f t="shared" si="14"/>
        <v>0</v>
      </c>
      <c r="EG15" s="16">
        <f t="shared" si="15"/>
        <v>0</v>
      </c>
      <c r="EH15" s="18"/>
      <c r="EW15" s="16">
        <f t="shared" si="16"/>
        <v>0</v>
      </c>
      <c r="EX15" s="16">
        <f t="shared" si="17"/>
        <v>0</v>
      </c>
      <c r="EY15" s="18"/>
      <c r="FN15" s="16">
        <f t="shared" si="18"/>
        <v>0</v>
      </c>
      <c r="FO15" s="16">
        <f t="shared" si="19"/>
        <v>0</v>
      </c>
      <c r="FP15" s="18"/>
      <c r="GE15" s="16">
        <f t="shared" si="20"/>
        <v>0</v>
      </c>
      <c r="GF15" s="16">
        <f t="shared" si="21"/>
        <v>0</v>
      </c>
      <c r="GG15" s="18"/>
      <c r="GV15" s="16">
        <f t="shared" si="22"/>
        <v>0</v>
      </c>
      <c r="GW15" s="16">
        <f t="shared" si="23"/>
        <v>0</v>
      </c>
      <c r="GX15" s="18"/>
      <c r="HM15" s="16">
        <f t="shared" si="24"/>
        <v>0</v>
      </c>
      <c r="HN15" s="16">
        <f t="shared" si="25"/>
        <v>0</v>
      </c>
      <c r="HO15" s="18"/>
      <c r="ID15" s="16">
        <f t="shared" si="26"/>
        <v>0</v>
      </c>
      <c r="IE15" s="16">
        <f t="shared" si="27"/>
        <v>0</v>
      </c>
      <c r="IF15" s="18"/>
      <c r="IU15" s="16">
        <f t="shared" si="28"/>
        <v>0</v>
      </c>
      <c r="IV15" s="16">
        <f t="shared" si="29"/>
        <v>0</v>
      </c>
    </row>
    <row r="16" spans="1:256" s="16" customFormat="1" x14ac:dyDescent="0.25">
      <c r="A16" s="15" t="s">
        <v>44</v>
      </c>
      <c r="B16" s="15"/>
      <c r="C16" s="16">
        <v>3</v>
      </c>
      <c r="D16" s="16">
        <v>2</v>
      </c>
      <c r="E16" s="16">
        <v>2</v>
      </c>
      <c r="F16" s="16">
        <v>1</v>
      </c>
      <c r="I16" s="16">
        <v>2</v>
      </c>
      <c r="J16" s="16">
        <v>1</v>
      </c>
      <c r="L16" s="16">
        <v>3</v>
      </c>
      <c r="Q16" s="16">
        <f t="shared" si="0"/>
        <v>3</v>
      </c>
      <c r="R16" s="16">
        <f t="shared" si="1"/>
        <v>3</v>
      </c>
      <c r="S16" s="17"/>
      <c r="AH16" s="16">
        <f t="shared" si="2"/>
        <v>0</v>
      </c>
      <c r="AI16" s="16">
        <f t="shared" si="3"/>
        <v>0</v>
      </c>
      <c r="AJ16" s="18"/>
      <c r="AY16" s="16">
        <f t="shared" si="4"/>
        <v>0</v>
      </c>
      <c r="AZ16" s="16">
        <f t="shared" si="5"/>
        <v>0</v>
      </c>
      <c r="BA16" s="18"/>
      <c r="BP16" s="16">
        <f t="shared" si="6"/>
        <v>0</v>
      </c>
      <c r="BQ16" s="16">
        <f t="shared" si="7"/>
        <v>0</v>
      </c>
      <c r="BR16" s="18"/>
      <c r="CG16" s="16">
        <f t="shared" si="8"/>
        <v>0</v>
      </c>
      <c r="CH16" s="16">
        <f t="shared" si="9"/>
        <v>0</v>
      </c>
      <c r="CI16" s="18"/>
      <c r="CX16" s="16">
        <f t="shared" si="10"/>
        <v>0</v>
      </c>
      <c r="CY16" s="16">
        <f t="shared" si="11"/>
        <v>0</v>
      </c>
      <c r="CZ16" s="18"/>
      <c r="DO16" s="16">
        <f t="shared" si="12"/>
        <v>0</v>
      </c>
      <c r="DP16" s="16">
        <f t="shared" si="13"/>
        <v>0</v>
      </c>
      <c r="DQ16" s="18"/>
      <c r="EF16" s="16">
        <f t="shared" si="14"/>
        <v>0</v>
      </c>
      <c r="EG16" s="16">
        <f t="shared" si="15"/>
        <v>0</v>
      </c>
      <c r="EH16" s="18"/>
      <c r="EW16" s="16">
        <f t="shared" si="16"/>
        <v>0</v>
      </c>
      <c r="EX16" s="16">
        <f t="shared" si="17"/>
        <v>0</v>
      </c>
      <c r="EY16" s="18"/>
      <c r="FN16" s="16">
        <f t="shared" si="18"/>
        <v>0</v>
      </c>
      <c r="FO16" s="16">
        <f t="shared" si="19"/>
        <v>0</v>
      </c>
      <c r="FP16" s="18"/>
      <c r="GE16" s="16">
        <f t="shared" si="20"/>
        <v>0</v>
      </c>
      <c r="GF16" s="16">
        <f t="shared" si="21"/>
        <v>0</v>
      </c>
      <c r="GG16" s="18"/>
      <c r="GV16" s="16">
        <f t="shared" si="22"/>
        <v>0</v>
      </c>
      <c r="GW16" s="16">
        <f t="shared" si="23"/>
        <v>0</v>
      </c>
      <c r="GX16" s="18"/>
      <c r="HM16" s="16">
        <f t="shared" si="24"/>
        <v>0</v>
      </c>
      <c r="HN16" s="16">
        <f t="shared" si="25"/>
        <v>0</v>
      </c>
      <c r="HO16" s="18"/>
      <c r="ID16" s="16">
        <f t="shared" si="26"/>
        <v>0</v>
      </c>
      <c r="IE16" s="16">
        <f t="shared" si="27"/>
        <v>0</v>
      </c>
      <c r="IF16" s="18"/>
      <c r="IU16" s="16">
        <f t="shared" si="28"/>
        <v>0</v>
      </c>
      <c r="IV16" s="16">
        <f t="shared" si="29"/>
        <v>0</v>
      </c>
    </row>
    <row r="17" spans="1:256" s="16" customFormat="1" x14ac:dyDescent="0.25">
      <c r="A17" s="19" t="s">
        <v>45</v>
      </c>
      <c r="B17" s="19"/>
      <c r="C17" s="16">
        <v>2</v>
      </c>
      <c r="D17" s="16">
        <v>1</v>
      </c>
      <c r="J17" s="16">
        <v>1</v>
      </c>
      <c r="K17" s="16">
        <v>1</v>
      </c>
      <c r="L17" s="16">
        <v>1</v>
      </c>
      <c r="Q17" s="16">
        <f t="shared" si="0"/>
        <v>0</v>
      </c>
      <c r="R17" s="16">
        <f t="shared" si="1"/>
        <v>3</v>
      </c>
      <c r="S17" s="17"/>
      <c r="AH17" s="16">
        <f t="shared" si="2"/>
        <v>0</v>
      </c>
      <c r="AI17" s="16">
        <f t="shared" si="3"/>
        <v>0</v>
      </c>
      <c r="AJ17" s="18"/>
      <c r="AY17" s="16">
        <f t="shared" si="4"/>
        <v>0</v>
      </c>
      <c r="AZ17" s="16">
        <f t="shared" si="5"/>
        <v>0</v>
      </c>
      <c r="BA17" s="18"/>
      <c r="BP17" s="16">
        <f t="shared" si="6"/>
        <v>0</v>
      </c>
      <c r="BQ17" s="16">
        <f t="shared" si="7"/>
        <v>0</v>
      </c>
      <c r="BR17" s="18"/>
      <c r="CG17" s="16">
        <f t="shared" si="8"/>
        <v>0</v>
      </c>
      <c r="CH17" s="16">
        <f t="shared" si="9"/>
        <v>0</v>
      </c>
      <c r="CI17" s="18"/>
      <c r="CX17" s="16">
        <f t="shared" si="10"/>
        <v>0</v>
      </c>
      <c r="CY17" s="16">
        <f t="shared" si="11"/>
        <v>0</v>
      </c>
      <c r="CZ17" s="18"/>
      <c r="DO17" s="16">
        <f t="shared" si="12"/>
        <v>0</v>
      </c>
      <c r="DP17" s="16">
        <f t="shared" si="13"/>
        <v>0</v>
      </c>
      <c r="DQ17" s="18"/>
      <c r="EF17" s="16">
        <f t="shared" si="14"/>
        <v>0</v>
      </c>
      <c r="EG17" s="16">
        <f t="shared" si="15"/>
        <v>0</v>
      </c>
      <c r="EH17" s="18"/>
      <c r="EW17" s="16">
        <f t="shared" si="16"/>
        <v>0</v>
      </c>
      <c r="EX17" s="16">
        <f t="shared" si="17"/>
        <v>0</v>
      </c>
      <c r="EY17" s="18"/>
      <c r="FN17" s="16">
        <f t="shared" si="18"/>
        <v>0</v>
      </c>
      <c r="FO17" s="16">
        <f t="shared" si="19"/>
        <v>0</v>
      </c>
      <c r="FP17" s="18"/>
      <c r="GE17" s="16">
        <f t="shared" si="20"/>
        <v>0</v>
      </c>
      <c r="GF17" s="16">
        <f t="shared" si="21"/>
        <v>0</v>
      </c>
      <c r="GG17" s="18"/>
      <c r="GV17" s="16">
        <f t="shared" si="22"/>
        <v>0</v>
      </c>
      <c r="GW17" s="16">
        <f t="shared" si="23"/>
        <v>0</v>
      </c>
      <c r="GX17" s="18"/>
      <c r="HM17" s="16">
        <f t="shared" si="24"/>
        <v>0</v>
      </c>
      <c r="HN17" s="16">
        <f t="shared" si="25"/>
        <v>0</v>
      </c>
      <c r="HO17" s="18"/>
      <c r="ID17" s="16">
        <f t="shared" si="26"/>
        <v>0</v>
      </c>
      <c r="IE17" s="16">
        <f t="shared" si="27"/>
        <v>0</v>
      </c>
      <c r="IF17" s="18"/>
      <c r="IU17" s="16">
        <f t="shared" si="28"/>
        <v>0</v>
      </c>
      <c r="IV17" s="16">
        <f t="shared" si="29"/>
        <v>0</v>
      </c>
    </row>
    <row r="18" spans="1:256" s="16" customFormat="1" x14ac:dyDescent="0.25">
      <c r="A18" s="19" t="s">
        <v>46</v>
      </c>
      <c r="B18" s="19"/>
      <c r="Q18" s="16">
        <f t="shared" si="0"/>
        <v>0</v>
      </c>
      <c r="R18" s="16">
        <f t="shared" si="1"/>
        <v>0</v>
      </c>
      <c r="S18" s="17"/>
      <c r="AH18" s="16">
        <f t="shared" si="2"/>
        <v>0</v>
      </c>
      <c r="AI18" s="16">
        <f t="shared" si="3"/>
        <v>0</v>
      </c>
      <c r="AJ18" s="18"/>
      <c r="AY18" s="16">
        <f t="shared" si="4"/>
        <v>0</v>
      </c>
      <c r="AZ18" s="16">
        <f t="shared" si="5"/>
        <v>0</v>
      </c>
      <c r="BA18" s="18"/>
      <c r="BP18" s="16">
        <f t="shared" si="6"/>
        <v>0</v>
      </c>
      <c r="BQ18" s="16">
        <f t="shared" si="7"/>
        <v>0</v>
      </c>
      <c r="BR18" s="18"/>
      <c r="CG18" s="16">
        <f t="shared" si="8"/>
        <v>0</v>
      </c>
      <c r="CH18" s="16">
        <f t="shared" si="9"/>
        <v>0</v>
      </c>
      <c r="CI18" s="18"/>
      <c r="CX18" s="16">
        <f t="shared" si="10"/>
        <v>0</v>
      </c>
      <c r="CY18" s="16">
        <f t="shared" si="11"/>
        <v>0</v>
      </c>
      <c r="CZ18" s="18"/>
      <c r="DO18" s="16">
        <f t="shared" si="12"/>
        <v>0</v>
      </c>
      <c r="DP18" s="16">
        <f t="shared" si="13"/>
        <v>0</v>
      </c>
      <c r="DQ18" s="18"/>
      <c r="EF18" s="16">
        <f t="shared" si="14"/>
        <v>0</v>
      </c>
      <c r="EG18" s="16">
        <f t="shared" si="15"/>
        <v>0</v>
      </c>
      <c r="EH18" s="18"/>
      <c r="EW18" s="16">
        <f t="shared" si="16"/>
        <v>0</v>
      </c>
      <c r="EX18" s="16">
        <f t="shared" si="17"/>
        <v>0</v>
      </c>
      <c r="EY18" s="18"/>
      <c r="FN18" s="16">
        <f t="shared" si="18"/>
        <v>0</v>
      </c>
      <c r="FO18" s="16">
        <f t="shared" si="19"/>
        <v>0</v>
      </c>
      <c r="FP18" s="18"/>
      <c r="GE18" s="16">
        <f t="shared" si="20"/>
        <v>0</v>
      </c>
      <c r="GF18" s="16">
        <f t="shared" si="21"/>
        <v>0</v>
      </c>
      <c r="GG18" s="18"/>
      <c r="GV18" s="16">
        <f t="shared" si="22"/>
        <v>0</v>
      </c>
      <c r="GW18" s="16">
        <f t="shared" si="23"/>
        <v>0</v>
      </c>
      <c r="GX18" s="18"/>
      <c r="HM18" s="16">
        <f t="shared" si="24"/>
        <v>0</v>
      </c>
      <c r="HN18" s="16">
        <f t="shared" si="25"/>
        <v>0</v>
      </c>
      <c r="HO18" s="18"/>
      <c r="ID18" s="16">
        <f t="shared" si="26"/>
        <v>0</v>
      </c>
      <c r="IE18" s="16">
        <f t="shared" si="27"/>
        <v>0</v>
      </c>
      <c r="IF18" s="18"/>
      <c r="IU18" s="16">
        <f t="shared" si="28"/>
        <v>0</v>
      </c>
      <c r="IV18" s="16">
        <f t="shared" si="29"/>
        <v>0</v>
      </c>
    </row>
    <row r="19" spans="1:256" s="16" customFormat="1" x14ac:dyDescent="0.25">
      <c r="A19" s="19" t="s">
        <v>47</v>
      </c>
      <c r="B19" s="19"/>
      <c r="Q19" s="16">
        <f t="shared" si="0"/>
        <v>0</v>
      </c>
      <c r="R19" s="16">
        <f t="shared" si="1"/>
        <v>0</v>
      </c>
      <c r="S19" s="17"/>
      <c r="AH19" s="16">
        <f t="shared" si="2"/>
        <v>0</v>
      </c>
      <c r="AI19" s="16">
        <f t="shared" si="3"/>
        <v>0</v>
      </c>
      <c r="AJ19" s="18"/>
      <c r="AY19" s="16">
        <f t="shared" si="4"/>
        <v>0</v>
      </c>
      <c r="AZ19" s="16">
        <f t="shared" si="5"/>
        <v>0</v>
      </c>
      <c r="BA19" s="18"/>
      <c r="BP19" s="16">
        <f t="shared" si="6"/>
        <v>0</v>
      </c>
      <c r="BQ19" s="16">
        <f t="shared" si="7"/>
        <v>0</v>
      </c>
      <c r="BR19" s="18"/>
      <c r="CG19" s="16">
        <f t="shared" si="8"/>
        <v>0</v>
      </c>
      <c r="CH19" s="16">
        <f t="shared" si="9"/>
        <v>0</v>
      </c>
      <c r="CI19" s="18"/>
      <c r="CX19" s="16">
        <f t="shared" si="10"/>
        <v>0</v>
      </c>
      <c r="CY19" s="16">
        <f t="shared" si="11"/>
        <v>0</v>
      </c>
      <c r="CZ19" s="18"/>
      <c r="DO19" s="16">
        <f t="shared" si="12"/>
        <v>0</v>
      </c>
      <c r="DP19" s="16">
        <f t="shared" si="13"/>
        <v>0</v>
      </c>
      <c r="DQ19" s="18"/>
      <c r="EF19" s="16">
        <f t="shared" si="14"/>
        <v>0</v>
      </c>
      <c r="EG19" s="16">
        <f t="shared" si="15"/>
        <v>0</v>
      </c>
      <c r="EH19" s="18"/>
      <c r="EW19" s="16">
        <f t="shared" si="16"/>
        <v>0</v>
      </c>
      <c r="EX19" s="16">
        <f t="shared" si="17"/>
        <v>0</v>
      </c>
      <c r="EY19" s="18"/>
      <c r="FN19" s="16">
        <f t="shared" si="18"/>
        <v>0</v>
      </c>
      <c r="FO19" s="16">
        <f t="shared" si="19"/>
        <v>0</v>
      </c>
      <c r="FP19" s="18"/>
      <c r="GE19" s="16">
        <f t="shared" si="20"/>
        <v>0</v>
      </c>
      <c r="GF19" s="16">
        <f t="shared" si="21"/>
        <v>0</v>
      </c>
      <c r="GG19" s="18"/>
      <c r="GV19" s="16">
        <f t="shared" si="22"/>
        <v>0</v>
      </c>
      <c r="GW19" s="16">
        <f t="shared" si="23"/>
        <v>0</v>
      </c>
      <c r="GX19" s="18"/>
      <c r="HM19" s="16">
        <f t="shared" si="24"/>
        <v>0</v>
      </c>
      <c r="HN19" s="16">
        <f t="shared" si="25"/>
        <v>0</v>
      </c>
      <c r="HO19" s="18"/>
      <c r="ID19" s="16">
        <f t="shared" si="26"/>
        <v>0</v>
      </c>
      <c r="IE19" s="16">
        <f t="shared" si="27"/>
        <v>0</v>
      </c>
      <c r="IF19" s="18"/>
      <c r="IU19" s="16">
        <f t="shared" si="28"/>
        <v>0</v>
      </c>
      <c r="IV19" s="16">
        <f t="shared" si="29"/>
        <v>0</v>
      </c>
    </row>
    <row r="20" spans="1:256" s="16" customFormat="1" x14ac:dyDescent="0.25">
      <c r="A20" s="19"/>
      <c r="B20" s="19"/>
      <c r="Q20" s="16">
        <f t="shared" si="0"/>
        <v>0</v>
      </c>
      <c r="R20" s="16">
        <f t="shared" si="1"/>
        <v>0</v>
      </c>
      <c r="S20" s="17"/>
      <c r="AH20" s="16">
        <f t="shared" si="2"/>
        <v>0</v>
      </c>
      <c r="AI20" s="16">
        <f t="shared" si="3"/>
        <v>0</v>
      </c>
      <c r="AJ20" s="18"/>
      <c r="AY20" s="16">
        <f t="shared" si="4"/>
        <v>0</v>
      </c>
      <c r="AZ20" s="16">
        <f t="shared" si="5"/>
        <v>0</v>
      </c>
      <c r="BA20" s="18"/>
      <c r="BP20" s="16">
        <f t="shared" si="6"/>
        <v>0</v>
      </c>
      <c r="BQ20" s="16">
        <f t="shared" si="7"/>
        <v>0</v>
      </c>
      <c r="BR20" s="18"/>
      <c r="CG20" s="16">
        <f t="shared" si="8"/>
        <v>0</v>
      </c>
      <c r="CH20" s="16">
        <f t="shared" si="9"/>
        <v>0</v>
      </c>
      <c r="CI20" s="18"/>
      <c r="CX20" s="16">
        <f t="shared" si="10"/>
        <v>0</v>
      </c>
      <c r="CY20" s="16">
        <f t="shared" si="11"/>
        <v>0</v>
      </c>
      <c r="CZ20" s="18"/>
      <c r="DO20" s="16">
        <f t="shared" si="12"/>
        <v>0</v>
      </c>
      <c r="DP20" s="16">
        <f t="shared" si="13"/>
        <v>0</v>
      </c>
      <c r="DQ20" s="18"/>
      <c r="EF20" s="16">
        <f t="shared" si="14"/>
        <v>0</v>
      </c>
      <c r="EG20" s="16">
        <f t="shared" si="15"/>
        <v>0</v>
      </c>
      <c r="EH20" s="18"/>
      <c r="EW20" s="16">
        <f t="shared" si="16"/>
        <v>0</v>
      </c>
      <c r="EX20" s="16">
        <f t="shared" si="17"/>
        <v>0</v>
      </c>
      <c r="EY20" s="18"/>
      <c r="FN20" s="16">
        <f t="shared" si="18"/>
        <v>0</v>
      </c>
      <c r="FO20" s="16">
        <f t="shared" si="19"/>
        <v>0</v>
      </c>
      <c r="FP20" s="18"/>
      <c r="GE20" s="16">
        <f t="shared" si="20"/>
        <v>0</v>
      </c>
      <c r="GF20" s="16">
        <f t="shared" si="21"/>
        <v>0</v>
      </c>
      <c r="GG20" s="18"/>
      <c r="GV20" s="16">
        <f t="shared" si="22"/>
        <v>0</v>
      </c>
      <c r="GW20" s="16">
        <f t="shared" si="23"/>
        <v>0</v>
      </c>
      <c r="GX20" s="18"/>
      <c r="HM20" s="16">
        <f t="shared" si="24"/>
        <v>0</v>
      </c>
      <c r="HN20" s="16">
        <f t="shared" si="25"/>
        <v>0</v>
      </c>
      <c r="HO20" s="18"/>
      <c r="ID20" s="16">
        <f t="shared" si="26"/>
        <v>0</v>
      </c>
      <c r="IE20" s="16">
        <f t="shared" si="27"/>
        <v>0</v>
      </c>
      <c r="IF20" s="18"/>
      <c r="IU20" s="16">
        <f t="shared" si="28"/>
        <v>0</v>
      </c>
      <c r="IV20" s="16">
        <f t="shared" si="29"/>
        <v>0</v>
      </c>
    </row>
    <row r="21" spans="1:256" s="16" customFormat="1" x14ac:dyDescent="0.25">
      <c r="A21" s="19"/>
      <c r="B21" s="19"/>
      <c r="Q21" s="16">
        <f t="shared" si="0"/>
        <v>0</v>
      </c>
      <c r="R21" s="16">
        <f t="shared" si="1"/>
        <v>0</v>
      </c>
      <c r="S21" s="17"/>
      <c r="AH21" s="16">
        <f t="shared" si="2"/>
        <v>0</v>
      </c>
      <c r="AI21" s="16">
        <f t="shared" si="3"/>
        <v>0</v>
      </c>
      <c r="AJ21" s="18"/>
      <c r="AY21" s="16">
        <f t="shared" si="4"/>
        <v>0</v>
      </c>
      <c r="AZ21" s="16">
        <f t="shared" si="5"/>
        <v>0</v>
      </c>
      <c r="BA21" s="18"/>
      <c r="BP21" s="16">
        <f t="shared" si="6"/>
        <v>0</v>
      </c>
      <c r="BQ21" s="16">
        <f t="shared" si="7"/>
        <v>0</v>
      </c>
      <c r="BR21" s="18"/>
      <c r="CG21" s="16">
        <f t="shared" si="8"/>
        <v>0</v>
      </c>
      <c r="CH21" s="16">
        <f t="shared" si="9"/>
        <v>0</v>
      </c>
      <c r="CI21" s="18"/>
      <c r="CX21" s="16">
        <f t="shared" si="10"/>
        <v>0</v>
      </c>
      <c r="CY21" s="16">
        <f t="shared" si="11"/>
        <v>0</v>
      </c>
      <c r="CZ21" s="18"/>
      <c r="DO21" s="16">
        <f t="shared" si="12"/>
        <v>0</v>
      </c>
      <c r="DP21" s="16">
        <f t="shared" si="13"/>
        <v>0</v>
      </c>
      <c r="DQ21" s="18"/>
      <c r="EF21" s="16">
        <f t="shared" si="14"/>
        <v>0</v>
      </c>
      <c r="EG21" s="16">
        <f t="shared" si="15"/>
        <v>0</v>
      </c>
      <c r="EH21" s="18"/>
      <c r="EW21" s="16">
        <f t="shared" si="16"/>
        <v>0</v>
      </c>
      <c r="EX21" s="16">
        <f t="shared" si="17"/>
        <v>0</v>
      </c>
      <c r="EY21" s="18"/>
      <c r="FN21" s="16">
        <f t="shared" si="18"/>
        <v>0</v>
      </c>
      <c r="FO21" s="16">
        <f t="shared" si="19"/>
        <v>0</v>
      </c>
      <c r="FP21" s="18"/>
      <c r="GE21" s="16">
        <f t="shared" si="20"/>
        <v>0</v>
      </c>
      <c r="GF21" s="16">
        <f t="shared" si="21"/>
        <v>0</v>
      </c>
      <c r="GG21" s="18"/>
      <c r="GV21" s="16">
        <f t="shared" si="22"/>
        <v>0</v>
      </c>
      <c r="GW21" s="16">
        <f t="shared" si="23"/>
        <v>0</v>
      </c>
      <c r="GX21" s="18"/>
      <c r="HM21" s="16">
        <f t="shared" si="24"/>
        <v>0</v>
      </c>
      <c r="HN21" s="16">
        <f t="shared" si="25"/>
        <v>0</v>
      </c>
      <c r="HO21" s="18"/>
      <c r="ID21" s="16">
        <f t="shared" si="26"/>
        <v>0</v>
      </c>
      <c r="IE21" s="16">
        <f t="shared" si="27"/>
        <v>0</v>
      </c>
      <c r="IF21" s="18"/>
      <c r="IU21" s="16">
        <f t="shared" si="28"/>
        <v>0</v>
      </c>
      <c r="IV21" s="16">
        <f t="shared" si="29"/>
        <v>0</v>
      </c>
    </row>
    <row r="22" spans="1:256" s="16" customFormat="1" x14ac:dyDescent="0.25">
      <c r="A22" s="14"/>
      <c r="B22" s="19"/>
      <c r="Q22" s="16">
        <f t="shared" si="0"/>
        <v>0</v>
      </c>
      <c r="R22" s="16">
        <f t="shared" si="1"/>
        <v>0</v>
      </c>
      <c r="S22" s="17"/>
      <c r="AH22" s="16">
        <f t="shared" si="2"/>
        <v>0</v>
      </c>
      <c r="AI22" s="16">
        <f t="shared" si="3"/>
        <v>0</v>
      </c>
      <c r="AJ22" s="18"/>
      <c r="AY22" s="16">
        <f t="shared" si="4"/>
        <v>0</v>
      </c>
      <c r="AZ22" s="16">
        <f t="shared" si="5"/>
        <v>0</v>
      </c>
      <c r="BA22" s="18"/>
      <c r="BP22" s="16">
        <f t="shared" si="6"/>
        <v>0</v>
      </c>
      <c r="BQ22" s="16">
        <f t="shared" si="7"/>
        <v>0</v>
      </c>
      <c r="BR22" s="18"/>
      <c r="CG22" s="16">
        <f t="shared" si="8"/>
        <v>0</v>
      </c>
      <c r="CH22" s="16">
        <f t="shared" si="9"/>
        <v>0</v>
      </c>
      <c r="CI22" s="18"/>
      <c r="CX22" s="16">
        <f t="shared" si="10"/>
        <v>0</v>
      </c>
      <c r="CY22" s="16">
        <f t="shared" si="11"/>
        <v>0</v>
      </c>
      <c r="CZ22" s="18"/>
      <c r="DO22" s="16">
        <f t="shared" si="12"/>
        <v>0</v>
      </c>
      <c r="DP22" s="16">
        <f t="shared" si="13"/>
        <v>0</v>
      </c>
      <c r="DQ22" s="18"/>
      <c r="EF22" s="16">
        <f t="shared" si="14"/>
        <v>0</v>
      </c>
      <c r="EG22" s="16">
        <f t="shared" si="15"/>
        <v>0</v>
      </c>
      <c r="EH22" s="18"/>
      <c r="EW22" s="16">
        <f t="shared" si="16"/>
        <v>0</v>
      </c>
      <c r="EX22" s="16">
        <f t="shared" si="17"/>
        <v>0</v>
      </c>
      <c r="EY22" s="18"/>
      <c r="FN22" s="16">
        <f t="shared" si="18"/>
        <v>0</v>
      </c>
      <c r="FO22" s="16">
        <f t="shared" si="19"/>
        <v>0</v>
      </c>
      <c r="FP22" s="18"/>
      <c r="GE22" s="16">
        <f t="shared" si="20"/>
        <v>0</v>
      </c>
      <c r="GF22" s="16">
        <f t="shared" si="21"/>
        <v>0</v>
      </c>
      <c r="GG22" s="18"/>
      <c r="GV22" s="16">
        <f t="shared" si="22"/>
        <v>0</v>
      </c>
      <c r="GW22" s="16">
        <f t="shared" si="23"/>
        <v>0</v>
      </c>
      <c r="GX22" s="18"/>
      <c r="HM22" s="16">
        <f t="shared" si="24"/>
        <v>0</v>
      </c>
      <c r="HN22" s="16">
        <f t="shared" si="25"/>
        <v>0</v>
      </c>
      <c r="HO22" s="18"/>
      <c r="ID22" s="16">
        <f t="shared" si="26"/>
        <v>0</v>
      </c>
      <c r="IE22" s="16">
        <f t="shared" si="27"/>
        <v>0</v>
      </c>
      <c r="IF22" s="18"/>
      <c r="IU22" s="16">
        <f t="shared" si="28"/>
        <v>0</v>
      </c>
      <c r="IV22" s="16">
        <f t="shared" si="29"/>
        <v>0</v>
      </c>
    </row>
    <row r="23" spans="1:256" s="16" customFormat="1" x14ac:dyDescent="0.25">
      <c r="A23" s="14"/>
      <c r="B23" s="19"/>
      <c r="Q23" s="16">
        <f t="shared" si="0"/>
        <v>0</v>
      </c>
      <c r="R23" s="16">
        <f t="shared" si="1"/>
        <v>0</v>
      </c>
      <c r="S23" s="17"/>
      <c r="AH23" s="16">
        <f t="shared" si="2"/>
        <v>0</v>
      </c>
      <c r="AI23" s="16">
        <f t="shared" si="3"/>
        <v>0</v>
      </c>
      <c r="AJ23" s="18"/>
      <c r="AY23" s="16">
        <f t="shared" si="4"/>
        <v>0</v>
      </c>
      <c r="AZ23" s="16">
        <f t="shared" si="5"/>
        <v>0</v>
      </c>
      <c r="BA23" s="18"/>
      <c r="BP23" s="16">
        <f t="shared" si="6"/>
        <v>0</v>
      </c>
      <c r="BQ23" s="16">
        <f t="shared" si="7"/>
        <v>0</v>
      </c>
      <c r="BR23" s="18"/>
      <c r="CG23" s="16">
        <f t="shared" si="8"/>
        <v>0</v>
      </c>
      <c r="CH23" s="16">
        <f t="shared" si="9"/>
        <v>0</v>
      </c>
      <c r="CI23" s="18"/>
      <c r="CX23" s="16">
        <f t="shared" si="10"/>
        <v>0</v>
      </c>
      <c r="CY23" s="16">
        <f t="shared" si="11"/>
        <v>0</v>
      </c>
      <c r="CZ23" s="18"/>
      <c r="DO23" s="16">
        <f t="shared" si="12"/>
        <v>0</v>
      </c>
      <c r="DP23" s="16">
        <f t="shared" si="13"/>
        <v>0</v>
      </c>
      <c r="DQ23" s="18"/>
      <c r="EF23" s="16">
        <f t="shared" si="14"/>
        <v>0</v>
      </c>
      <c r="EG23" s="16">
        <f t="shared" si="15"/>
        <v>0</v>
      </c>
      <c r="EH23" s="18"/>
      <c r="EW23" s="16">
        <f t="shared" si="16"/>
        <v>0</v>
      </c>
      <c r="EX23" s="16">
        <f t="shared" si="17"/>
        <v>0</v>
      </c>
      <c r="EY23" s="18"/>
      <c r="FN23" s="16">
        <f t="shared" si="18"/>
        <v>0</v>
      </c>
      <c r="FO23" s="16">
        <f t="shared" si="19"/>
        <v>0</v>
      </c>
      <c r="FP23" s="18"/>
      <c r="GE23" s="16">
        <f t="shared" si="20"/>
        <v>0</v>
      </c>
      <c r="GF23" s="16">
        <f t="shared" si="21"/>
        <v>0</v>
      </c>
      <c r="GG23" s="18"/>
      <c r="GV23" s="16">
        <f t="shared" si="22"/>
        <v>0</v>
      </c>
      <c r="GW23" s="16">
        <f t="shared" si="23"/>
        <v>0</v>
      </c>
      <c r="GX23" s="18"/>
      <c r="HM23" s="16">
        <f t="shared" si="24"/>
        <v>0</v>
      </c>
      <c r="HN23" s="16">
        <f t="shared" si="25"/>
        <v>0</v>
      </c>
      <c r="HO23" s="18"/>
      <c r="ID23" s="16">
        <f t="shared" si="26"/>
        <v>0</v>
      </c>
      <c r="IE23" s="16">
        <f t="shared" si="27"/>
        <v>0</v>
      </c>
      <c r="IF23" s="18"/>
      <c r="IU23" s="16">
        <f t="shared" si="28"/>
        <v>0</v>
      </c>
      <c r="IV23" s="16">
        <f t="shared" si="29"/>
        <v>0</v>
      </c>
    </row>
    <row r="24" spans="1:256" s="16" customFormat="1" x14ac:dyDescent="0.25">
      <c r="A24" s="14"/>
      <c r="B24" s="19"/>
      <c r="Q24" s="16">
        <f t="shared" si="0"/>
        <v>0</v>
      </c>
      <c r="R24" s="16">
        <f t="shared" si="1"/>
        <v>0</v>
      </c>
      <c r="S24" s="17"/>
      <c r="AH24" s="16">
        <f t="shared" si="2"/>
        <v>0</v>
      </c>
      <c r="AI24" s="16">
        <f t="shared" si="3"/>
        <v>0</v>
      </c>
      <c r="AJ24" s="18"/>
      <c r="AY24" s="16">
        <f t="shared" si="4"/>
        <v>0</v>
      </c>
      <c r="AZ24" s="16">
        <f t="shared" si="5"/>
        <v>0</v>
      </c>
      <c r="BA24" s="18"/>
      <c r="BP24" s="16">
        <f t="shared" si="6"/>
        <v>0</v>
      </c>
      <c r="BQ24" s="16">
        <f t="shared" si="7"/>
        <v>0</v>
      </c>
      <c r="BR24" s="18"/>
      <c r="CG24" s="16">
        <f t="shared" si="8"/>
        <v>0</v>
      </c>
      <c r="CH24" s="16">
        <f t="shared" si="9"/>
        <v>0</v>
      </c>
      <c r="CI24" s="18"/>
      <c r="CX24" s="16">
        <f t="shared" si="10"/>
        <v>0</v>
      </c>
      <c r="CY24" s="16">
        <f t="shared" si="11"/>
        <v>0</v>
      </c>
      <c r="CZ24" s="18"/>
      <c r="DO24" s="16">
        <f t="shared" si="12"/>
        <v>0</v>
      </c>
      <c r="DP24" s="16">
        <f t="shared" si="13"/>
        <v>0</v>
      </c>
      <c r="DQ24" s="18"/>
      <c r="EF24" s="16">
        <f t="shared" si="14"/>
        <v>0</v>
      </c>
      <c r="EG24" s="16">
        <f t="shared" si="15"/>
        <v>0</v>
      </c>
      <c r="EH24" s="18"/>
      <c r="EW24" s="16">
        <f t="shared" si="16"/>
        <v>0</v>
      </c>
      <c r="EX24" s="16">
        <f t="shared" si="17"/>
        <v>0</v>
      </c>
      <c r="EY24" s="18"/>
      <c r="FN24" s="16">
        <f t="shared" si="18"/>
        <v>0</v>
      </c>
      <c r="FO24" s="16">
        <f t="shared" si="19"/>
        <v>0</v>
      </c>
      <c r="FP24" s="18"/>
      <c r="GE24" s="16">
        <f t="shared" si="20"/>
        <v>0</v>
      </c>
      <c r="GF24" s="16">
        <f t="shared" si="21"/>
        <v>0</v>
      </c>
      <c r="GG24" s="18"/>
      <c r="GV24" s="16">
        <f t="shared" si="22"/>
        <v>0</v>
      </c>
      <c r="GW24" s="16">
        <f t="shared" si="23"/>
        <v>0</v>
      </c>
      <c r="GX24" s="18"/>
      <c r="HM24" s="16">
        <f t="shared" si="24"/>
        <v>0</v>
      </c>
      <c r="HN24" s="16">
        <f t="shared" si="25"/>
        <v>0</v>
      </c>
      <c r="HO24" s="18"/>
      <c r="ID24" s="16">
        <f t="shared" si="26"/>
        <v>0</v>
      </c>
      <c r="IE24" s="16">
        <f t="shared" si="27"/>
        <v>0</v>
      </c>
      <c r="IF24" s="18"/>
      <c r="IU24" s="16">
        <f t="shared" si="28"/>
        <v>0</v>
      </c>
      <c r="IV24" s="16">
        <f t="shared" si="29"/>
        <v>0</v>
      </c>
    </row>
    <row r="25" spans="1:256" s="16" customFormat="1" x14ac:dyDescent="0.25">
      <c r="A25" s="14"/>
      <c r="B25" s="19"/>
      <c r="Q25" s="16">
        <f t="shared" si="0"/>
        <v>0</v>
      </c>
      <c r="R25" s="16">
        <f t="shared" si="1"/>
        <v>0</v>
      </c>
      <c r="S25" s="17"/>
      <c r="AH25" s="16">
        <f t="shared" si="2"/>
        <v>0</v>
      </c>
      <c r="AI25" s="16">
        <f t="shared" si="3"/>
        <v>0</v>
      </c>
      <c r="AJ25" s="18"/>
      <c r="AY25" s="16">
        <f t="shared" si="4"/>
        <v>0</v>
      </c>
      <c r="AZ25" s="16">
        <f t="shared" si="5"/>
        <v>0</v>
      </c>
      <c r="BA25" s="18"/>
      <c r="BP25" s="16">
        <f t="shared" si="6"/>
        <v>0</v>
      </c>
      <c r="BQ25" s="16">
        <f t="shared" si="7"/>
        <v>0</v>
      </c>
      <c r="BR25" s="18"/>
      <c r="CG25" s="16">
        <f t="shared" si="8"/>
        <v>0</v>
      </c>
      <c r="CH25" s="16">
        <f t="shared" si="9"/>
        <v>0</v>
      </c>
      <c r="CI25" s="18"/>
      <c r="CX25" s="16">
        <f t="shared" si="10"/>
        <v>0</v>
      </c>
      <c r="CY25" s="16">
        <f t="shared" si="11"/>
        <v>0</v>
      </c>
      <c r="CZ25" s="18"/>
      <c r="DO25" s="16">
        <f t="shared" si="12"/>
        <v>0</v>
      </c>
      <c r="DP25" s="16">
        <f t="shared" si="13"/>
        <v>0</v>
      </c>
      <c r="DQ25" s="18"/>
      <c r="EF25" s="16">
        <f t="shared" si="14"/>
        <v>0</v>
      </c>
      <c r="EG25" s="16">
        <f t="shared" si="15"/>
        <v>0</v>
      </c>
      <c r="EH25" s="18"/>
      <c r="EW25" s="16">
        <f t="shared" si="16"/>
        <v>0</v>
      </c>
      <c r="EX25" s="16">
        <f t="shared" si="17"/>
        <v>0</v>
      </c>
      <c r="EY25" s="18"/>
      <c r="FN25" s="16">
        <f t="shared" si="18"/>
        <v>0</v>
      </c>
      <c r="FO25" s="16">
        <f t="shared" si="19"/>
        <v>0</v>
      </c>
      <c r="FP25" s="18"/>
      <c r="GE25" s="16">
        <f t="shared" si="20"/>
        <v>0</v>
      </c>
      <c r="GF25" s="16">
        <f t="shared" si="21"/>
        <v>0</v>
      </c>
      <c r="GG25" s="18"/>
      <c r="GV25" s="16">
        <f t="shared" si="22"/>
        <v>0</v>
      </c>
      <c r="GW25" s="16">
        <f t="shared" si="23"/>
        <v>0</v>
      </c>
      <c r="GX25" s="18"/>
      <c r="HM25" s="16">
        <f t="shared" si="24"/>
        <v>0</v>
      </c>
      <c r="HN25" s="16">
        <f t="shared" si="25"/>
        <v>0</v>
      </c>
      <c r="HO25" s="18"/>
      <c r="ID25" s="16">
        <f t="shared" si="26"/>
        <v>0</v>
      </c>
      <c r="IE25" s="16">
        <f t="shared" si="27"/>
        <v>0</v>
      </c>
      <c r="IF25" s="18"/>
      <c r="IU25" s="16">
        <f t="shared" si="28"/>
        <v>0</v>
      </c>
      <c r="IV25" s="16">
        <f t="shared" si="29"/>
        <v>0</v>
      </c>
    </row>
    <row r="26" spans="1:256" s="20" customFormat="1" ht="13.8" thickBot="1" x14ac:dyDescent="0.3">
      <c r="A26" s="14"/>
      <c r="B26" s="19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>
        <f t="shared" si="0"/>
        <v>0</v>
      </c>
      <c r="R26" s="16">
        <f t="shared" si="1"/>
        <v>0</v>
      </c>
      <c r="S26" s="17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>
        <f t="shared" si="2"/>
        <v>0</v>
      </c>
      <c r="AI26" s="16">
        <f t="shared" si="3"/>
        <v>0</v>
      </c>
      <c r="AJ26" s="18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>
        <f t="shared" si="4"/>
        <v>0</v>
      </c>
      <c r="AZ26" s="16">
        <f t="shared" si="5"/>
        <v>0</v>
      </c>
      <c r="BA26" s="18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>
        <f t="shared" si="6"/>
        <v>0</v>
      </c>
      <c r="BQ26" s="16">
        <f t="shared" si="7"/>
        <v>0</v>
      </c>
      <c r="BR26" s="18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>
        <f t="shared" si="8"/>
        <v>0</v>
      </c>
      <c r="CH26" s="16">
        <f t="shared" si="9"/>
        <v>0</v>
      </c>
      <c r="CI26" s="18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>
        <f t="shared" si="10"/>
        <v>0</v>
      </c>
      <c r="CY26" s="16">
        <f t="shared" si="11"/>
        <v>0</v>
      </c>
      <c r="CZ26" s="18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>
        <f t="shared" si="12"/>
        <v>0</v>
      </c>
      <c r="DP26" s="16">
        <f t="shared" si="13"/>
        <v>0</v>
      </c>
      <c r="DQ26" s="18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>
        <f t="shared" si="14"/>
        <v>0</v>
      </c>
      <c r="EG26" s="16">
        <f t="shared" si="15"/>
        <v>0</v>
      </c>
      <c r="EH26" s="18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>
        <f t="shared" si="16"/>
        <v>0</v>
      </c>
      <c r="EX26" s="16">
        <f t="shared" si="17"/>
        <v>0</v>
      </c>
      <c r="EY26" s="18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>
        <f t="shared" si="18"/>
        <v>0</v>
      </c>
      <c r="FO26" s="16">
        <f t="shared" si="19"/>
        <v>0</v>
      </c>
      <c r="FP26" s="18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>
        <f t="shared" si="20"/>
        <v>0</v>
      </c>
      <c r="GF26" s="16">
        <f t="shared" si="21"/>
        <v>0</v>
      </c>
      <c r="GG26" s="18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>
        <f t="shared" si="22"/>
        <v>0</v>
      </c>
      <c r="GW26" s="16">
        <f t="shared" si="23"/>
        <v>0</v>
      </c>
      <c r="GX26" s="18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>
        <f t="shared" si="24"/>
        <v>0</v>
      </c>
      <c r="HN26" s="16">
        <f t="shared" si="25"/>
        <v>0</v>
      </c>
      <c r="HO26" s="18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>
        <f t="shared" si="26"/>
        <v>0</v>
      </c>
      <c r="IE26" s="16">
        <f t="shared" si="27"/>
        <v>0</v>
      </c>
      <c r="IF26" s="18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>
        <f t="shared" si="28"/>
        <v>0</v>
      </c>
      <c r="IV26" s="16">
        <f t="shared" si="29"/>
        <v>0</v>
      </c>
    </row>
    <row r="27" spans="1:256" s="22" customFormat="1" ht="13.8" thickBot="1" x14ac:dyDescent="0.3">
      <c r="A27" s="64" t="s">
        <v>48</v>
      </c>
      <c r="B27" s="64"/>
      <c r="C27" s="21">
        <f>SUM(C8:C26)</f>
        <v>25</v>
      </c>
      <c r="D27" s="21">
        <f t="shared" ref="D27:P27" si="30">SUM(D8:D26)</f>
        <v>10</v>
      </c>
      <c r="E27" s="21">
        <f t="shared" si="30"/>
        <v>9</v>
      </c>
      <c r="F27" s="21">
        <f t="shared" si="30"/>
        <v>2</v>
      </c>
      <c r="G27" s="21">
        <f t="shared" si="30"/>
        <v>1</v>
      </c>
      <c r="H27" s="21">
        <f t="shared" si="30"/>
        <v>0</v>
      </c>
      <c r="I27" s="21">
        <f t="shared" si="30"/>
        <v>4</v>
      </c>
      <c r="J27" s="21">
        <f t="shared" si="30"/>
        <v>4</v>
      </c>
      <c r="K27" s="21">
        <f t="shared" si="30"/>
        <v>5</v>
      </c>
      <c r="L27" s="21">
        <f t="shared" si="30"/>
        <v>9</v>
      </c>
      <c r="M27" s="21">
        <f t="shared" si="30"/>
        <v>0</v>
      </c>
      <c r="N27" s="21">
        <f t="shared" si="30"/>
        <v>0</v>
      </c>
      <c r="O27" s="21">
        <f t="shared" si="30"/>
        <v>0</v>
      </c>
      <c r="P27" s="21">
        <f t="shared" si="30"/>
        <v>0</v>
      </c>
      <c r="Q27" s="21">
        <f>SUM(Q8:Q26)</f>
        <v>13</v>
      </c>
      <c r="R27" s="21">
        <f>SUM(R8:R26)</f>
        <v>30</v>
      </c>
      <c r="T27" s="21">
        <f>SUM(T8:T26)</f>
        <v>0</v>
      </c>
      <c r="U27" s="21">
        <f t="shared" ref="U27:AG27" si="31">SUM(U8:U26)</f>
        <v>0</v>
      </c>
      <c r="V27" s="21">
        <f t="shared" si="31"/>
        <v>0</v>
      </c>
      <c r="W27" s="21">
        <f t="shared" si="31"/>
        <v>0</v>
      </c>
      <c r="X27" s="21">
        <f t="shared" si="31"/>
        <v>0</v>
      </c>
      <c r="Y27" s="21">
        <f t="shared" si="31"/>
        <v>0</v>
      </c>
      <c r="Z27" s="21">
        <f t="shared" si="31"/>
        <v>0</v>
      </c>
      <c r="AA27" s="21">
        <f t="shared" si="31"/>
        <v>0</v>
      </c>
      <c r="AB27" s="21">
        <f t="shared" si="31"/>
        <v>0</v>
      </c>
      <c r="AC27" s="21">
        <f t="shared" si="31"/>
        <v>0</v>
      </c>
      <c r="AD27" s="21">
        <f t="shared" si="31"/>
        <v>0</v>
      </c>
      <c r="AE27" s="21">
        <f t="shared" si="31"/>
        <v>0</v>
      </c>
      <c r="AF27" s="21">
        <f t="shared" si="31"/>
        <v>0</v>
      </c>
      <c r="AG27" s="21">
        <f t="shared" si="31"/>
        <v>0</v>
      </c>
      <c r="AH27" s="21">
        <f>SUM(AH8:AH26)</f>
        <v>0</v>
      </c>
      <c r="AI27" s="21">
        <f>SUM(AI8:AI26)</f>
        <v>0</v>
      </c>
      <c r="AK27" s="21">
        <f>SUM(AK8:AK26)</f>
        <v>0</v>
      </c>
      <c r="AL27" s="21">
        <f t="shared" ref="AL27:AX27" si="32">SUM(AL8:AL26)</f>
        <v>0</v>
      </c>
      <c r="AM27" s="21">
        <f t="shared" si="32"/>
        <v>0</v>
      </c>
      <c r="AN27" s="21">
        <f t="shared" si="32"/>
        <v>0</v>
      </c>
      <c r="AO27" s="21">
        <f t="shared" si="32"/>
        <v>0</v>
      </c>
      <c r="AP27" s="21">
        <f t="shared" si="32"/>
        <v>0</v>
      </c>
      <c r="AQ27" s="21">
        <f t="shared" si="32"/>
        <v>0</v>
      </c>
      <c r="AR27" s="21">
        <f t="shared" si="32"/>
        <v>0</v>
      </c>
      <c r="AS27" s="21">
        <f t="shared" si="32"/>
        <v>0</v>
      </c>
      <c r="AT27" s="21">
        <f t="shared" si="32"/>
        <v>0</v>
      </c>
      <c r="AU27" s="21">
        <f t="shared" si="32"/>
        <v>0</v>
      </c>
      <c r="AV27" s="21">
        <f t="shared" si="32"/>
        <v>0</v>
      </c>
      <c r="AW27" s="21">
        <f t="shared" si="32"/>
        <v>0</v>
      </c>
      <c r="AX27" s="21">
        <f t="shared" si="32"/>
        <v>0</v>
      </c>
      <c r="AY27" s="21">
        <f>SUM(AY8:AY26)</f>
        <v>0</v>
      </c>
      <c r="AZ27" s="21">
        <f>SUM(AZ8:AZ26)</f>
        <v>0</v>
      </c>
      <c r="BB27" s="21">
        <f>SUM(BB8:BB26)</f>
        <v>0</v>
      </c>
      <c r="BC27" s="21">
        <f t="shared" ref="BC27:BO27" si="33">SUM(BC8:BC26)</f>
        <v>0</v>
      </c>
      <c r="BD27" s="21">
        <f t="shared" si="33"/>
        <v>0</v>
      </c>
      <c r="BE27" s="21">
        <f t="shared" si="33"/>
        <v>0</v>
      </c>
      <c r="BF27" s="21">
        <f t="shared" si="33"/>
        <v>0</v>
      </c>
      <c r="BG27" s="21">
        <f t="shared" si="33"/>
        <v>0</v>
      </c>
      <c r="BH27" s="21">
        <f t="shared" si="33"/>
        <v>0</v>
      </c>
      <c r="BI27" s="21">
        <f t="shared" si="33"/>
        <v>0</v>
      </c>
      <c r="BJ27" s="21">
        <f t="shared" si="33"/>
        <v>0</v>
      </c>
      <c r="BK27" s="21">
        <f t="shared" si="33"/>
        <v>0</v>
      </c>
      <c r="BL27" s="21">
        <f t="shared" si="33"/>
        <v>0</v>
      </c>
      <c r="BM27" s="21">
        <f t="shared" si="33"/>
        <v>0</v>
      </c>
      <c r="BN27" s="21">
        <f t="shared" si="33"/>
        <v>0</v>
      </c>
      <c r="BO27" s="21">
        <f t="shared" si="33"/>
        <v>0</v>
      </c>
      <c r="BP27" s="21">
        <f>SUM(BP8:BP26)</f>
        <v>0</v>
      </c>
      <c r="BQ27" s="21">
        <f>SUM(BQ8:BQ26)</f>
        <v>0</v>
      </c>
      <c r="BS27" s="21">
        <f>SUM(BS8:BS26)</f>
        <v>0</v>
      </c>
      <c r="BT27" s="21">
        <f t="shared" ref="BT27:CF27" si="34">SUM(BT8:BT26)</f>
        <v>0</v>
      </c>
      <c r="BU27" s="21">
        <f t="shared" si="34"/>
        <v>0</v>
      </c>
      <c r="BV27" s="21">
        <f t="shared" si="34"/>
        <v>0</v>
      </c>
      <c r="BW27" s="21">
        <f t="shared" si="34"/>
        <v>0</v>
      </c>
      <c r="BX27" s="21">
        <f t="shared" si="34"/>
        <v>0</v>
      </c>
      <c r="BY27" s="21">
        <f t="shared" si="34"/>
        <v>0</v>
      </c>
      <c r="BZ27" s="21">
        <f t="shared" si="34"/>
        <v>0</v>
      </c>
      <c r="CA27" s="21">
        <f t="shared" si="34"/>
        <v>0</v>
      </c>
      <c r="CB27" s="21">
        <f t="shared" si="34"/>
        <v>0</v>
      </c>
      <c r="CC27" s="21">
        <f t="shared" si="34"/>
        <v>0</v>
      </c>
      <c r="CD27" s="21">
        <f t="shared" si="34"/>
        <v>0</v>
      </c>
      <c r="CE27" s="21">
        <f t="shared" si="34"/>
        <v>0</v>
      </c>
      <c r="CF27" s="21">
        <f t="shared" si="34"/>
        <v>0</v>
      </c>
      <c r="CG27" s="21">
        <f>SUM(CG8:CG26)</f>
        <v>0</v>
      </c>
      <c r="CH27" s="21">
        <f>SUM(CH8:CH26)</f>
        <v>0</v>
      </c>
      <c r="CJ27" s="21">
        <f>SUM(CJ8:CJ26)</f>
        <v>0</v>
      </c>
      <c r="CK27" s="21">
        <f t="shared" ref="CK27:CW27" si="35">SUM(CK8:CK26)</f>
        <v>0</v>
      </c>
      <c r="CL27" s="21">
        <f t="shared" si="35"/>
        <v>0</v>
      </c>
      <c r="CM27" s="21">
        <f t="shared" si="35"/>
        <v>0</v>
      </c>
      <c r="CN27" s="21">
        <f t="shared" si="35"/>
        <v>0</v>
      </c>
      <c r="CO27" s="21">
        <f t="shared" si="35"/>
        <v>0</v>
      </c>
      <c r="CP27" s="21">
        <f t="shared" si="35"/>
        <v>0</v>
      </c>
      <c r="CQ27" s="21">
        <f t="shared" si="35"/>
        <v>0</v>
      </c>
      <c r="CR27" s="21">
        <f t="shared" si="35"/>
        <v>0</v>
      </c>
      <c r="CS27" s="21">
        <f t="shared" si="35"/>
        <v>0</v>
      </c>
      <c r="CT27" s="21">
        <f t="shared" si="35"/>
        <v>0</v>
      </c>
      <c r="CU27" s="21">
        <f t="shared" si="35"/>
        <v>0</v>
      </c>
      <c r="CV27" s="21">
        <f t="shared" si="35"/>
        <v>0</v>
      </c>
      <c r="CW27" s="21">
        <f t="shared" si="35"/>
        <v>0</v>
      </c>
      <c r="CX27" s="21">
        <f>SUM(CX8:CX26)</f>
        <v>0</v>
      </c>
      <c r="CY27" s="21">
        <f>SUM(CY8:CY26)</f>
        <v>0</v>
      </c>
      <c r="DA27" s="21">
        <f>SUM(DA8:DA26)</f>
        <v>0</v>
      </c>
      <c r="DB27" s="21">
        <f t="shared" ref="DB27:DN27" si="36">SUM(DB8:DB26)</f>
        <v>0</v>
      </c>
      <c r="DC27" s="21">
        <f t="shared" si="36"/>
        <v>0</v>
      </c>
      <c r="DD27" s="21">
        <f t="shared" si="36"/>
        <v>0</v>
      </c>
      <c r="DE27" s="21">
        <f t="shared" si="36"/>
        <v>0</v>
      </c>
      <c r="DF27" s="21">
        <f t="shared" si="36"/>
        <v>0</v>
      </c>
      <c r="DG27" s="21">
        <f t="shared" si="36"/>
        <v>0</v>
      </c>
      <c r="DH27" s="21">
        <f t="shared" si="36"/>
        <v>0</v>
      </c>
      <c r="DI27" s="21">
        <f t="shared" si="36"/>
        <v>0</v>
      </c>
      <c r="DJ27" s="21">
        <f t="shared" si="36"/>
        <v>0</v>
      </c>
      <c r="DK27" s="21">
        <f t="shared" si="36"/>
        <v>0</v>
      </c>
      <c r="DL27" s="21">
        <f t="shared" si="36"/>
        <v>0</v>
      </c>
      <c r="DM27" s="21">
        <f t="shared" si="36"/>
        <v>0</v>
      </c>
      <c r="DN27" s="21">
        <f t="shared" si="36"/>
        <v>0</v>
      </c>
      <c r="DO27" s="21">
        <f>SUM(DO8:DO26)</f>
        <v>0</v>
      </c>
      <c r="DP27" s="21">
        <f>SUM(DP8:DP26)</f>
        <v>0</v>
      </c>
      <c r="DR27" s="21">
        <f>SUM(DR8:DR26)</f>
        <v>0</v>
      </c>
      <c r="DS27" s="21">
        <f t="shared" ref="DS27:EE27" si="37">SUM(DS8:DS26)</f>
        <v>0</v>
      </c>
      <c r="DT27" s="21">
        <f t="shared" si="37"/>
        <v>0</v>
      </c>
      <c r="DU27" s="21">
        <f t="shared" si="37"/>
        <v>0</v>
      </c>
      <c r="DV27" s="21">
        <f t="shared" si="37"/>
        <v>0</v>
      </c>
      <c r="DW27" s="21">
        <f t="shared" si="37"/>
        <v>0</v>
      </c>
      <c r="DX27" s="21">
        <f t="shared" si="37"/>
        <v>0</v>
      </c>
      <c r="DY27" s="21">
        <f t="shared" si="37"/>
        <v>0</v>
      </c>
      <c r="DZ27" s="21">
        <f t="shared" si="37"/>
        <v>0</v>
      </c>
      <c r="EA27" s="21">
        <f t="shared" si="37"/>
        <v>0</v>
      </c>
      <c r="EB27" s="21">
        <f t="shared" si="37"/>
        <v>0</v>
      </c>
      <c r="EC27" s="21">
        <f t="shared" si="37"/>
        <v>0</v>
      </c>
      <c r="ED27" s="21">
        <f t="shared" si="37"/>
        <v>0</v>
      </c>
      <c r="EE27" s="21">
        <f t="shared" si="37"/>
        <v>0</v>
      </c>
      <c r="EF27" s="21">
        <f>SUM(EF8:EF26)</f>
        <v>0</v>
      </c>
      <c r="EG27" s="21">
        <f>SUM(EG8:EG26)</f>
        <v>0</v>
      </c>
      <c r="EI27" s="21">
        <f>SUM(EI8:EI26)</f>
        <v>0</v>
      </c>
      <c r="EJ27" s="21">
        <f t="shared" ref="EJ27:EV27" si="38">SUM(EJ8:EJ26)</f>
        <v>0</v>
      </c>
      <c r="EK27" s="21">
        <f t="shared" si="38"/>
        <v>0</v>
      </c>
      <c r="EL27" s="21">
        <f t="shared" si="38"/>
        <v>0</v>
      </c>
      <c r="EM27" s="21">
        <f t="shared" si="38"/>
        <v>0</v>
      </c>
      <c r="EN27" s="21">
        <f t="shared" si="38"/>
        <v>0</v>
      </c>
      <c r="EO27" s="21">
        <f t="shared" si="38"/>
        <v>0</v>
      </c>
      <c r="EP27" s="21">
        <f t="shared" si="38"/>
        <v>0</v>
      </c>
      <c r="EQ27" s="21">
        <f t="shared" si="38"/>
        <v>0</v>
      </c>
      <c r="ER27" s="21">
        <f t="shared" si="38"/>
        <v>0</v>
      </c>
      <c r="ES27" s="21">
        <f t="shared" si="38"/>
        <v>0</v>
      </c>
      <c r="ET27" s="21">
        <f t="shared" si="38"/>
        <v>0</v>
      </c>
      <c r="EU27" s="21">
        <f t="shared" si="38"/>
        <v>0</v>
      </c>
      <c r="EV27" s="21">
        <f t="shared" si="38"/>
        <v>0</v>
      </c>
      <c r="EW27" s="21">
        <f>SUM(EW8:EW26)</f>
        <v>0</v>
      </c>
      <c r="EX27" s="21">
        <f>SUM(EX8:EX26)</f>
        <v>0</v>
      </c>
      <c r="EZ27" s="21">
        <f>SUM(EZ8:EZ26)</f>
        <v>0</v>
      </c>
      <c r="FA27" s="21">
        <f t="shared" ref="FA27:FM27" si="39">SUM(FA8:FA26)</f>
        <v>0</v>
      </c>
      <c r="FB27" s="21">
        <f t="shared" si="39"/>
        <v>0</v>
      </c>
      <c r="FC27" s="21">
        <f t="shared" si="39"/>
        <v>0</v>
      </c>
      <c r="FD27" s="21">
        <f t="shared" si="39"/>
        <v>0</v>
      </c>
      <c r="FE27" s="21">
        <f t="shared" si="39"/>
        <v>0</v>
      </c>
      <c r="FF27" s="21">
        <f t="shared" si="39"/>
        <v>0</v>
      </c>
      <c r="FG27" s="21">
        <f t="shared" si="39"/>
        <v>0</v>
      </c>
      <c r="FH27" s="21">
        <f t="shared" si="39"/>
        <v>0</v>
      </c>
      <c r="FI27" s="21">
        <f t="shared" si="39"/>
        <v>0</v>
      </c>
      <c r="FJ27" s="21">
        <f t="shared" si="39"/>
        <v>0</v>
      </c>
      <c r="FK27" s="21">
        <f t="shared" si="39"/>
        <v>0</v>
      </c>
      <c r="FL27" s="21">
        <f t="shared" si="39"/>
        <v>0</v>
      </c>
      <c r="FM27" s="21">
        <f t="shared" si="39"/>
        <v>0</v>
      </c>
      <c r="FN27" s="21">
        <f>SUM(FN8:FN26)</f>
        <v>0</v>
      </c>
      <c r="FO27" s="21">
        <f>SUM(FO8:FO26)</f>
        <v>0</v>
      </c>
      <c r="FQ27" s="21">
        <f>SUM(FQ8:FQ26)</f>
        <v>0</v>
      </c>
      <c r="FR27" s="21">
        <f t="shared" ref="FR27:GD27" si="40">SUM(FR8:FR26)</f>
        <v>0</v>
      </c>
      <c r="FS27" s="21">
        <f t="shared" si="40"/>
        <v>0</v>
      </c>
      <c r="FT27" s="21">
        <f t="shared" si="40"/>
        <v>0</v>
      </c>
      <c r="FU27" s="21">
        <f t="shared" si="40"/>
        <v>0</v>
      </c>
      <c r="FV27" s="21">
        <f t="shared" si="40"/>
        <v>0</v>
      </c>
      <c r="FW27" s="21">
        <f t="shared" si="40"/>
        <v>0</v>
      </c>
      <c r="FX27" s="21">
        <f t="shared" si="40"/>
        <v>0</v>
      </c>
      <c r="FY27" s="21">
        <f t="shared" si="40"/>
        <v>0</v>
      </c>
      <c r="FZ27" s="21">
        <f t="shared" si="40"/>
        <v>0</v>
      </c>
      <c r="GA27" s="21">
        <f t="shared" si="40"/>
        <v>0</v>
      </c>
      <c r="GB27" s="21">
        <f t="shared" si="40"/>
        <v>0</v>
      </c>
      <c r="GC27" s="21">
        <f t="shared" si="40"/>
        <v>0</v>
      </c>
      <c r="GD27" s="21">
        <f t="shared" si="40"/>
        <v>0</v>
      </c>
      <c r="GE27" s="21">
        <f>SUM(GE8:GE26)</f>
        <v>0</v>
      </c>
      <c r="GF27" s="21">
        <f>SUM(GF8:GF26)</f>
        <v>0</v>
      </c>
      <c r="GH27" s="21">
        <f>SUM(GH8:GH26)</f>
        <v>0</v>
      </c>
      <c r="GI27" s="21">
        <f t="shared" ref="GI27:GU27" si="41">SUM(GI8:GI26)</f>
        <v>0</v>
      </c>
      <c r="GJ27" s="21">
        <f t="shared" si="41"/>
        <v>0</v>
      </c>
      <c r="GK27" s="21">
        <f t="shared" si="41"/>
        <v>0</v>
      </c>
      <c r="GL27" s="21">
        <f t="shared" si="41"/>
        <v>0</v>
      </c>
      <c r="GM27" s="21">
        <f t="shared" si="41"/>
        <v>0</v>
      </c>
      <c r="GN27" s="21">
        <f t="shared" si="41"/>
        <v>0</v>
      </c>
      <c r="GO27" s="21">
        <f t="shared" si="41"/>
        <v>0</v>
      </c>
      <c r="GP27" s="21">
        <f t="shared" si="41"/>
        <v>0</v>
      </c>
      <c r="GQ27" s="21">
        <f t="shared" si="41"/>
        <v>0</v>
      </c>
      <c r="GR27" s="21">
        <f t="shared" si="41"/>
        <v>0</v>
      </c>
      <c r="GS27" s="21">
        <f t="shared" si="41"/>
        <v>0</v>
      </c>
      <c r="GT27" s="21">
        <f t="shared" si="41"/>
        <v>0</v>
      </c>
      <c r="GU27" s="21">
        <f t="shared" si="41"/>
        <v>0</v>
      </c>
      <c r="GV27" s="21">
        <f>SUM(GV8:GV26)</f>
        <v>0</v>
      </c>
      <c r="GW27" s="21">
        <f>SUM(GW8:GW26)</f>
        <v>0</v>
      </c>
      <c r="GY27" s="21">
        <f>SUM(GY8:GY26)</f>
        <v>0</v>
      </c>
      <c r="GZ27" s="21">
        <f t="shared" ref="GZ27:HL27" si="42">SUM(GZ8:GZ26)</f>
        <v>0</v>
      </c>
      <c r="HA27" s="21">
        <f t="shared" si="42"/>
        <v>0</v>
      </c>
      <c r="HB27" s="21">
        <f t="shared" si="42"/>
        <v>0</v>
      </c>
      <c r="HC27" s="21">
        <f t="shared" si="42"/>
        <v>0</v>
      </c>
      <c r="HD27" s="21">
        <f t="shared" si="42"/>
        <v>0</v>
      </c>
      <c r="HE27" s="21">
        <f t="shared" si="42"/>
        <v>0</v>
      </c>
      <c r="HF27" s="21">
        <f t="shared" si="42"/>
        <v>0</v>
      </c>
      <c r="HG27" s="21">
        <f t="shared" si="42"/>
        <v>0</v>
      </c>
      <c r="HH27" s="21">
        <f t="shared" si="42"/>
        <v>0</v>
      </c>
      <c r="HI27" s="21">
        <f t="shared" si="42"/>
        <v>0</v>
      </c>
      <c r="HJ27" s="21">
        <f t="shared" si="42"/>
        <v>0</v>
      </c>
      <c r="HK27" s="21">
        <f t="shared" si="42"/>
        <v>0</v>
      </c>
      <c r="HL27" s="21">
        <f t="shared" si="42"/>
        <v>0</v>
      </c>
      <c r="HM27" s="21">
        <f>SUM(HM8:HM26)</f>
        <v>0</v>
      </c>
      <c r="HN27" s="21">
        <f>SUM(HN8:HN26)</f>
        <v>0</v>
      </c>
      <c r="HP27" s="21">
        <f>SUM(HP8:HP26)</f>
        <v>0</v>
      </c>
      <c r="HQ27" s="21">
        <f t="shared" ref="HQ27:IC27" si="43">SUM(HQ8:HQ26)</f>
        <v>0</v>
      </c>
      <c r="HR27" s="21">
        <f t="shared" si="43"/>
        <v>0</v>
      </c>
      <c r="HS27" s="21">
        <f t="shared" si="43"/>
        <v>0</v>
      </c>
      <c r="HT27" s="21">
        <f t="shared" si="43"/>
        <v>0</v>
      </c>
      <c r="HU27" s="21">
        <f t="shared" si="43"/>
        <v>0</v>
      </c>
      <c r="HV27" s="21">
        <f t="shared" si="43"/>
        <v>0</v>
      </c>
      <c r="HW27" s="21">
        <f t="shared" si="43"/>
        <v>0</v>
      </c>
      <c r="HX27" s="21">
        <f t="shared" si="43"/>
        <v>0</v>
      </c>
      <c r="HY27" s="21">
        <f t="shared" si="43"/>
        <v>0</v>
      </c>
      <c r="HZ27" s="21">
        <f t="shared" si="43"/>
        <v>0</v>
      </c>
      <c r="IA27" s="21">
        <f t="shared" si="43"/>
        <v>0</v>
      </c>
      <c r="IB27" s="21">
        <f t="shared" si="43"/>
        <v>0</v>
      </c>
      <c r="IC27" s="21">
        <f t="shared" si="43"/>
        <v>0</v>
      </c>
      <c r="ID27" s="21">
        <f>SUM(ID8:ID26)</f>
        <v>0</v>
      </c>
      <c r="IE27" s="21">
        <f>SUM(IE8:IE26)</f>
        <v>0</v>
      </c>
      <c r="IG27" s="21">
        <f>SUM(IG8:IG26)</f>
        <v>0</v>
      </c>
      <c r="IH27" s="21">
        <f t="shared" ref="IH27:IT27" si="44">SUM(IH8:IH26)</f>
        <v>0</v>
      </c>
      <c r="II27" s="21">
        <f t="shared" si="44"/>
        <v>0</v>
      </c>
      <c r="IJ27" s="21">
        <f t="shared" si="44"/>
        <v>0</v>
      </c>
      <c r="IK27" s="21">
        <f t="shared" si="44"/>
        <v>0</v>
      </c>
      <c r="IL27" s="21">
        <f t="shared" si="44"/>
        <v>0</v>
      </c>
      <c r="IM27" s="21">
        <f t="shared" si="44"/>
        <v>0</v>
      </c>
      <c r="IN27" s="21">
        <f t="shared" si="44"/>
        <v>0</v>
      </c>
      <c r="IO27" s="21">
        <f t="shared" si="44"/>
        <v>0</v>
      </c>
      <c r="IP27" s="21">
        <f t="shared" si="44"/>
        <v>0</v>
      </c>
      <c r="IQ27" s="21">
        <f t="shared" si="44"/>
        <v>0</v>
      </c>
      <c r="IR27" s="21">
        <f t="shared" si="44"/>
        <v>0</v>
      </c>
      <c r="IS27" s="21">
        <f t="shared" si="44"/>
        <v>0</v>
      </c>
      <c r="IT27" s="21">
        <f t="shared" si="44"/>
        <v>0</v>
      </c>
      <c r="IU27" s="21">
        <f>SUM(IU8:IU26)</f>
        <v>0</v>
      </c>
      <c r="IV27" s="21">
        <f>SUM(IV8:IV26)</f>
        <v>0</v>
      </c>
    </row>
    <row r="28" spans="1:256" s="23" customFormat="1" ht="10.199999999999999" x14ac:dyDescent="0.2">
      <c r="S28" s="24"/>
      <c r="AJ28" s="24"/>
      <c r="BA28" s="24"/>
      <c r="BR28" s="24"/>
      <c r="CI28" s="24"/>
      <c r="CZ28" s="24"/>
      <c r="DQ28" s="24"/>
      <c r="EH28" s="24"/>
      <c r="EY28" s="24"/>
      <c r="FP28" s="24"/>
      <c r="GG28" s="24"/>
      <c r="GX28" s="24"/>
      <c r="HO28" s="24"/>
      <c r="IF28" s="24"/>
    </row>
    <row r="29" spans="1:256" s="23" customFormat="1" ht="10.199999999999999" x14ac:dyDescent="0.2">
      <c r="S29" s="24"/>
      <c r="AJ29" s="24"/>
      <c r="BA29" s="24"/>
      <c r="BR29" s="24"/>
      <c r="CI29" s="24"/>
      <c r="CZ29" s="24"/>
      <c r="DQ29" s="24"/>
      <c r="EH29" s="24"/>
      <c r="EY29" s="24"/>
      <c r="FP29" s="24"/>
      <c r="GG29" s="24"/>
      <c r="GX29" s="24"/>
      <c r="HO29" s="24"/>
      <c r="IF29" s="24"/>
    </row>
    <row r="30" spans="1:256" s="23" customFormat="1" x14ac:dyDescent="0.25">
      <c r="A30" s="65" t="s">
        <v>49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AJ30" s="24"/>
      <c r="BA30" s="24"/>
      <c r="BR30" s="24"/>
      <c r="CI30" s="24"/>
      <c r="CZ30" s="24"/>
      <c r="DQ30" s="24"/>
      <c r="EH30" s="24"/>
      <c r="EY30" s="24"/>
      <c r="FP30" s="24"/>
      <c r="GG30" s="24"/>
      <c r="GX30" s="24"/>
      <c r="HO30" s="24"/>
      <c r="IF30" s="24"/>
    </row>
    <row r="31" spans="1:256" s="23" customFormat="1" x14ac:dyDescent="0.25">
      <c r="A31" s="26" t="s">
        <v>19</v>
      </c>
      <c r="B31" s="26" t="s">
        <v>18</v>
      </c>
      <c r="C31" s="13" t="s">
        <v>20</v>
      </c>
      <c r="D31" s="11" t="s">
        <v>21</v>
      </c>
      <c r="E31" s="11" t="s">
        <v>22</v>
      </c>
      <c r="F31" s="11" t="s">
        <v>23</v>
      </c>
      <c r="G31" s="11" t="s">
        <v>24</v>
      </c>
      <c r="H31" s="11" t="s">
        <v>25</v>
      </c>
      <c r="I31" s="11" t="s">
        <v>26</v>
      </c>
      <c r="J31" s="11" t="s">
        <v>27</v>
      </c>
      <c r="K31" s="11" t="s">
        <v>28</v>
      </c>
      <c r="L31" s="11" t="s">
        <v>29</v>
      </c>
      <c r="M31" s="11" t="s">
        <v>30</v>
      </c>
      <c r="N31" s="11" t="s">
        <v>31</v>
      </c>
      <c r="O31" s="11" t="s">
        <v>32</v>
      </c>
      <c r="P31" s="12" t="s">
        <v>33</v>
      </c>
      <c r="Q31" s="11" t="s">
        <v>34</v>
      </c>
      <c r="R31" s="27" t="s">
        <v>35</v>
      </c>
      <c r="S31" s="24"/>
      <c r="T31" s="28" t="s">
        <v>50</v>
      </c>
      <c r="U31" s="29" t="s">
        <v>51</v>
      </c>
      <c r="AJ31" s="24"/>
      <c r="BA31" s="24"/>
      <c r="BR31" s="24"/>
      <c r="CI31" s="24"/>
      <c r="CZ31" s="24"/>
      <c r="DQ31" s="24"/>
      <c r="EH31" s="24"/>
      <c r="EY31" s="24"/>
      <c r="FP31" s="24"/>
      <c r="GG31" s="24"/>
      <c r="GX31" s="24"/>
      <c r="HO31" s="24"/>
      <c r="IF31" s="24"/>
    </row>
    <row r="32" spans="1:256" s="23" customFormat="1" x14ac:dyDescent="0.25">
      <c r="A32" s="30" t="str">
        <f t="shared" ref="A32:B50" si="45">IF(A8="","",A8)</f>
        <v>PEDRO GUERRA EQUIPO3</v>
      </c>
      <c r="B32" s="30">
        <f t="shared" si="45"/>
        <v>2</v>
      </c>
      <c r="C32" s="16">
        <f t="shared" ref="C32:C50" si="46">+C8+T8+AK8+BB8+BS8+CJ8+DA8+DR8+EI8+EZ8+FQ8+GH8+GY8+HP8+IG8</f>
        <v>4</v>
      </c>
      <c r="D32" s="16">
        <f t="shared" ref="D32:D50" si="47">+D8+U8+AL8+BC8+BT8+CK8+DB8+DS8+EJ8+FA8+FR8+GI8+GZ8+HQ8+IH8</f>
        <v>2</v>
      </c>
      <c r="E32" s="16">
        <f t="shared" ref="E32:E50" si="48">+E8+V8+AM8+BD8+BU8+CL8+DC8+DT8+EK8+FB8+FS8+GJ8+HA8+HR8+II8</f>
        <v>1</v>
      </c>
      <c r="F32" s="16">
        <f t="shared" ref="F32:F50" si="49">+F8+W8+AN8+BE8+BV8+CM8+DD8+DU8+EL8+FC8+FT8+GK8+HB8+HS8+IJ8</f>
        <v>0</v>
      </c>
      <c r="G32" s="16">
        <f t="shared" ref="G32:G50" si="50">+G8+X8+AO8+BF8+BW8+CN8+DE8+DV8+EM8+FD8+FU8+GL8+HC8+HT8+IK8</f>
        <v>0</v>
      </c>
      <c r="H32" s="16">
        <f t="shared" ref="H32:H50" si="51">+H8+Y8+AP8+BG8+BX8+CO8+DF8+DW8+EN8+FE8+FV8+GM8+HD8+HU8+IL8</f>
        <v>0</v>
      </c>
      <c r="I32" s="16">
        <f t="shared" ref="I32:I50" si="52">+I8+Z8+AQ8+BH8+BY8+CP8+DG8+DX8+EO8+FF8+FW8+GN8+HE8+HV8+IM8</f>
        <v>0</v>
      </c>
      <c r="J32" s="16">
        <f t="shared" ref="J32:J50" si="53">+J8+AA8+AR8+BI8+BZ8+CQ8+DH8+DY8+EP8+FG8+FX8+GO8+HF8+HW8+IN8</f>
        <v>0</v>
      </c>
      <c r="K32" s="16">
        <f t="shared" ref="K32:K50" si="54">+K8+AB8+AS8+BJ8+CA8+CR8+DI8+DZ8+EQ8+FH8+FY8+GP8+HG8+HX8+IO8</f>
        <v>0</v>
      </c>
      <c r="L32" s="16">
        <f t="shared" ref="L32:L50" si="55">+L8+AC8+AT8+BK8+CB8+CS8+DJ8+EA8+ER8+FI8+FZ8+GQ8+HH8+HY8+IP8</f>
        <v>1</v>
      </c>
      <c r="M32" s="16">
        <f t="shared" ref="M32:M50" si="56">+M8+AD8+AU8+BL8+CC8+CT8+DK8+EB8+ES8+FJ8+GA8+GR8+HI8+HZ8+IQ8</f>
        <v>0</v>
      </c>
      <c r="N32" s="16">
        <f t="shared" ref="N32:N50" si="57">+N8+AE8+AV8+BM8+CD8+CU8+DL8+EC8+ET8+FK8+GB8+GS8+HJ8+IA8+IR8</f>
        <v>0</v>
      </c>
      <c r="O32" s="16">
        <f t="shared" ref="O32:O50" si="58">+O8+AF8+AW8+BN8+CE8+CV8+DM8+ED8+EU8+FL8+GC8+GT8+HK8+IB8+IS8</f>
        <v>0</v>
      </c>
      <c r="P32" s="16">
        <f t="shared" ref="P32:P50" si="59">+P8+AG8+AX8+BO8+CF8+CW8+DN8+EE8+EV8+FM8+GD8+GU8+HL8+IC8+IT8</f>
        <v>0</v>
      </c>
      <c r="Q32" s="16">
        <f t="shared" ref="Q32:Q50" si="60">+Q8+AH8+AY8+BP8+CG8+CX8+DO8+EF8+EW8+FN8+GE8+GV8+HM8+ID8+IU8</f>
        <v>1</v>
      </c>
      <c r="R32" s="16">
        <f t="shared" ref="R32:R50" si="61">+R8+AI8+AZ8+BQ8+CH8+CY8+DP8+EG8+EX8+FO8+GF8+GW8+HN8+IE8+IV8</f>
        <v>4</v>
      </c>
      <c r="S32" s="24"/>
      <c r="T32" s="31">
        <f t="shared" ref="T32:T51" si="62">IF(C32=0,0,E32*1000/C32)</f>
        <v>250</v>
      </c>
      <c r="U32" s="31">
        <f t="shared" ref="U32:U51" si="63">IF(C32=0,0,Q32*1000/C32)</f>
        <v>250</v>
      </c>
      <c r="AJ32" s="24"/>
      <c r="BA32" s="24"/>
      <c r="BR32" s="24"/>
      <c r="CI32" s="24"/>
      <c r="CZ32" s="24"/>
      <c r="DQ32" s="24"/>
      <c r="EH32" s="24"/>
      <c r="EY32" s="24"/>
      <c r="FP32" s="24"/>
      <c r="GG32" s="24"/>
      <c r="GX32" s="24"/>
      <c r="HO32" s="24"/>
      <c r="IF32" s="24"/>
    </row>
    <row r="33" spans="1:240" s="23" customFormat="1" x14ac:dyDescent="0.25">
      <c r="A33" s="30" t="str">
        <f t="shared" si="45"/>
        <v>JOSEPH MENDOZA</v>
      </c>
      <c r="B33" s="30">
        <f t="shared" si="45"/>
        <v>3</v>
      </c>
      <c r="C33" s="16">
        <f t="shared" si="46"/>
        <v>3</v>
      </c>
      <c r="D33" s="16">
        <f t="shared" si="47"/>
        <v>1</v>
      </c>
      <c r="E33" s="16">
        <f t="shared" si="48"/>
        <v>1</v>
      </c>
      <c r="F33" s="16">
        <f t="shared" si="49"/>
        <v>1</v>
      </c>
      <c r="G33" s="16">
        <f t="shared" si="50"/>
        <v>0</v>
      </c>
      <c r="H33" s="16">
        <f t="shared" si="51"/>
        <v>0</v>
      </c>
      <c r="I33" s="16">
        <f t="shared" si="52"/>
        <v>0</v>
      </c>
      <c r="J33" s="16">
        <f t="shared" si="53"/>
        <v>0</v>
      </c>
      <c r="K33" s="16">
        <f t="shared" si="54"/>
        <v>1</v>
      </c>
      <c r="L33" s="16">
        <f t="shared" si="55"/>
        <v>0</v>
      </c>
      <c r="M33" s="16">
        <f t="shared" si="56"/>
        <v>0</v>
      </c>
      <c r="N33" s="16">
        <f t="shared" si="57"/>
        <v>0</v>
      </c>
      <c r="O33" s="16">
        <f t="shared" si="58"/>
        <v>0</v>
      </c>
      <c r="P33" s="16">
        <f t="shared" si="59"/>
        <v>0</v>
      </c>
      <c r="Q33" s="16">
        <f t="shared" si="60"/>
        <v>2</v>
      </c>
      <c r="R33" s="16">
        <f t="shared" si="61"/>
        <v>4</v>
      </c>
      <c r="S33" s="24"/>
      <c r="T33" s="31">
        <f t="shared" si="62"/>
        <v>333.33333333333331</v>
      </c>
      <c r="U33" s="31">
        <f t="shared" si="63"/>
        <v>666.66666666666663</v>
      </c>
      <c r="AJ33" s="24"/>
      <c r="BA33" s="24"/>
      <c r="BR33" s="24"/>
      <c r="CI33" s="24"/>
      <c r="CZ33" s="24"/>
      <c r="DQ33" s="24"/>
      <c r="EH33" s="24"/>
      <c r="EY33" s="24"/>
      <c r="FP33" s="24"/>
      <c r="GG33" s="24"/>
      <c r="GX33" s="24"/>
      <c r="HO33" s="24"/>
      <c r="IF33" s="24"/>
    </row>
    <row r="34" spans="1:240" s="23" customFormat="1" x14ac:dyDescent="0.25">
      <c r="A34" s="30" t="str">
        <f t="shared" si="45"/>
        <v>ABRAHAN RODRIGUZ</v>
      </c>
      <c r="B34" s="30" t="str">
        <f t="shared" si="45"/>
        <v/>
      </c>
      <c r="C34" s="16">
        <f t="shared" si="46"/>
        <v>4</v>
      </c>
      <c r="D34" s="16">
        <f t="shared" si="47"/>
        <v>0</v>
      </c>
      <c r="E34" s="16">
        <f t="shared" si="48"/>
        <v>1</v>
      </c>
      <c r="F34" s="16">
        <f t="shared" si="49"/>
        <v>0</v>
      </c>
      <c r="G34" s="16">
        <f t="shared" si="50"/>
        <v>0</v>
      </c>
      <c r="H34" s="16">
        <f t="shared" si="51"/>
        <v>0</v>
      </c>
      <c r="I34" s="16">
        <f t="shared" si="52"/>
        <v>0</v>
      </c>
      <c r="J34" s="16">
        <f t="shared" si="53"/>
        <v>0</v>
      </c>
      <c r="K34" s="16">
        <f t="shared" si="54"/>
        <v>0</v>
      </c>
      <c r="L34" s="16">
        <f t="shared" si="55"/>
        <v>0</v>
      </c>
      <c r="M34" s="16">
        <f t="shared" si="56"/>
        <v>0</v>
      </c>
      <c r="N34" s="16">
        <f t="shared" si="57"/>
        <v>0</v>
      </c>
      <c r="O34" s="16">
        <f t="shared" si="58"/>
        <v>0</v>
      </c>
      <c r="P34" s="16">
        <f t="shared" si="59"/>
        <v>0</v>
      </c>
      <c r="Q34" s="16">
        <f t="shared" si="60"/>
        <v>1</v>
      </c>
      <c r="R34" s="16">
        <f t="shared" si="61"/>
        <v>4</v>
      </c>
      <c r="S34" s="24"/>
      <c r="T34" s="31">
        <f t="shared" si="62"/>
        <v>250</v>
      </c>
      <c r="U34" s="31">
        <f t="shared" si="63"/>
        <v>250</v>
      </c>
      <c r="AJ34" s="24"/>
      <c r="BA34" s="24"/>
      <c r="BR34" s="24"/>
      <c r="CI34" s="24"/>
      <c r="CZ34" s="24"/>
      <c r="DQ34" s="24"/>
      <c r="EH34" s="24"/>
      <c r="EY34" s="24"/>
      <c r="FP34" s="24"/>
      <c r="GG34" s="24"/>
      <c r="GX34" s="24"/>
      <c r="HO34" s="24"/>
      <c r="IF34" s="24"/>
    </row>
    <row r="35" spans="1:240" s="23" customFormat="1" x14ac:dyDescent="0.25">
      <c r="A35" s="30" t="str">
        <f t="shared" si="45"/>
        <v>ALEXANDER HERNANDEZ</v>
      </c>
      <c r="B35" s="30" t="str">
        <f t="shared" si="45"/>
        <v/>
      </c>
      <c r="C35" s="16">
        <f t="shared" si="46"/>
        <v>0</v>
      </c>
      <c r="D35" s="16">
        <f t="shared" si="47"/>
        <v>1</v>
      </c>
      <c r="E35" s="16">
        <f t="shared" si="48"/>
        <v>0</v>
      </c>
      <c r="F35" s="16">
        <f t="shared" si="49"/>
        <v>0</v>
      </c>
      <c r="G35" s="16">
        <f t="shared" si="50"/>
        <v>0</v>
      </c>
      <c r="H35" s="16">
        <f t="shared" si="51"/>
        <v>0</v>
      </c>
      <c r="I35" s="16">
        <f t="shared" si="52"/>
        <v>1</v>
      </c>
      <c r="J35" s="16">
        <f t="shared" si="53"/>
        <v>0</v>
      </c>
      <c r="K35" s="16">
        <f t="shared" si="54"/>
        <v>3</v>
      </c>
      <c r="L35" s="16">
        <f t="shared" si="55"/>
        <v>3</v>
      </c>
      <c r="M35" s="16">
        <f t="shared" si="56"/>
        <v>0</v>
      </c>
      <c r="N35" s="16">
        <f t="shared" si="57"/>
        <v>0</v>
      </c>
      <c r="O35" s="16">
        <f t="shared" si="58"/>
        <v>0</v>
      </c>
      <c r="P35" s="16">
        <f t="shared" si="59"/>
        <v>0</v>
      </c>
      <c r="Q35" s="16">
        <f t="shared" si="60"/>
        <v>0</v>
      </c>
      <c r="R35" s="16">
        <f t="shared" si="61"/>
        <v>3</v>
      </c>
      <c r="S35" s="24"/>
      <c r="T35" s="31">
        <f t="shared" si="62"/>
        <v>0</v>
      </c>
      <c r="U35" s="31">
        <f t="shared" si="63"/>
        <v>0</v>
      </c>
      <c r="AJ35" s="24"/>
      <c r="BA35" s="24"/>
      <c r="BR35" s="24"/>
      <c r="CI35" s="24"/>
      <c r="CZ35" s="24"/>
      <c r="DQ35" s="24"/>
      <c r="EH35" s="24"/>
      <c r="EY35" s="24"/>
      <c r="FP35" s="24"/>
      <c r="GG35" s="24"/>
      <c r="GX35" s="24"/>
      <c r="HO35" s="24"/>
      <c r="IF35" s="24"/>
    </row>
    <row r="36" spans="1:240" s="23" customFormat="1" x14ac:dyDescent="0.25">
      <c r="A36" s="30" t="str">
        <f t="shared" si="45"/>
        <v>DANIEL LIENDO</v>
      </c>
      <c r="B36" s="30" t="str">
        <f t="shared" si="45"/>
        <v/>
      </c>
      <c r="C36" s="16">
        <f t="shared" si="46"/>
        <v>1</v>
      </c>
      <c r="D36" s="16">
        <f t="shared" si="47"/>
        <v>0</v>
      </c>
      <c r="E36" s="16">
        <f t="shared" si="48"/>
        <v>0</v>
      </c>
      <c r="F36" s="16">
        <f t="shared" si="49"/>
        <v>0</v>
      </c>
      <c r="G36" s="16">
        <f t="shared" si="50"/>
        <v>0</v>
      </c>
      <c r="H36" s="16">
        <f t="shared" si="51"/>
        <v>0</v>
      </c>
      <c r="I36" s="16">
        <f t="shared" si="52"/>
        <v>0</v>
      </c>
      <c r="J36" s="16">
        <f t="shared" si="53"/>
        <v>0</v>
      </c>
      <c r="K36" s="16">
        <f t="shared" si="54"/>
        <v>0</v>
      </c>
      <c r="L36" s="16">
        <f t="shared" si="55"/>
        <v>0</v>
      </c>
      <c r="M36" s="16">
        <f t="shared" si="56"/>
        <v>0</v>
      </c>
      <c r="N36" s="16">
        <f t="shared" si="57"/>
        <v>0</v>
      </c>
      <c r="O36" s="16">
        <f t="shared" si="58"/>
        <v>0</v>
      </c>
      <c r="P36" s="16">
        <f t="shared" si="59"/>
        <v>0</v>
      </c>
      <c r="Q36" s="16">
        <f t="shared" si="60"/>
        <v>0</v>
      </c>
      <c r="R36" s="16">
        <f t="shared" si="61"/>
        <v>1</v>
      </c>
      <c r="S36" s="24"/>
      <c r="T36" s="31">
        <f t="shared" si="62"/>
        <v>0</v>
      </c>
      <c r="U36" s="31">
        <f t="shared" si="63"/>
        <v>0</v>
      </c>
      <c r="AJ36" s="24"/>
      <c r="BA36" s="24"/>
      <c r="BR36" s="24"/>
      <c r="CI36" s="24"/>
      <c r="CZ36" s="24"/>
      <c r="DQ36" s="24"/>
      <c r="EH36" s="24"/>
      <c r="EY36" s="24"/>
      <c r="FP36" s="24"/>
      <c r="GG36" s="24"/>
      <c r="GX36" s="24"/>
      <c r="HO36" s="24"/>
      <c r="IF36" s="24"/>
    </row>
    <row r="37" spans="1:240" s="23" customFormat="1" x14ac:dyDescent="0.25">
      <c r="A37" s="30" t="str">
        <f t="shared" si="45"/>
        <v>SEBASTIAN MUJICA</v>
      </c>
      <c r="B37" s="30" t="str">
        <f t="shared" si="45"/>
        <v/>
      </c>
      <c r="C37" s="16">
        <f t="shared" si="46"/>
        <v>2</v>
      </c>
      <c r="D37" s="16">
        <f t="shared" si="47"/>
        <v>0</v>
      </c>
      <c r="E37" s="16">
        <f t="shared" si="48"/>
        <v>0</v>
      </c>
      <c r="F37" s="16">
        <f t="shared" si="49"/>
        <v>0</v>
      </c>
      <c r="G37" s="16">
        <f t="shared" si="50"/>
        <v>0</v>
      </c>
      <c r="H37" s="16">
        <f t="shared" si="51"/>
        <v>0</v>
      </c>
      <c r="I37" s="16">
        <f t="shared" si="52"/>
        <v>0</v>
      </c>
      <c r="J37" s="16">
        <f t="shared" si="53"/>
        <v>1</v>
      </c>
      <c r="K37" s="16">
        <f t="shared" si="54"/>
        <v>0</v>
      </c>
      <c r="L37" s="16">
        <f t="shared" si="55"/>
        <v>0</v>
      </c>
      <c r="M37" s="16">
        <f t="shared" si="56"/>
        <v>0</v>
      </c>
      <c r="N37" s="16">
        <f t="shared" si="57"/>
        <v>0</v>
      </c>
      <c r="O37" s="16">
        <f t="shared" si="58"/>
        <v>0</v>
      </c>
      <c r="P37" s="16">
        <f t="shared" si="59"/>
        <v>0</v>
      </c>
      <c r="Q37" s="16">
        <f t="shared" si="60"/>
        <v>0</v>
      </c>
      <c r="R37" s="16">
        <f t="shared" si="61"/>
        <v>2</v>
      </c>
      <c r="S37" s="24"/>
      <c r="T37" s="31">
        <f t="shared" si="62"/>
        <v>0</v>
      </c>
      <c r="U37" s="31">
        <f t="shared" si="63"/>
        <v>0</v>
      </c>
      <c r="AJ37" s="24"/>
      <c r="BA37" s="24"/>
      <c r="BR37" s="24"/>
      <c r="CI37" s="24"/>
      <c r="CZ37" s="24"/>
      <c r="DQ37" s="24"/>
      <c r="EH37" s="24"/>
      <c r="EY37" s="24"/>
      <c r="FP37" s="24"/>
      <c r="GG37" s="24"/>
      <c r="GX37" s="24"/>
      <c r="HO37" s="24"/>
      <c r="IF37" s="24"/>
    </row>
    <row r="38" spans="1:240" s="23" customFormat="1" x14ac:dyDescent="0.25">
      <c r="A38" s="30" t="str">
        <f t="shared" si="45"/>
        <v>ANGEL RODRIGUEZ</v>
      </c>
      <c r="B38" s="30" t="str">
        <f t="shared" si="45"/>
        <v/>
      </c>
      <c r="C38" s="16">
        <f t="shared" si="46"/>
        <v>3</v>
      </c>
      <c r="D38" s="16">
        <f t="shared" si="47"/>
        <v>2</v>
      </c>
      <c r="E38" s="16">
        <f t="shared" si="48"/>
        <v>2</v>
      </c>
      <c r="F38" s="16">
        <f t="shared" si="49"/>
        <v>0</v>
      </c>
      <c r="G38" s="16">
        <f t="shared" si="50"/>
        <v>0</v>
      </c>
      <c r="H38" s="16">
        <f t="shared" si="51"/>
        <v>0</v>
      </c>
      <c r="I38" s="16">
        <f t="shared" si="52"/>
        <v>1</v>
      </c>
      <c r="J38" s="16">
        <f t="shared" si="53"/>
        <v>1</v>
      </c>
      <c r="K38" s="16">
        <f t="shared" si="54"/>
        <v>0</v>
      </c>
      <c r="L38" s="16">
        <f t="shared" si="55"/>
        <v>1</v>
      </c>
      <c r="M38" s="16">
        <f t="shared" si="56"/>
        <v>0</v>
      </c>
      <c r="N38" s="16">
        <f t="shared" si="57"/>
        <v>0</v>
      </c>
      <c r="O38" s="16">
        <f t="shared" si="58"/>
        <v>0</v>
      </c>
      <c r="P38" s="16">
        <f t="shared" si="59"/>
        <v>0</v>
      </c>
      <c r="Q38" s="16">
        <f t="shared" si="60"/>
        <v>2</v>
      </c>
      <c r="R38" s="16">
        <f t="shared" si="61"/>
        <v>3</v>
      </c>
      <c r="S38" s="24"/>
      <c r="T38" s="31">
        <f t="shared" si="62"/>
        <v>666.66666666666663</v>
      </c>
      <c r="U38" s="31">
        <f t="shared" si="63"/>
        <v>666.66666666666663</v>
      </c>
      <c r="AJ38" s="24"/>
      <c r="BA38" s="24"/>
      <c r="BR38" s="24"/>
      <c r="CI38" s="24"/>
      <c r="CZ38" s="24"/>
      <c r="DQ38" s="24"/>
      <c r="EH38" s="24"/>
      <c r="EY38" s="24"/>
      <c r="FP38" s="24"/>
      <c r="GG38" s="24"/>
      <c r="GX38" s="24"/>
      <c r="HO38" s="24"/>
      <c r="IF38" s="24"/>
    </row>
    <row r="39" spans="1:240" s="23" customFormat="1" x14ac:dyDescent="0.25">
      <c r="A39" s="30" t="str">
        <f t="shared" si="45"/>
        <v>FRANCISCO MONASTERIO</v>
      </c>
      <c r="B39" s="30" t="str">
        <f t="shared" si="45"/>
        <v/>
      </c>
      <c r="C39" s="16">
        <f t="shared" si="46"/>
        <v>3</v>
      </c>
      <c r="D39" s="16">
        <f t="shared" si="47"/>
        <v>1</v>
      </c>
      <c r="E39" s="16">
        <f t="shared" si="48"/>
        <v>2</v>
      </c>
      <c r="F39" s="16">
        <f t="shared" si="49"/>
        <v>0</v>
      </c>
      <c r="G39" s="16">
        <f t="shared" si="50"/>
        <v>1</v>
      </c>
      <c r="H39" s="16">
        <f t="shared" si="51"/>
        <v>0</v>
      </c>
      <c r="I39" s="16">
        <f t="shared" si="52"/>
        <v>0</v>
      </c>
      <c r="J39" s="16">
        <f t="shared" si="53"/>
        <v>0</v>
      </c>
      <c r="K39" s="16">
        <f t="shared" si="54"/>
        <v>0</v>
      </c>
      <c r="L39" s="16">
        <f t="shared" si="55"/>
        <v>0</v>
      </c>
      <c r="M39" s="16">
        <f t="shared" si="56"/>
        <v>0</v>
      </c>
      <c r="N39" s="16">
        <f t="shared" si="57"/>
        <v>0</v>
      </c>
      <c r="O39" s="16">
        <f t="shared" si="58"/>
        <v>0</v>
      </c>
      <c r="P39" s="16">
        <f t="shared" si="59"/>
        <v>0</v>
      </c>
      <c r="Q39" s="16">
        <f t="shared" si="60"/>
        <v>4</v>
      </c>
      <c r="R39" s="16">
        <f t="shared" si="61"/>
        <v>3</v>
      </c>
      <c r="S39" s="24"/>
      <c r="T39" s="31">
        <f t="shared" si="62"/>
        <v>666.66666666666663</v>
      </c>
      <c r="U39" s="31">
        <f t="shared" si="63"/>
        <v>1333.3333333333333</v>
      </c>
      <c r="AJ39" s="24"/>
      <c r="BA39" s="24"/>
      <c r="BR39" s="24"/>
      <c r="CI39" s="24"/>
      <c r="CZ39" s="24"/>
      <c r="DQ39" s="24"/>
      <c r="EH39" s="24"/>
      <c r="EY39" s="24"/>
      <c r="FP39" s="24"/>
      <c r="GG39" s="24"/>
      <c r="GX39" s="24"/>
      <c r="HO39" s="24"/>
      <c r="IF39" s="24"/>
    </row>
    <row r="40" spans="1:240" s="23" customFormat="1" x14ac:dyDescent="0.25">
      <c r="A40" s="30" t="str">
        <f t="shared" si="45"/>
        <v>MARCOS MORALES</v>
      </c>
      <c r="B40" s="30" t="str">
        <f t="shared" si="45"/>
        <v/>
      </c>
      <c r="C40" s="16">
        <f t="shared" si="46"/>
        <v>3</v>
      </c>
      <c r="D40" s="16">
        <f t="shared" si="47"/>
        <v>2</v>
      </c>
      <c r="E40" s="16">
        <f t="shared" si="48"/>
        <v>2</v>
      </c>
      <c r="F40" s="16">
        <f t="shared" si="49"/>
        <v>1</v>
      </c>
      <c r="G40" s="16">
        <f t="shared" si="50"/>
        <v>0</v>
      </c>
      <c r="H40" s="16">
        <f t="shared" si="51"/>
        <v>0</v>
      </c>
      <c r="I40" s="16">
        <f t="shared" si="52"/>
        <v>2</v>
      </c>
      <c r="J40" s="16">
        <f t="shared" si="53"/>
        <v>1</v>
      </c>
      <c r="K40" s="16">
        <f t="shared" si="54"/>
        <v>0</v>
      </c>
      <c r="L40" s="16">
        <f t="shared" si="55"/>
        <v>3</v>
      </c>
      <c r="M40" s="16">
        <f t="shared" si="56"/>
        <v>0</v>
      </c>
      <c r="N40" s="16">
        <f t="shared" si="57"/>
        <v>0</v>
      </c>
      <c r="O40" s="16">
        <f t="shared" si="58"/>
        <v>0</v>
      </c>
      <c r="P40" s="16">
        <f t="shared" si="59"/>
        <v>0</v>
      </c>
      <c r="Q40" s="16">
        <f t="shared" si="60"/>
        <v>3</v>
      </c>
      <c r="R40" s="16">
        <f t="shared" si="61"/>
        <v>3</v>
      </c>
      <c r="S40" s="24"/>
      <c r="T40" s="31">
        <f t="shared" si="62"/>
        <v>666.66666666666663</v>
      </c>
      <c r="U40" s="31">
        <f t="shared" si="63"/>
        <v>1000</v>
      </c>
      <c r="AJ40" s="24"/>
      <c r="BA40" s="24"/>
      <c r="BR40" s="24"/>
      <c r="CI40" s="24"/>
      <c r="CZ40" s="24"/>
      <c r="DQ40" s="24"/>
      <c r="EH40" s="24"/>
      <c r="EY40" s="24"/>
      <c r="FP40" s="24"/>
      <c r="GG40" s="24"/>
      <c r="GX40" s="24"/>
      <c r="HO40" s="24"/>
      <c r="IF40" s="24"/>
    </row>
    <row r="41" spans="1:240" s="23" customFormat="1" x14ac:dyDescent="0.25">
      <c r="A41" s="30" t="str">
        <f t="shared" si="45"/>
        <v>ADRIAN MURILLO</v>
      </c>
      <c r="B41" s="30" t="str">
        <f t="shared" si="45"/>
        <v/>
      </c>
      <c r="C41" s="16">
        <f t="shared" si="46"/>
        <v>2</v>
      </c>
      <c r="D41" s="16">
        <f t="shared" si="47"/>
        <v>1</v>
      </c>
      <c r="E41" s="16">
        <f t="shared" si="48"/>
        <v>0</v>
      </c>
      <c r="F41" s="16">
        <f t="shared" si="49"/>
        <v>0</v>
      </c>
      <c r="G41" s="16">
        <f t="shared" si="50"/>
        <v>0</v>
      </c>
      <c r="H41" s="16">
        <f t="shared" si="51"/>
        <v>0</v>
      </c>
      <c r="I41" s="16">
        <f t="shared" si="52"/>
        <v>0</v>
      </c>
      <c r="J41" s="16">
        <f t="shared" si="53"/>
        <v>1</v>
      </c>
      <c r="K41" s="16">
        <f t="shared" si="54"/>
        <v>1</v>
      </c>
      <c r="L41" s="16">
        <f t="shared" si="55"/>
        <v>1</v>
      </c>
      <c r="M41" s="16">
        <f t="shared" si="56"/>
        <v>0</v>
      </c>
      <c r="N41" s="16">
        <f t="shared" si="57"/>
        <v>0</v>
      </c>
      <c r="O41" s="16">
        <f t="shared" si="58"/>
        <v>0</v>
      </c>
      <c r="P41" s="16">
        <f t="shared" si="59"/>
        <v>0</v>
      </c>
      <c r="Q41" s="16">
        <f t="shared" si="60"/>
        <v>0</v>
      </c>
      <c r="R41" s="16">
        <f t="shared" si="61"/>
        <v>3</v>
      </c>
      <c r="S41" s="24"/>
      <c r="T41" s="31">
        <f t="shared" si="62"/>
        <v>0</v>
      </c>
      <c r="U41" s="31">
        <f t="shared" si="63"/>
        <v>0</v>
      </c>
      <c r="AJ41" s="24"/>
      <c r="BA41" s="24"/>
      <c r="BR41" s="24"/>
      <c r="CI41" s="24"/>
      <c r="CZ41" s="24"/>
      <c r="DQ41" s="24"/>
      <c r="EH41" s="24"/>
      <c r="EY41" s="24"/>
      <c r="FP41" s="24"/>
      <c r="GG41" s="24"/>
      <c r="GX41" s="24"/>
      <c r="HO41" s="24"/>
      <c r="IF41" s="24"/>
    </row>
    <row r="42" spans="1:240" s="23" customFormat="1" x14ac:dyDescent="0.25">
      <c r="A42" s="30" t="str">
        <f t="shared" si="45"/>
        <v>DARGREYBER RODRIGUEZ</v>
      </c>
      <c r="B42" s="30" t="str">
        <f t="shared" si="45"/>
        <v/>
      </c>
      <c r="C42" s="16">
        <f t="shared" si="46"/>
        <v>0</v>
      </c>
      <c r="D42" s="16">
        <f t="shared" si="47"/>
        <v>0</v>
      </c>
      <c r="E42" s="16">
        <f t="shared" si="48"/>
        <v>0</v>
      </c>
      <c r="F42" s="16">
        <f t="shared" si="49"/>
        <v>0</v>
      </c>
      <c r="G42" s="16">
        <f t="shared" si="50"/>
        <v>0</v>
      </c>
      <c r="H42" s="16">
        <f t="shared" si="51"/>
        <v>0</v>
      </c>
      <c r="I42" s="16">
        <f t="shared" si="52"/>
        <v>0</v>
      </c>
      <c r="J42" s="16">
        <f t="shared" si="53"/>
        <v>0</v>
      </c>
      <c r="K42" s="16">
        <f t="shared" si="54"/>
        <v>0</v>
      </c>
      <c r="L42" s="16">
        <f t="shared" si="55"/>
        <v>0</v>
      </c>
      <c r="M42" s="16">
        <f t="shared" si="56"/>
        <v>0</v>
      </c>
      <c r="N42" s="16">
        <f t="shared" si="57"/>
        <v>0</v>
      </c>
      <c r="O42" s="16">
        <f t="shared" si="58"/>
        <v>0</v>
      </c>
      <c r="P42" s="16">
        <f t="shared" si="59"/>
        <v>0</v>
      </c>
      <c r="Q42" s="16">
        <f t="shared" si="60"/>
        <v>0</v>
      </c>
      <c r="R42" s="16">
        <f t="shared" si="61"/>
        <v>0</v>
      </c>
      <c r="S42" s="24"/>
      <c r="T42" s="31">
        <f t="shared" si="62"/>
        <v>0</v>
      </c>
      <c r="U42" s="31">
        <f t="shared" si="63"/>
        <v>0</v>
      </c>
      <c r="AJ42" s="24"/>
      <c r="BA42" s="24"/>
      <c r="BR42" s="24"/>
      <c r="CI42" s="24"/>
      <c r="CZ42" s="24"/>
      <c r="DQ42" s="24"/>
      <c r="EH42" s="24"/>
      <c r="EY42" s="24"/>
      <c r="FP42" s="24"/>
      <c r="GG42" s="24"/>
      <c r="GX42" s="24"/>
      <c r="HO42" s="24"/>
      <c r="IF42" s="24"/>
    </row>
    <row r="43" spans="1:240" s="23" customFormat="1" x14ac:dyDescent="0.25">
      <c r="A43" s="30" t="str">
        <f t="shared" si="45"/>
        <v>JENSE FLORES</v>
      </c>
      <c r="B43" s="30" t="str">
        <f t="shared" si="45"/>
        <v/>
      </c>
      <c r="C43" s="16">
        <f t="shared" si="46"/>
        <v>0</v>
      </c>
      <c r="D43" s="16">
        <f t="shared" si="47"/>
        <v>0</v>
      </c>
      <c r="E43" s="16">
        <f t="shared" si="48"/>
        <v>0</v>
      </c>
      <c r="F43" s="16">
        <f t="shared" si="49"/>
        <v>0</v>
      </c>
      <c r="G43" s="16">
        <f t="shared" si="50"/>
        <v>0</v>
      </c>
      <c r="H43" s="16">
        <f t="shared" si="51"/>
        <v>0</v>
      </c>
      <c r="I43" s="16">
        <f t="shared" si="52"/>
        <v>0</v>
      </c>
      <c r="J43" s="16">
        <f t="shared" si="53"/>
        <v>0</v>
      </c>
      <c r="K43" s="16">
        <f t="shared" si="54"/>
        <v>0</v>
      </c>
      <c r="L43" s="16">
        <f t="shared" si="55"/>
        <v>0</v>
      </c>
      <c r="M43" s="16">
        <f t="shared" si="56"/>
        <v>0</v>
      </c>
      <c r="N43" s="16">
        <f t="shared" si="57"/>
        <v>0</v>
      </c>
      <c r="O43" s="16">
        <f t="shared" si="58"/>
        <v>0</v>
      </c>
      <c r="P43" s="16">
        <f t="shared" si="59"/>
        <v>0</v>
      </c>
      <c r="Q43" s="16">
        <f t="shared" si="60"/>
        <v>0</v>
      </c>
      <c r="R43" s="16">
        <f t="shared" si="61"/>
        <v>0</v>
      </c>
      <c r="S43" s="24"/>
      <c r="T43" s="31">
        <f t="shared" si="62"/>
        <v>0</v>
      </c>
      <c r="U43" s="31">
        <f t="shared" si="63"/>
        <v>0</v>
      </c>
      <c r="AJ43" s="24"/>
      <c r="BA43" s="24"/>
      <c r="BR43" s="24"/>
      <c r="CI43" s="24"/>
      <c r="CZ43" s="24"/>
      <c r="DQ43" s="24"/>
      <c r="EH43" s="24"/>
      <c r="EY43" s="24"/>
      <c r="FP43" s="24"/>
      <c r="GG43" s="24"/>
      <c r="GX43" s="24"/>
      <c r="HO43" s="24"/>
      <c r="IF43" s="24"/>
    </row>
    <row r="44" spans="1:240" s="23" customFormat="1" x14ac:dyDescent="0.25">
      <c r="A44" s="30" t="str">
        <f t="shared" si="45"/>
        <v/>
      </c>
      <c r="B44" s="30" t="str">
        <f t="shared" si="45"/>
        <v/>
      </c>
      <c r="C44" s="16">
        <f t="shared" si="46"/>
        <v>0</v>
      </c>
      <c r="D44" s="16">
        <f t="shared" si="47"/>
        <v>0</v>
      </c>
      <c r="E44" s="16">
        <f t="shared" si="48"/>
        <v>0</v>
      </c>
      <c r="F44" s="16">
        <f t="shared" si="49"/>
        <v>0</v>
      </c>
      <c r="G44" s="16">
        <f t="shared" si="50"/>
        <v>0</v>
      </c>
      <c r="H44" s="16">
        <f t="shared" si="51"/>
        <v>0</v>
      </c>
      <c r="I44" s="16">
        <f t="shared" si="52"/>
        <v>0</v>
      </c>
      <c r="J44" s="16">
        <f t="shared" si="53"/>
        <v>0</v>
      </c>
      <c r="K44" s="16">
        <f t="shared" si="54"/>
        <v>0</v>
      </c>
      <c r="L44" s="16">
        <f t="shared" si="55"/>
        <v>0</v>
      </c>
      <c r="M44" s="16">
        <f t="shared" si="56"/>
        <v>0</v>
      </c>
      <c r="N44" s="16">
        <f t="shared" si="57"/>
        <v>0</v>
      </c>
      <c r="O44" s="16">
        <f t="shared" si="58"/>
        <v>0</v>
      </c>
      <c r="P44" s="16">
        <f t="shared" si="59"/>
        <v>0</v>
      </c>
      <c r="Q44" s="16">
        <f t="shared" si="60"/>
        <v>0</v>
      </c>
      <c r="R44" s="16">
        <f t="shared" si="61"/>
        <v>0</v>
      </c>
      <c r="S44" s="24"/>
      <c r="T44" s="31">
        <f t="shared" si="62"/>
        <v>0</v>
      </c>
      <c r="U44" s="31">
        <f t="shared" si="63"/>
        <v>0</v>
      </c>
      <c r="AJ44" s="24"/>
      <c r="BA44" s="24"/>
      <c r="BR44" s="24"/>
      <c r="CI44" s="24"/>
      <c r="CZ44" s="24"/>
      <c r="DQ44" s="24"/>
      <c r="EH44" s="24"/>
      <c r="EY44" s="24"/>
      <c r="FP44" s="24"/>
      <c r="GG44" s="24"/>
      <c r="GX44" s="24"/>
      <c r="HO44" s="24"/>
      <c r="IF44" s="24"/>
    </row>
    <row r="45" spans="1:240" s="23" customFormat="1" x14ac:dyDescent="0.25">
      <c r="A45" s="30" t="str">
        <f t="shared" si="45"/>
        <v/>
      </c>
      <c r="B45" s="30" t="str">
        <f t="shared" si="45"/>
        <v/>
      </c>
      <c r="C45" s="16">
        <f t="shared" si="46"/>
        <v>0</v>
      </c>
      <c r="D45" s="16">
        <f t="shared" si="47"/>
        <v>0</v>
      </c>
      <c r="E45" s="16">
        <f t="shared" si="48"/>
        <v>0</v>
      </c>
      <c r="F45" s="16">
        <f t="shared" si="49"/>
        <v>0</v>
      </c>
      <c r="G45" s="16">
        <f t="shared" si="50"/>
        <v>0</v>
      </c>
      <c r="H45" s="16">
        <f t="shared" si="51"/>
        <v>0</v>
      </c>
      <c r="I45" s="16">
        <f t="shared" si="52"/>
        <v>0</v>
      </c>
      <c r="J45" s="16">
        <f t="shared" si="53"/>
        <v>0</v>
      </c>
      <c r="K45" s="16">
        <f t="shared" si="54"/>
        <v>0</v>
      </c>
      <c r="L45" s="16">
        <f t="shared" si="55"/>
        <v>0</v>
      </c>
      <c r="M45" s="16">
        <f t="shared" si="56"/>
        <v>0</v>
      </c>
      <c r="N45" s="16">
        <f t="shared" si="57"/>
        <v>0</v>
      </c>
      <c r="O45" s="16">
        <f t="shared" si="58"/>
        <v>0</v>
      </c>
      <c r="P45" s="16">
        <f t="shared" si="59"/>
        <v>0</v>
      </c>
      <c r="Q45" s="16">
        <f t="shared" si="60"/>
        <v>0</v>
      </c>
      <c r="R45" s="16">
        <f t="shared" si="61"/>
        <v>0</v>
      </c>
      <c r="S45" s="24"/>
      <c r="T45" s="31">
        <f t="shared" si="62"/>
        <v>0</v>
      </c>
      <c r="U45" s="31">
        <f t="shared" si="63"/>
        <v>0</v>
      </c>
      <c r="AJ45" s="24"/>
      <c r="BA45" s="24"/>
      <c r="BR45" s="24"/>
      <c r="CI45" s="24"/>
      <c r="CZ45" s="24"/>
      <c r="DQ45" s="24"/>
      <c r="EH45" s="24"/>
      <c r="EY45" s="24"/>
      <c r="FP45" s="24"/>
      <c r="GG45" s="24"/>
      <c r="GX45" s="24"/>
      <c r="HO45" s="24"/>
      <c r="IF45" s="24"/>
    </row>
    <row r="46" spans="1:240" s="23" customFormat="1" x14ac:dyDescent="0.25">
      <c r="A46" s="30" t="str">
        <f t="shared" si="45"/>
        <v/>
      </c>
      <c r="B46" s="30" t="str">
        <f t="shared" si="45"/>
        <v/>
      </c>
      <c r="C46" s="16">
        <f t="shared" si="46"/>
        <v>0</v>
      </c>
      <c r="D46" s="16">
        <f t="shared" si="47"/>
        <v>0</v>
      </c>
      <c r="E46" s="16">
        <f t="shared" si="48"/>
        <v>0</v>
      </c>
      <c r="F46" s="16">
        <f t="shared" si="49"/>
        <v>0</v>
      </c>
      <c r="G46" s="16">
        <f t="shared" si="50"/>
        <v>0</v>
      </c>
      <c r="H46" s="16">
        <f t="shared" si="51"/>
        <v>0</v>
      </c>
      <c r="I46" s="16">
        <f t="shared" si="52"/>
        <v>0</v>
      </c>
      <c r="J46" s="16">
        <f t="shared" si="53"/>
        <v>0</v>
      </c>
      <c r="K46" s="16">
        <f t="shared" si="54"/>
        <v>0</v>
      </c>
      <c r="L46" s="16">
        <f t="shared" si="55"/>
        <v>0</v>
      </c>
      <c r="M46" s="16">
        <f t="shared" si="56"/>
        <v>0</v>
      </c>
      <c r="N46" s="16">
        <f t="shared" si="57"/>
        <v>0</v>
      </c>
      <c r="O46" s="16">
        <f t="shared" si="58"/>
        <v>0</v>
      </c>
      <c r="P46" s="16">
        <f t="shared" si="59"/>
        <v>0</v>
      </c>
      <c r="Q46" s="16">
        <f t="shared" si="60"/>
        <v>0</v>
      </c>
      <c r="R46" s="16">
        <f t="shared" si="61"/>
        <v>0</v>
      </c>
      <c r="S46" s="24"/>
      <c r="T46" s="31">
        <f t="shared" si="62"/>
        <v>0</v>
      </c>
      <c r="U46" s="31">
        <f t="shared" si="63"/>
        <v>0</v>
      </c>
      <c r="AJ46" s="24"/>
      <c r="BA46" s="24"/>
      <c r="BR46" s="24"/>
      <c r="CI46" s="24"/>
      <c r="CZ46" s="24"/>
      <c r="DQ46" s="24"/>
      <c r="EH46" s="24"/>
      <c r="EY46" s="24"/>
      <c r="FP46" s="24"/>
      <c r="GG46" s="24"/>
      <c r="GX46" s="24"/>
      <c r="HO46" s="24"/>
      <c r="IF46" s="24"/>
    </row>
    <row r="47" spans="1:240" x14ac:dyDescent="0.25">
      <c r="A47" s="30" t="str">
        <f t="shared" si="45"/>
        <v/>
      </c>
      <c r="B47" s="30" t="str">
        <f t="shared" si="45"/>
        <v/>
      </c>
      <c r="C47" s="16">
        <f t="shared" si="46"/>
        <v>0</v>
      </c>
      <c r="D47" s="16">
        <f t="shared" si="47"/>
        <v>0</v>
      </c>
      <c r="E47" s="16">
        <f t="shared" si="48"/>
        <v>0</v>
      </c>
      <c r="F47" s="16">
        <f t="shared" si="49"/>
        <v>0</v>
      </c>
      <c r="G47" s="16">
        <f t="shared" si="50"/>
        <v>0</v>
      </c>
      <c r="H47" s="16">
        <f t="shared" si="51"/>
        <v>0</v>
      </c>
      <c r="I47" s="16">
        <f t="shared" si="52"/>
        <v>0</v>
      </c>
      <c r="J47" s="16">
        <f t="shared" si="53"/>
        <v>0</v>
      </c>
      <c r="K47" s="16">
        <f t="shared" si="54"/>
        <v>0</v>
      </c>
      <c r="L47" s="16">
        <f t="shared" si="55"/>
        <v>0</v>
      </c>
      <c r="M47" s="16">
        <f t="shared" si="56"/>
        <v>0</v>
      </c>
      <c r="N47" s="16">
        <f t="shared" si="57"/>
        <v>0</v>
      </c>
      <c r="O47" s="16">
        <f t="shared" si="58"/>
        <v>0</v>
      </c>
      <c r="P47" s="16">
        <f t="shared" si="59"/>
        <v>0</v>
      </c>
      <c r="Q47" s="16">
        <f t="shared" si="60"/>
        <v>0</v>
      </c>
      <c r="R47" s="16">
        <f t="shared" si="61"/>
        <v>0</v>
      </c>
      <c r="S47" s="2"/>
      <c r="T47" s="31">
        <f t="shared" si="62"/>
        <v>0</v>
      </c>
      <c r="U47" s="31">
        <f t="shared" si="63"/>
        <v>0</v>
      </c>
      <c r="AJ47" s="2"/>
      <c r="BA47" s="2"/>
      <c r="BR47" s="2"/>
      <c r="CI47" s="2"/>
      <c r="CZ47" s="2"/>
      <c r="DQ47" s="2"/>
      <c r="EH47" s="2"/>
      <c r="EY47" s="2"/>
      <c r="FP47" s="2"/>
      <c r="GG47" s="2"/>
      <c r="GX47" s="2"/>
      <c r="HO47" s="2"/>
      <c r="IF47" s="2"/>
    </row>
    <row r="48" spans="1:240" x14ac:dyDescent="0.25">
      <c r="A48" s="30" t="str">
        <f t="shared" si="45"/>
        <v/>
      </c>
      <c r="B48" s="30" t="str">
        <f t="shared" si="45"/>
        <v/>
      </c>
      <c r="C48" s="16">
        <f t="shared" si="46"/>
        <v>0</v>
      </c>
      <c r="D48" s="16">
        <f t="shared" si="47"/>
        <v>0</v>
      </c>
      <c r="E48" s="16">
        <f t="shared" si="48"/>
        <v>0</v>
      </c>
      <c r="F48" s="16">
        <f t="shared" si="49"/>
        <v>0</v>
      </c>
      <c r="G48" s="16">
        <f t="shared" si="50"/>
        <v>0</v>
      </c>
      <c r="H48" s="16">
        <f t="shared" si="51"/>
        <v>0</v>
      </c>
      <c r="I48" s="16">
        <f t="shared" si="52"/>
        <v>0</v>
      </c>
      <c r="J48" s="16">
        <f t="shared" si="53"/>
        <v>0</v>
      </c>
      <c r="K48" s="16">
        <f t="shared" si="54"/>
        <v>0</v>
      </c>
      <c r="L48" s="16">
        <f t="shared" si="55"/>
        <v>0</v>
      </c>
      <c r="M48" s="16">
        <f t="shared" si="56"/>
        <v>0</v>
      </c>
      <c r="N48" s="16">
        <f t="shared" si="57"/>
        <v>0</v>
      </c>
      <c r="O48" s="16">
        <f t="shared" si="58"/>
        <v>0</v>
      </c>
      <c r="P48" s="16">
        <f t="shared" si="59"/>
        <v>0</v>
      </c>
      <c r="Q48" s="16">
        <f t="shared" si="60"/>
        <v>0</v>
      </c>
      <c r="R48" s="16">
        <f t="shared" si="61"/>
        <v>0</v>
      </c>
      <c r="S48" s="2"/>
      <c r="T48" s="31">
        <f t="shared" si="62"/>
        <v>0</v>
      </c>
      <c r="U48" s="31">
        <f t="shared" si="63"/>
        <v>0</v>
      </c>
      <c r="AJ48" s="2"/>
      <c r="BA48" s="2"/>
      <c r="BR48" s="2"/>
      <c r="CI48" s="2"/>
      <c r="CZ48" s="2"/>
      <c r="DQ48" s="2"/>
      <c r="EH48" s="2"/>
      <c r="EY48" s="2"/>
      <c r="FP48" s="2"/>
      <c r="GG48" s="2"/>
      <c r="GX48" s="2"/>
      <c r="HO48" s="2"/>
      <c r="IF48" s="2"/>
    </row>
    <row r="49" spans="1:240" x14ac:dyDescent="0.25">
      <c r="A49" s="30" t="str">
        <f t="shared" si="45"/>
        <v/>
      </c>
      <c r="B49" s="30" t="str">
        <f t="shared" si="45"/>
        <v/>
      </c>
      <c r="C49" s="16">
        <f t="shared" si="46"/>
        <v>0</v>
      </c>
      <c r="D49" s="16">
        <f t="shared" si="47"/>
        <v>0</v>
      </c>
      <c r="E49" s="16">
        <f t="shared" si="48"/>
        <v>0</v>
      </c>
      <c r="F49" s="16">
        <f t="shared" si="49"/>
        <v>0</v>
      </c>
      <c r="G49" s="16">
        <f t="shared" si="50"/>
        <v>0</v>
      </c>
      <c r="H49" s="16">
        <f t="shared" si="51"/>
        <v>0</v>
      </c>
      <c r="I49" s="16">
        <f t="shared" si="52"/>
        <v>0</v>
      </c>
      <c r="J49" s="16">
        <f t="shared" si="53"/>
        <v>0</v>
      </c>
      <c r="K49" s="16">
        <f t="shared" si="54"/>
        <v>0</v>
      </c>
      <c r="L49" s="16">
        <f t="shared" si="55"/>
        <v>0</v>
      </c>
      <c r="M49" s="16">
        <f t="shared" si="56"/>
        <v>0</v>
      </c>
      <c r="N49" s="16">
        <f t="shared" si="57"/>
        <v>0</v>
      </c>
      <c r="O49" s="16">
        <f t="shared" si="58"/>
        <v>0</v>
      </c>
      <c r="P49" s="16">
        <f t="shared" si="59"/>
        <v>0</v>
      </c>
      <c r="Q49" s="16">
        <f t="shared" si="60"/>
        <v>0</v>
      </c>
      <c r="R49" s="16">
        <f t="shared" si="61"/>
        <v>0</v>
      </c>
      <c r="S49" s="2"/>
      <c r="T49" s="31">
        <f t="shared" si="62"/>
        <v>0</v>
      </c>
      <c r="U49" s="31">
        <f t="shared" si="63"/>
        <v>0</v>
      </c>
      <c r="AJ49" s="2"/>
      <c r="BA49" s="2"/>
      <c r="BR49" s="2"/>
      <c r="CI49" s="2"/>
      <c r="CZ49" s="2"/>
      <c r="DQ49" s="2"/>
      <c r="EH49" s="2"/>
      <c r="EY49" s="2"/>
      <c r="FP49" s="2"/>
      <c r="GG49" s="2"/>
      <c r="GX49" s="2"/>
      <c r="HO49" s="2"/>
      <c r="IF49" s="2"/>
    </row>
    <row r="50" spans="1:240" ht="13.8" thickBot="1" x14ac:dyDescent="0.3">
      <c r="A50" s="30" t="str">
        <f t="shared" si="45"/>
        <v/>
      </c>
      <c r="B50" s="30" t="str">
        <f t="shared" si="45"/>
        <v/>
      </c>
      <c r="C50" s="16">
        <f t="shared" si="46"/>
        <v>0</v>
      </c>
      <c r="D50" s="16">
        <f t="shared" si="47"/>
        <v>0</v>
      </c>
      <c r="E50" s="16">
        <f t="shared" si="48"/>
        <v>0</v>
      </c>
      <c r="F50" s="16">
        <f t="shared" si="49"/>
        <v>0</v>
      </c>
      <c r="G50" s="16">
        <f t="shared" si="50"/>
        <v>0</v>
      </c>
      <c r="H50" s="16">
        <f t="shared" si="51"/>
        <v>0</v>
      </c>
      <c r="I50" s="16">
        <f t="shared" si="52"/>
        <v>0</v>
      </c>
      <c r="J50" s="16">
        <f t="shared" si="53"/>
        <v>0</v>
      </c>
      <c r="K50" s="16">
        <f t="shared" si="54"/>
        <v>0</v>
      </c>
      <c r="L50" s="16">
        <f t="shared" si="55"/>
        <v>0</v>
      </c>
      <c r="M50" s="16">
        <f t="shared" si="56"/>
        <v>0</v>
      </c>
      <c r="N50" s="16">
        <f t="shared" si="57"/>
        <v>0</v>
      </c>
      <c r="O50" s="16">
        <f t="shared" si="58"/>
        <v>0</v>
      </c>
      <c r="P50" s="16">
        <f t="shared" si="59"/>
        <v>0</v>
      </c>
      <c r="Q50" s="16">
        <f t="shared" si="60"/>
        <v>0</v>
      </c>
      <c r="R50" s="16">
        <f t="shared" si="61"/>
        <v>0</v>
      </c>
      <c r="S50" s="2"/>
      <c r="T50" s="31">
        <f t="shared" si="62"/>
        <v>0</v>
      </c>
      <c r="U50" s="31">
        <f t="shared" si="63"/>
        <v>0</v>
      </c>
      <c r="AJ50" s="2"/>
      <c r="BA50" s="2"/>
      <c r="BR50" s="2"/>
      <c r="CI50" s="2"/>
      <c r="CZ50" s="2"/>
      <c r="DQ50" s="2"/>
      <c r="EH50" s="2"/>
      <c r="EY50" s="2"/>
      <c r="FP50" s="2"/>
      <c r="GG50" s="2"/>
      <c r="GX50" s="2"/>
      <c r="HO50" s="2"/>
      <c r="IF50" s="2"/>
    </row>
    <row r="51" spans="1:240" ht="13.8" thickBot="1" x14ac:dyDescent="0.3">
      <c r="A51" s="62" t="s">
        <v>48</v>
      </c>
      <c r="B51" s="63"/>
      <c r="C51" s="32">
        <f>SUM(C32:C50)</f>
        <v>25</v>
      </c>
      <c r="D51" s="32">
        <f t="shared" ref="D51:P51" si="64">SUM(D32:D50)</f>
        <v>10</v>
      </c>
      <c r="E51" s="32">
        <f t="shared" si="64"/>
        <v>9</v>
      </c>
      <c r="F51" s="32">
        <f t="shared" si="64"/>
        <v>2</v>
      </c>
      <c r="G51" s="32">
        <f t="shared" si="64"/>
        <v>1</v>
      </c>
      <c r="H51" s="32">
        <f t="shared" si="64"/>
        <v>0</v>
      </c>
      <c r="I51" s="32">
        <f t="shared" si="64"/>
        <v>4</v>
      </c>
      <c r="J51" s="32">
        <f t="shared" si="64"/>
        <v>4</v>
      </c>
      <c r="K51" s="32">
        <f t="shared" si="64"/>
        <v>5</v>
      </c>
      <c r="L51" s="32">
        <f t="shared" si="64"/>
        <v>9</v>
      </c>
      <c r="M51" s="32">
        <f t="shared" si="64"/>
        <v>0</v>
      </c>
      <c r="N51" s="32">
        <f t="shared" si="64"/>
        <v>0</v>
      </c>
      <c r="O51" s="32">
        <f t="shared" si="64"/>
        <v>0</v>
      </c>
      <c r="P51" s="32">
        <f t="shared" si="64"/>
        <v>0</v>
      </c>
      <c r="Q51" s="32">
        <f>SUM(Q32:Q50)</f>
        <v>13</v>
      </c>
      <c r="R51" s="32">
        <f>SUM(R32:R50)</f>
        <v>30</v>
      </c>
      <c r="S51" s="33"/>
      <c r="T51" s="34">
        <f t="shared" si="62"/>
        <v>360</v>
      </c>
      <c r="U51" s="35">
        <f t="shared" si="63"/>
        <v>520</v>
      </c>
      <c r="AJ51" s="2"/>
      <c r="BA51" s="2"/>
      <c r="BR51" s="2"/>
      <c r="CI51" s="2"/>
      <c r="CZ51" s="2"/>
      <c r="DQ51" s="2"/>
      <c r="EH51" s="2"/>
      <c r="EY51" s="2"/>
      <c r="FP51" s="2"/>
      <c r="GG51" s="2"/>
      <c r="GX51" s="2"/>
      <c r="HO51" s="2"/>
      <c r="IF51" s="2"/>
    </row>
    <row r="52" spans="1:240" x14ac:dyDescent="0.25">
      <c r="S52" s="2"/>
      <c r="AJ52" s="2"/>
      <c r="BA52" s="2"/>
      <c r="BR52" s="2"/>
      <c r="CI52" s="2"/>
      <c r="CZ52" s="2"/>
      <c r="DQ52" s="2"/>
      <c r="EH52" s="2"/>
      <c r="EY52" s="2"/>
      <c r="FP52" s="2"/>
      <c r="GG52" s="2"/>
      <c r="GX52" s="2"/>
      <c r="HO52" s="2"/>
      <c r="IF52" s="2"/>
    </row>
    <row r="53" spans="1:240" x14ac:dyDescent="0.25">
      <c r="S53" s="2"/>
      <c r="AJ53" s="2"/>
      <c r="BA53" s="2"/>
      <c r="BR53" s="2"/>
      <c r="CI53" s="2"/>
      <c r="CZ53" s="2"/>
      <c r="DQ53" s="2"/>
      <c r="EH53" s="2"/>
      <c r="EY53" s="2"/>
      <c r="FP53" s="2"/>
      <c r="GG53" s="2"/>
      <c r="GX53" s="2"/>
      <c r="HO53" s="2"/>
      <c r="IF53" s="2"/>
    </row>
  </sheetData>
  <sheetProtection selectLockedCells="1" selectUnlockedCells="1"/>
  <mergeCells count="18">
    <mergeCell ref="GH6:GW6"/>
    <mergeCell ref="GY6:HN6"/>
    <mergeCell ref="HP6:IE6"/>
    <mergeCell ref="A27:B27"/>
    <mergeCell ref="A30:U30"/>
    <mergeCell ref="A51:B51"/>
    <mergeCell ref="CJ6:CY6"/>
    <mergeCell ref="DA6:DP6"/>
    <mergeCell ref="DR6:EG6"/>
    <mergeCell ref="EI6:EX6"/>
    <mergeCell ref="EZ6:FO6"/>
    <mergeCell ref="FQ6:GF6"/>
    <mergeCell ref="A6:B6"/>
    <mergeCell ref="C6:R6"/>
    <mergeCell ref="T6:AI6"/>
    <mergeCell ref="AK6:AZ6"/>
    <mergeCell ref="BB6:BQ6"/>
    <mergeCell ref="BS6:CH6"/>
  </mergeCell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 alignWithMargins="0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3B27A-16AD-415A-9282-47D00D930280}">
  <dimension ref="A1:IV59"/>
  <sheetViews>
    <sheetView zoomScale="180" zoomScaleNormal="180" workbookViewId="0">
      <pane xSplit="1" topLeftCell="B1" activePane="topRight" state="frozen"/>
      <selection pane="topRight" activeCell="B8" sqref="B8"/>
    </sheetView>
  </sheetViews>
  <sheetFormatPr baseColWidth="10" defaultColWidth="4.33203125" defaultRowHeight="13.2" x14ac:dyDescent="0.25"/>
  <cols>
    <col min="1" max="1" width="30" customWidth="1"/>
    <col min="2" max="2" width="2.6640625" style="43" customWidth="1"/>
    <col min="19" max="19" width="1" customWidth="1"/>
    <col min="36" max="36" width="1.5546875" customWidth="1"/>
    <col min="53" max="53" width="1.33203125" customWidth="1"/>
    <col min="70" max="70" width="1.33203125" customWidth="1"/>
    <col min="87" max="87" width="1.109375" customWidth="1"/>
    <col min="104" max="104" width="1.44140625" customWidth="1"/>
    <col min="121" max="121" width="1.5546875" customWidth="1"/>
    <col min="138" max="138" width="1.44140625" customWidth="1"/>
    <col min="155" max="155" width="1.33203125" customWidth="1"/>
    <col min="172" max="172" width="1.33203125" customWidth="1"/>
    <col min="189" max="189" width="1.33203125" customWidth="1"/>
    <col min="206" max="206" width="1.109375" customWidth="1"/>
    <col min="223" max="223" width="1.33203125" customWidth="1"/>
    <col min="240" max="240" width="1.44140625" customWidth="1"/>
  </cols>
  <sheetData>
    <row r="1" spans="1:256" x14ac:dyDescent="0.25">
      <c r="A1" s="1" t="s">
        <v>0</v>
      </c>
      <c r="B1" s="55"/>
      <c r="C1" s="1"/>
      <c r="D1" s="1"/>
      <c r="E1" s="1"/>
      <c r="F1" s="1"/>
      <c r="G1" s="1"/>
      <c r="S1" s="2"/>
      <c r="AJ1" s="2"/>
      <c r="BA1" s="2"/>
      <c r="BR1" s="2"/>
      <c r="CI1" s="2"/>
      <c r="CZ1" s="2"/>
      <c r="DQ1" s="2"/>
      <c r="EH1" s="2"/>
      <c r="EY1" s="2"/>
      <c r="FP1" s="2"/>
      <c r="GG1" s="2"/>
      <c r="GX1" s="2"/>
      <c r="HO1" s="2"/>
      <c r="IF1" s="2"/>
    </row>
    <row r="2" spans="1:256" x14ac:dyDescent="0.25">
      <c r="A2" s="1" t="s">
        <v>1</v>
      </c>
      <c r="B2" s="55"/>
      <c r="C2" s="1"/>
      <c r="D2" s="1"/>
      <c r="E2" s="1"/>
      <c r="F2" s="1"/>
      <c r="G2" s="1"/>
      <c r="S2" s="2"/>
      <c r="AJ2" s="2"/>
      <c r="BA2" s="2"/>
      <c r="BR2" s="2"/>
      <c r="CI2" s="2"/>
      <c r="CZ2" s="2"/>
      <c r="DQ2" s="2"/>
      <c r="EH2" s="2"/>
      <c r="EY2" s="2"/>
      <c r="FP2" s="2"/>
      <c r="GG2" s="2"/>
      <c r="GX2" s="2"/>
      <c r="HO2" s="2"/>
      <c r="IF2" s="2"/>
    </row>
    <row r="3" spans="1:256" x14ac:dyDescent="0.25">
      <c r="B3" s="52" t="s">
        <v>2</v>
      </c>
      <c r="C3" s="3"/>
      <c r="D3" s="3"/>
      <c r="E3" s="3"/>
      <c r="F3" s="3"/>
      <c r="G3" s="3"/>
      <c r="S3" s="2"/>
      <c r="AJ3" s="2"/>
      <c r="BA3" s="2"/>
      <c r="BR3" s="2"/>
      <c r="CI3" s="2"/>
      <c r="CZ3" s="2"/>
      <c r="DQ3" s="2"/>
      <c r="EH3" s="2"/>
      <c r="EY3" s="2"/>
      <c r="FP3" s="2"/>
      <c r="GG3" s="2"/>
      <c r="GX3" s="2"/>
      <c r="HO3" s="2"/>
      <c r="IF3" s="2"/>
    </row>
    <row r="4" spans="1:256" x14ac:dyDescent="0.25">
      <c r="B4" s="43" t="s">
        <v>3</v>
      </c>
      <c r="S4" s="2"/>
      <c r="AJ4" s="2"/>
      <c r="BA4" s="2"/>
      <c r="BR4" s="2"/>
      <c r="CI4" s="2"/>
      <c r="CZ4" s="2"/>
      <c r="DQ4" s="2"/>
      <c r="EH4" s="2"/>
      <c r="EY4" s="2"/>
      <c r="FP4" s="2"/>
      <c r="GG4" s="2"/>
      <c r="GX4" s="2"/>
      <c r="HO4" s="2"/>
      <c r="IF4" s="2"/>
    </row>
    <row r="5" spans="1:256" ht="13.8" thickBot="1" x14ac:dyDescent="0.3">
      <c r="C5" t="s">
        <v>4</v>
      </c>
      <c r="F5" t="s">
        <v>5</v>
      </c>
      <c r="S5" s="2"/>
      <c r="U5" s="4" t="s">
        <v>6</v>
      </c>
      <c r="Y5" s="4" t="s">
        <v>7</v>
      </c>
      <c r="AC5">
        <v>2</v>
      </c>
      <c r="AJ5" s="2"/>
      <c r="AL5" s="4" t="s">
        <v>6</v>
      </c>
      <c r="AP5" t="s">
        <v>8</v>
      </c>
      <c r="AT5">
        <v>3</v>
      </c>
      <c r="BA5" s="2"/>
      <c r="BC5" s="4" t="s">
        <v>6</v>
      </c>
      <c r="BG5" t="s">
        <v>9</v>
      </c>
      <c r="BK5">
        <v>4</v>
      </c>
      <c r="BR5" s="2"/>
      <c r="BT5" s="4" t="s">
        <v>6</v>
      </c>
      <c r="BY5" t="s">
        <v>10</v>
      </c>
      <c r="CB5">
        <v>5</v>
      </c>
      <c r="CI5" s="2"/>
      <c r="CK5" s="4" t="s">
        <v>6</v>
      </c>
      <c r="CO5" t="s">
        <v>11</v>
      </c>
      <c r="CS5">
        <v>6</v>
      </c>
      <c r="CZ5" s="2"/>
      <c r="DB5" s="4" t="s">
        <v>6</v>
      </c>
      <c r="DF5" t="s">
        <v>12</v>
      </c>
      <c r="DJ5">
        <v>7</v>
      </c>
      <c r="DQ5" s="2"/>
      <c r="DS5" s="4" t="s">
        <v>6</v>
      </c>
      <c r="DW5" t="s">
        <v>13</v>
      </c>
      <c r="EA5">
        <v>8</v>
      </c>
      <c r="EH5" s="2"/>
      <c r="EJ5" s="4" t="s">
        <v>6</v>
      </c>
      <c r="EN5" t="s">
        <v>14</v>
      </c>
      <c r="ER5">
        <v>9</v>
      </c>
      <c r="EY5" s="2"/>
      <c r="FA5" s="4" t="s">
        <v>6</v>
      </c>
      <c r="FE5" t="s">
        <v>15</v>
      </c>
      <c r="FI5">
        <v>10</v>
      </c>
      <c r="FP5" s="2"/>
      <c r="FR5" s="4" t="s">
        <v>6</v>
      </c>
      <c r="FV5" t="s">
        <v>15</v>
      </c>
      <c r="FZ5">
        <v>11</v>
      </c>
      <c r="GG5" s="2"/>
      <c r="GI5" s="4" t="s">
        <v>6</v>
      </c>
      <c r="GM5" t="s">
        <v>16</v>
      </c>
      <c r="GQ5">
        <v>12</v>
      </c>
      <c r="GX5" s="2"/>
      <c r="GZ5" s="4" t="s">
        <v>6</v>
      </c>
      <c r="HH5">
        <v>13</v>
      </c>
      <c r="HO5" s="2"/>
      <c r="HQ5" s="4" t="s">
        <v>6</v>
      </c>
      <c r="HY5">
        <v>14</v>
      </c>
      <c r="IF5" s="2"/>
      <c r="IH5" s="4" t="s">
        <v>6</v>
      </c>
      <c r="IP5">
        <v>15</v>
      </c>
    </row>
    <row r="6" spans="1:256" s="5" customFormat="1" x14ac:dyDescent="0.25">
      <c r="A6" s="60" t="s">
        <v>56</v>
      </c>
      <c r="B6" s="60"/>
      <c r="C6" s="61" t="s">
        <v>17</v>
      </c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2"/>
      <c r="T6" s="59" t="s">
        <v>17</v>
      </c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2"/>
      <c r="AK6" s="59" t="s">
        <v>17</v>
      </c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2"/>
      <c r="BB6" s="59" t="s">
        <v>17</v>
      </c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59"/>
      <c r="BN6" s="59"/>
      <c r="BO6" s="59"/>
      <c r="BP6" s="59"/>
      <c r="BQ6" s="59"/>
      <c r="BR6" s="2"/>
      <c r="BS6" s="59" t="s">
        <v>17</v>
      </c>
      <c r="BT6" s="59"/>
      <c r="BU6" s="59"/>
      <c r="BV6" s="59"/>
      <c r="BW6" s="59"/>
      <c r="BX6" s="59"/>
      <c r="BY6" s="59"/>
      <c r="BZ6" s="59"/>
      <c r="CA6" s="59"/>
      <c r="CB6" s="59"/>
      <c r="CC6" s="59"/>
      <c r="CD6" s="59"/>
      <c r="CE6" s="59"/>
      <c r="CF6" s="59"/>
      <c r="CG6" s="59"/>
      <c r="CH6" s="59"/>
      <c r="CI6" s="2"/>
      <c r="CJ6" s="59" t="s">
        <v>17</v>
      </c>
      <c r="CK6" s="59"/>
      <c r="CL6" s="59"/>
      <c r="CM6" s="59"/>
      <c r="CN6" s="59"/>
      <c r="CO6" s="59"/>
      <c r="CP6" s="59"/>
      <c r="CQ6" s="59"/>
      <c r="CR6" s="59"/>
      <c r="CS6" s="59"/>
      <c r="CT6" s="59"/>
      <c r="CU6" s="59"/>
      <c r="CV6" s="59"/>
      <c r="CW6" s="59"/>
      <c r="CX6" s="59"/>
      <c r="CY6" s="59"/>
      <c r="CZ6" s="2"/>
      <c r="DA6" s="59" t="s">
        <v>17</v>
      </c>
      <c r="DB6" s="59"/>
      <c r="DC6" s="59"/>
      <c r="DD6" s="59"/>
      <c r="DE6" s="59"/>
      <c r="DF6" s="59"/>
      <c r="DG6" s="59"/>
      <c r="DH6" s="59"/>
      <c r="DI6" s="59"/>
      <c r="DJ6" s="59"/>
      <c r="DK6" s="59"/>
      <c r="DL6" s="59"/>
      <c r="DM6" s="59"/>
      <c r="DN6" s="59"/>
      <c r="DO6" s="59"/>
      <c r="DP6" s="59"/>
      <c r="DQ6" s="2"/>
      <c r="DR6" s="59" t="s">
        <v>17</v>
      </c>
      <c r="DS6" s="59"/>
      <c r="DT6" s="59"/>
      <c r="DU6" s="59"/>
      <c r="DV6" s="59"/>
      <c r="DW6" s="59"/>
      <c r="DX6" s="59"/>
      <c r="DY6" s="59"/>
      <c r="DZ6" s="59"/>
      <c r="EA6" s="59"/>
      <c r="EB6" s="59"/>
      <c r="EC6" s="59"/>
      <c r="ED6" s="59"/>
      <c r="EE6" s="59"/>
      <c r="EF6" s="59"/>
      <c r="EG6" s="59"/>
      <c r="EH6" s="2"/>
      <c r="EI6" s="59" t="s">
        <v>17</v>
      </c>
      <c r="EJ6" s="59"/>
      <c r="EK6" s="59"/>
      <c r="EL6" s="59"/>
      <c r="EM6" s="59"/>
      <c r="EN6" s="59"/>
      <c r="EO6" s="59"/>
      <c r="EP6" s="59"/>
      <c r="EQ6" s="59"/>
      <c r="ER6" s="59"/>
      <c r="ES6" s="59"/>
      <c r="ET6" s="59"/>
      <c r="EU6" s="59"/>
      <c r="EV6" s="59"/>
      <c r="EW6" s="59"/>
      <c r="EX6" s="59"/>
      <c r="EY6" s="2"/>
      <c r="EZ6" s="59" t="s">
        <v>17</v>
      </c>
      <c r="FA6" s="59"/>
      <c r="FB6" s="59"/>
      <c r="FC6" s="59"/>
      <c r="FD6" s="59"/>
      <c r="FE6" s="59"/>
      <c r="FF6" s="59"/>
      <c r="FG6" s="59"/>
      <c r="FH6" s="59"/>
      <c r="FI6" s="59"/>
      <c r="FJ6" s="59"/>
      <c r="FK6" s="59"/>
      <c r="FL6" s="59"/>
      <c r="FM6" s="59"/>
      <c r="FN6" s="59"/>
      <c r="FO6" s="59"/>
      <c r="FP6" s="2"/>
      <c r="FQ6" s="59" t="s">
        <v>17</v>
      </c>
      <c r="FR6" s="59"/>
      <c r="FS6" s="59"/>
      <c r="FT6" s="59"/>
      <c r="FU6" s="59"/>
      <c r="FV6" s="59"/>
      <c r="FW6" s="59"/>
      <c r="FX6" s="59"/>
      <c r="FY6" s="59"/>
      <c r="FZ6" s="59"/>
      <c r="GA6" s="59"/>
      <c r="GB6" s="59"/>
      <c r="GC6" s="59"/>
      <c r="GD6" s="59"/>
      <c r="GE6" s="59"/>
      <c r="GF6" s="59"/>
      <c r="GG6" s="2"/>
      <c r="GH6" s="59" t="s">
        <v>17</v>
      </c>
      <c r="GI6" s="59"/>
      <c r="GJ6" s="59"/>
      <c r="GK6" s="59"/>
      <c r="GL6" s="59"/>
      <c r="GM6" s="59"/>
      <c r="GN6" s="59"/>
      <c r="GO6" s="59"/>
      <c r="GP6" s="59"/>
      <c r="GQ6" s="59"/>
      <c r="GR6" s="59"/>
      <c r="GS6" s="59"/>
      <c r="GT6" s="59"/>
      <c r="GU6" s="59"/>
      <c r="GV6" s="59"/>
      <c r="GW6" s="59"/>
      <c r="GX6" s="2"/>
      <c r="GY6" s="59" t="s">
        <v>17</v>
      </c>
      <c r="GZ6" s="59"/>
      <c r="HA6" s="59"/>
      <c r="HB6" s="59"/>
      <c r="HC6" s="59"/>
      <c r="HD6" s="59"/>
      <c r="HE6" s="59"/>
      <c r="HF6" s="59"/>
      <c r="HG6" s="59"/>
      <c r="HH6" s="59"/>
      <c r="HI6" s="59"/>
      <c r="HJ6" s="59"/>
      <c r="HK6" s="59"/>
      <c r="HL6" s="59"/>
      <c r="HM6" s="59"/>
      <c r="HN6" s="59"/>
      <c r="HO6" s="2"/>
      <c r="HP6" s="59" t="s">
        <v>17</v>
      </c>
      <c r="HQ6" s="59"/>
      <c r="HR6" s="59"/>
      <c r="HS6" s="59"/>
      <c r="HT6" s="59"/>
      <c r="HU6" s="59"/>
      <c r="HV6" s="59"/>
      <c r="HW6" s="59"/>
      <c r="HX6" s="59"/>
      <c r="HY6" s="59"/>
      <c r="HZ6" s="59"/>
      <c r="IA6" s="59"/>
      <c r="IB6" s="59"/>
      <c r="IC6" s="59"/>
      <c r="ID6" s="59"/>
      <c r="IE6" s="59"/>
      <c r="IF6" s="2"/>
      <c r="IG6" s="6" t="s">
        <v>17</v>
      </c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</row>
    <row r="7" spans="1:256" s="2" customFormat="1" x14ac:dyDescent="0.25">
      <c r="A7" s="8" t="s">
        <v>19</v>
      </c>
      <c r="B7" s="50" t="s">
        <v>18</v>
      </c>
      <c r="C7" s="9" t="s">
        <v>20</v>
      </c>
      <c r="D7" s="9" t="s">
        <v>21</v>
      </c>
      <c r="E7" s="9" t="s">
        <v>22</v>
      </c>
      <c r="F7" s="9" t="s">
        <v>23</v>
      </c>
      <c r="G7" s="9" t="s">
        <v>24</v>
      </c>
      <c r="H7" s="9" t="s">
        <v>25</v>
      </c>
      <c r="I7" s="9" t="s">
        <v>26</v>
      </c>
      <c r="J7" s="9" t="s">
        <v>27</v>
      </c>
      <c r="K7" s="9" t="s">
        <v>28</v>
      </c>
      <c r="L7" s="9" t="s">
        <v>29</v>
      </c>
      <c r="M7" s="9" t="s">
        <v>30</v>
      </c>
      <c r="N7" s="9" t="s">
        <v>31</v>
      </c>
      <c r="O7" s="9" t="s">
        <v>32</v>
      </c>
      <c r="P7" s="9" t="s">
        <v>33</v>
      </c>
      <c r="Q7" s="9" t="s">
        <v>34</v>
      </c>
      <c r="R7" s="9" t="s">
        <v>35</v>
      </c>
      <c r="S7" s="10"/>
      <c r="T7" s="9" t="s">
        <v>20</v>
      </c>
      <c r="U7" s="9" t="s">
        <v>21</v>
      </c>
      <c r="V7" s="9" t="s">
        <v>22</v>
      </c>
      <c r="W7" s="9" t="s">
        <v>23</v>
      </c>
      <c r="X7" s="9" t="s">
        <v>24</v>
      </c>
      <c r="Y7" s="9" t="s">
        <v>25</v>
      </c>
      <c r="Z7" s="9" t="s">
        <v>26</v>
      </c>
      <c r="AA7" s="9" t="s">
        <v>27</v>
      </c>
      <c r="AB7" s="9" t="s">
        <v>28</v>
      </c>
      <c r="AC7" s="9" t="s">
        <v>29</v>
      </c>
      <c r="AD7" s="9" t="s">
        <v>30</v>
      </c>
      <c r="AE7" s="9" t="s">
        <v>31</v>
      </c>
      <c r="AF7" s="9" t="s">
        <v>32</v>
      </c>
      <c r="AG7" s="9" t="s">
        <v>33</v>
      </c>
      <c r="AH7" s="9" t="s">
        <v>34</v>
      </c>
      <c r="AI7" s="9" t="s">
        <v>35</v>
      </c>
      <c r="AK7" s="9" t="s">
        <v>20</v>
      </c>
      <c r="AL7" s="9" t="s">
        <v>21</v>
      </c>
      <c r="AM7" s="9" t="s">
        <v>22</v>
      </c>
      <c r="AN7" s="9" t="s">
        <v>23</v>
      </c>
      <c r="AO7" s="9" t="s">
        <v>24</v>
      </c>
      <c r="AP7" s="9" t="s">
        <v>25</v>
      </c>
      <c r="AQ7" s="9" t="s">
        <v>26</v>
      </c>
      <c r="AR7" s="9" t="s">
        <v>27</v>
      </c>
      <c r="AS7" s="9" t="s">
        <v>28</v>
      </c>
      <c r="AT7" s="9" t="s">
        <v>29</v>
      </c>
      <c r="AU7" s="9" t="s">
        <v>30</v>
      </c>
      <c r="AV7" s="9" t="s">
        <v>31</v>
      </c>
      <c r="AW7" s="9" t="s">
        <v>32</v>
      </c>
      <c r="AX7" s="9" t="s">
        <v>33</v>
      </c>
      <c r="AY7" s="9" t="s">
        <v>34</v>
      </c>
      <c r="AZ7" s="9" t="s">
        <v>35</v>
      </c>
      <c r="BB7" s="9" t="s">
        <v>20</v>
      </c>
      <c r="BC7" s="9" t="s">
        <v>21</v>
      </c>
      <c r="BD7" s="9" t="s">
        <v>22</v>
      </c>
      <c r="BE7" s="9" t="s">
        <v>23</v>
      </c>
      <c r="BF7" s="9" t="s">
        <v>24</v>
      </c>
      <c r="BG7" s="9" t="s">
        <v>25</v>
      </c>
      <c r="BH7" s="9" t="s">
        <v>26</v>
      </c>
      <c r="BI7" s="9" t="s">
        <v>27</v>
      </c>
      <c r="BJ7" s="9" t="s">
        <v>28</v>
      </c>
      <c r="BK7" s="9" t="s">
        <v>29</v>
      </c>
      <c r="BL7" s="9" t="s">
        <v>30</v>
      </c>
      <c r="BM7" s="9" t="s">
        <v>31</v>
      </c>
      <c r="BN7" s="9" t="s">
        <v>32</v>
      </c>
      <c r="BO7" s="9" t="s">
        <v>33</v>
      </c>
      <c r="BP7" s="9" t="s">
        <v>34</v>
      </c>
      <c r="BQ7" s="9" t="s">
        <v>35</v>
      </c>
      <c r="BS7" s="9" t="s">
        <v>20</v>
      </c>
      <c r="BT7" s="9" t="s">
        <v>21</v>
      </c>
      <c r="BU7" s="9" t="s">
        <v>22</v>
      </c>
      <c r="BV7" s="9" t="s">
        <v>23</v>
      </c>
      <c r="BW7" s="9" t="s">
        <v>24</v>
      </c>
      <c r="BX7" s="9" t="s">
        <v>25</v>
      </c>
      <c r="BY7" s="9" t="s">
        <v>26</v>
      </c>
      <c r="BZ7" s="9" t="s">
        <v>27</v>
      </c>
      <c r="CA7" s="9" t="s">
        <v>28</v>
      </c>
      <c r="CB7" s="9" t="s">
        <v>29</v>
      </c>
      <c r="CC7" s="9" t="s">
        <v>30</v>
      </c>
      <c r="CD7" s="9" t="s">
        <v>31</v>
      </c>
      <c r="CE7" s="9" t="s">
        <v>32</v>
      </c>
      <c r="CF7" s="9" t="s">
        <v>33</v>
      </c>
      <c r="CG7" s="9" t="s">
        <v>34</v>
      </c>
      <c r="CH7" s="9" t="s">
        <v>35</v>
      </c>
      <c r="CJ7" s="9" t="s">
        <v>20</v>
      </c>
      <c r="CK7" s="9" t="s">
        <v>21</v>
      </c>
      <c r="CL7" s="9" t="s">
        <v>22</v>
      </c>
      <c r="CM7" s="9" t="s">
        <v>23</v>
      </c>
      <c r="CN7" s="9" t="s">
        <v>24</v>
      </c>
      <c r="CO7" s="9" t="s">
        <v>25</v>
      </c>
      <c r="CP7" s="9" t="s">
        <v>26</v>
      </c>
      <c r="CQ7" s="9" t="s">
        <v>27</v>
      </c>
      <c r="CR7" s="9" t="s">
        <v>28</v>
      </c>
      <c r="CS7" s="9" t="s">
        <v>29</v>
      </c>
      <c r="CT7" s="9" t="s">
        <v>30</v>
      </c>
      <c r="CU7" s="9" t="s">
        <v>31</v>
      </c>
      <c r="CV7" s="9" t="s">
        <v>32</v>
      </c>
      <c r="CW7" s="9" t="s">
        <v>33</v>
      </c>
      <c r="CX7" s="9" t="s">
        <v>34</v>
      </c>
      <c r="CY7" s="9" t="s">
        <v>35</v>
      </c>
      <c r="DA7" s="9" t="s">
        <v>20</v>
      </c>
      <c r="DB7" s="9" t="s">
        <v>21</v>
      </c>
      <c r="DC7" s="9" t="s">
        <v>22</v>
      </c>
      <c r="DD7" s="9" t="s">
        <v>23</v>
      </c>
      <c r="DE7" s="9" t="s">
        <v>24</v>
      </c>
      <c r="DF7" s="9" t="s">
        <v>25</v>
      </c>
      <c r="DG7" s="9" t="s">
        <v>26</v>
      </c>
      <c r="DH7" s="9" t="s">
        <v>27</v>
      </c>
      <c r="DI7" s="9" t="s">
        <v>28</v>
      </c>
      <c r="DJ7" s="9" t="s">
        <v>29</v>
      </c>
      <c r="DK7" s="9" t="s">
        <v>30</v>
      </c>
      <c r="DL7" s="9" t="s">
        <v>31</v>
      </c>
      <c r="DM7" s="9" t="s">
        <v>32</v>
      </c>
      <c r="DN7" s="9" t="s">
        <v>33</v>
      </c>
      <c r="DO7" s="9" t="s">
        <v>34</v>
      </c>
      <c r="DP7" s="9" t="s">
        <v>35</v>
      </c>
      <c r="DR7" s="9" t="s">
        <v>20</v>
      </c>
      <c r="DS7" s="9" t="s">
        <v>21</v>
      </c>
      <c r="DT7" s="9" t="s">
        <v>22</v>
      </c>
      <c r="DU7" s="9" t="s">
        <v>23</v>
      </c>
      <c r="DV7" s="9" t="s">
        <v>24</v>
      </c>
      <c r="DW7" s="9" t="s">
        <v>25</v>
      </c>
      <c r="DX7" s="9" t="s">
        <v>26</v>
      </c>
      <c r="DY7" s="9" t="s">
        <v>27</v>
      </c>
      <c r="DZ7" s="9" t="s">
        <v>28</v>
      </c>
      <c r="EA7" s="9" t="s">
        <v>29</v>
      </c>
      <c r="EB7" s="9" t="s">
        <v>30</v>
      </c>
      <c r="EC7" s="9" t="s">
        <v>31</v>
      </c>
      <c r="ED7" s="9" t="s">
        <v>32</v>
      </c>
      <c r="EE7" s="9" t="s">
        <v>33</v>
      </c>
      <c r="EF7" s="9" t="s">
        <v>34</v>
      </c>
      <c r="EG7" s="9" t="s">
        <v>35</v>
      </c>
      <c r="EI7" s="9" t="s">
        <v>20</v>
      </c>
      <c r="EJ7" s="9" t="s">
        <v>21</v>
      </c>
      <c r="EK7" s="9" t="s">
        <v>22</v>
      </c>
      <c r="EL7" s="9" t="s">
        <v>23</v>
      </c>
      <c r="EM7" s="9" t="s">
        <v>24</v>
      </c>
      <c r="EN7" s="9" t="s">
        <v>25</v>
      </c>
      <c r="EO7" s="9" t="s">
        <v>26</v>
      </c>
      <c r="EP7" s="9" t="s">
        <v>27</v>
      </c>
      <c r="EQ7" s="9" t="s">
        <v>28</v>
      </c>
      <c r="ER7" s="9" t="s">
        <v>29</v>
      </c>
      <c r="ES7" s="9" t="s">
        <v>30</v>
      </c>
      <c r="ET7" s="9" t="s">
        <v>31</v>
      </c>
      <c r="EU7" s="9" t="s">
        <v>32</v>
      </c>
      <c r="EV7" s="9" t="s">
        <v>33</v>
      </c>
      <c r="EW7" s="9" t="s">
        <v>34</v>
      </c>
      <c r="EX7" s="9" t="s">
        <v>35</v>
      </c>
      <c r="EZ7" s="9" t="s">
        <v>20</v>
      </c>
      <c r="FA7" s="9" t="s">
        <v>21</v>
      </c>
      <c r="FB7" s="9" t="s">
        <v>22</v>
      </c>
      <c r="FC7" s="9" t="s">
        <v>23</v>
      </c>
      <c r="FD7" s="9" t="s">
        <v>24</v>
      </c>
      <c r="FE7" s="9" t="s">
        <v>25</v>
      </c>
      <c r="FF7" s="9" t="s">
        <v>26</v>
      </c>
      <c r="FG7" s="9" t="s">
        <v>27</v>
      </c>
      <c r="FH7" s="9" t="s">
        <v>28</v>
      </c>
      <c r="FI7" s="9" t="s">
        <v>29</v>
      </c>
      <c r="FJ7" s="9" t="s">
        <v>30</v>
      </c>
      <c r="FK7" s="9" t="s">
        <v>31</v>
      </c>
      <c r="FL7" s="9" t="s">
        <v>32</v>
      </c>
      <c r="FM7" s="9" t="s">
        <v>33</v>
      </c>
      <c r="FN7" s="9" t="s">
        <v>34</v>
      </c>
      <c r="FO7" s="9" t="s">
        <v>35</v>
      </c>
      <c r="FQ7" s="9" t="s">
        <v>20</v>
      </c>
      <c r="FR7" s="9" t="s">
        <v>21</v>
      </c>
      <c r="FS7" s="9" t="s">
        <v>22</v>
      </c>
      <c r="FT7" s="9" t="s">
        <v>23</v>
      </c>
      <c r="FU7" s="9" t="s">
        <v>24</v>
      </c>
      <c r="FV7" s="9" t="s">
        <v>25</v>
      </c>
      <c r="FW7" s="9" t="s">
        <v>26</v>
      </c>
      <c r="FX7" s="9" t="s">
        <v>27</v>
      </c>
      <c r="FY7" s="9" t="s">
        <v>28</v>
      </c>
      <c r="FZ7" s="9" t="s">
        <v>29</v>
      </c>
      <c r="GA7" s="9" t="s">
        <v>30</v>
      </c>
      <c r="GB7" s="9" t="s">
        <v>31</v>
      </c>
      <c r="GC7" s="9" t="s">
        <v>32</v>
      </c>
      <c r="GD7" s="9" t="s">
        <v>33</v>
      </c>
      <c r="GE7" s="9" t="s">
        <v>34</v>
      </c>
      <c r="GF7" s="9" t="s">
        <v>35</v>
      </c>
      <c r="GH7" s="9" t="s">
        <v>20</v>
      </c>
      <c r="GI7" s="9" t="s">
        <v>21</v>
      </c>
      <c r="GJ7" s="9" t="s">
        <v>22</v>
      </c>
      <c r="GK7" s="9" t="s">
        <v>23</v>
      </c>
      <c r="GL7" s="9" t="s">
        <v>24</v>
      </c>
      <c r="GM7" s="9" t="s">
        <v>25</v>
      </c>
      <c r="GN7" s="9" t="s">
        <v>26</v>
      </c>
      <c r="GO7" s="9" t="s">
        <v>27</v>
      </c>
      <c r="GP7" s="9" t="s">
        <v>28</v>
      </c>
      <c r="GQ7" s="9" t="s">
        <v>29</v>
      </c>
      <c r="GR7" s="9" t="s">
        <v>30</v>
      </c>
      <c r="GS7" s="9" t="s">
        <v>31</v>
      </c>
      <c r="GT7" s="9" t="s">
        <v>32</v>
      </c>
      <c r="GU7" s="9" t="s">
        <v>33</v>
      </c>
      <c r="GV7" s="9" t="s">
        <v>34</v>
      </c>
      <c r="GW7" s="9" t="s">
        <v>35</v>
      </c>
      <c r="GY7" s="9" t="s">
        <v>20</v>
      </c>
      <c r="GZ7" s="9" t="s">
        <v>21</v>
      </c>
      <c r="HA7" s="9" t="s">
        <v>22</v>
      </c>
      <c r="HB7" s="9" t="s">
        <v>23</v>
      </c>
      <c r="HC7" s="9" t="s">
        <v>24</v>
      </c>
      <c r="HD7" s="9" t="s">
        <v>25</v>
      </c>
      <c r="HE7" s="9" t="s">
        <v>26</v>
      </c>
      <c r="HF7" s="9" t="s">
        <v>27</v>
      </c>
      <c r="HG7" s="9" t="s">
        <v>28</v>
      </c>
      <c r="HH7" s="9" t="s">
        <v>29</v>
      </c>
      <c r="HI7" s="9" t="s">
        <v>30</v>
      </c>
      <c r="HJ7" s="9" t="s">
        <v>31</v>
      </c>
      <c r="HK7" s="9" t="s">
        <v>32</v>
      </c>
      <c r="HL7" s="9" t="s">
        <v>33</v>
      </c>
      <c r="HM7" s="9" t="s">
        <v>34</v>
      </c>
      <c r="HN7" s="9" t="s">
        <v>35</v>
      </c>
      <c r="HP7" s="9" t="s">
        <v>20</v>
      </c>
      <c r="HQ7" s="9" t="s">
        <v>21</v>
      </c>
      <c r="HR7" s="9" t="s">
        <v>22</v>
      </c>
      <c r="HS7" s="9" t="s">
        <v>23</v>
      </c>
      <c r="HT7" s="9" t="s">
        <v>24</v>
      </c>
      <c r="HU7" s="9" t="s">
        <v>25</v>
      </c>
      <c r="HV7" s="9" t="s">
        <v>26</v>
      </c>
      <c r="HW7" s="9" t="s">
        <v>27</v>
      </c>
      <c r="HX7" s="9" t="s">
        <v>28</v>
      </c>
      <c r="HY7" s="9" t="s">
        <v>29</v>
      </c>
      <c r="HZ7" s="9" t="s">
        <v>30</v>
      </c>
      <c r="IA7" s="9" t="s">
        <v>31</v>
      </c>
      <c r="IB7" s="9" t="s">
        <v>32</v>
      </c>
      <c r="IC7" s="9" t="s">
        <v>33</v>
      </c>
      <c r="ID7" s="9" t="s">
        <v>34</v>
      </c>
      <c r="IE7" s="9" t="s">
        <v>35</v>
      </c>
      <c r="IG7" s="9" t="s">
        <v>20</v>
      </c>
      <c r="IH7" s="9" t="s">
        <v>21</v>
      </c>
      <c r="II7" s="9" t="s">
        <v>22</v>
      </c>
      <c r="IJ7" s="9" t="s">
        <v>23</v>
      </c>
      <c r="IK7" s="9" t="s">
        <v>24</v>
      </c>
      <c r="IL7" s="9" t="s">
        <v>25</v>
      </c>
      <c r="IM7" s="9" t="s">
        <v>26</v>
      </c>
      <c r="IN7" s="9" t="s">
        <v>27</v>
      </c>
      <c r="IO7" s="9" t="s">
        <v>28</v>
      </c>
      <c r="IP7" s="9" t="s">
        <v>29</v>
      </c>
      <c r="IQ7" s="9" t="s">
        <v>30</v>
      </c>
      <c r="IR7" s="9" t="s">
        <v>31</v>
      </c>
      <c r="IS7" s="9" t="s">
        <v>32</v>
      </c>
      <c r="IT7" s="9" t="s">
        <v>33</v>
      </c>
      <c r="IU7" s="9" t="s">
        <v>34</v>
      </c>
      <c r="IV7" s="9" t="s">
        <v>35</v>
      </c>
    </row>
    <row r="8" spans="1:256" s="16" customFormat="1" x14ac:dyDescent="0.25">
      <c r="A8" s="15" t="s">
        <v>65</v>
      </c>
      <c r="B8" s="31">
        <v>2</v>
      </c>
      <c r="C8" s="16">
        <v>4</v>
      </c>
      <c r="D8" s="16">
        <v>2</v>
      </c>
      <c r="E8" s="16">
        <v>1</v>
      </c>
      <c r="L8" s="16">
        <v>1</v>
      </c>
      <c r="Q8" s="16">
        <f t="shared" ref="Q8:Q26" si="0">(E8-(F8+G8+H8))+(F8*2)+(G8*3)+(H8*4)</f>
        <v>1</v>
      </c>
      <c r="R8" s="16">
        <f t="shared" ref="R8:R26" si="1">+C8+K8+M8+N8+O8+P8</f>
        <v>4</v>
      </c>
      <c r="S8" s="17"/>
      <c r="AH8" s="16">
        <f t="shared" ref="AH8:AH26" si="2">(V8-(W8+X8+Y8))+(W8*2)+(X8*3)+(Y8*4)</f>
        <v>0</v>
      </c>
      <c r="AI8" s="16">
        <f t="shared" ref="AI8:AI26" si="3">+T8+AB8+AD8+AE8+AF8+AG8</f>
        <v>0</v>
      </c>
      <c r="AJ8" s="18"/>
      <c r="AY8" s="16">
        <f t="shared" ref="AY8:AY26" si="4">(AM8-(AN8+AO8+AP8))+(AN8*2)+(AO8*3)+(AP8*4)</f>
        <v>0</v>
      </c>
      <c r="AZ8" s="16">
        <f t="shared" ref="AZ8:AZ26" si="5">+AK8+AS8+AU8+AV8+AW8+AX8</f>
        <v>0</v>
      </c>
      <c r="BA8" s="18"/>
      <c r="BP8" s="16">
        <f t="shared" ref="BP8:BP26" si="6">(BD8-(BE8+BF8+BG8))+(BE8*2)+(BF8*3)+(BG8*4)</f>
        <v>0</v>
      </c>
      <c r="BQ8" s="16">
        <f t="shared" ref="BQ8:BQ26" si="7">+BB8+BJ8+BL8+BM8+BN8+BO8</f>
        <v>0</v>
      </c>
      <c r="BR8" s="18"/>
      <c r="CG8" s="16">
        <f t="shared" ref="CG8:CG26" si="8">(BU8-(BV8+BW8+BX8))+(BV8*2)+(BW8*3)+(BX8*4)</f>
        <v>0</v>
      </c>
      <c r="CH8" s="16">
        <f t="shared" ref="CH8:CH26" si="9">+BS8+CA8+CC8+CD8+CE8+CF8</f>
        <v>0</v>
      </c>
      <c r="CI8" s="18"/>
      <c r="CX8" s="16">
        <f t="shared" ref="CX8:CX26" si="10">(CL8-(CM8+CN8+CO8))+(CM8*2)+(CN8*3)+(CO8*4)</f>
        <v>0</v>
      </c>
      <c r="CY8" s="16">
        <f t="shared" ref="CY8:CY26" si="11">+CJ8+CR8+CT8+CU8+CV8+CW8</f>
        <v>0</v>
      </c>
      <c r="CZ8" s="18"/>
      <c r="DO8" s="16">
        <f t="shared" ref="DO8:DO26" si="12">(DC8-(DD8+DE8+DF8))+(DD8*2)+(DE8*3)+(DF8*4)</f>
        <v>0</v>
      </c>
      <c r="DP8" s="16">
        <f t="shared" ref="DP8:DP26" si="13">+DA8+DI8+DK8+DL8+DM8+DN8</f>
        <v>0</v>
      </c>
      <c r="DQ8" s="18"/>
      <c r="EF8" s="16">
        <f t="shared" ref="EF8:EF26" si="14">(DT8-(DU8+DV8+DW8))+(DU8*2)+(DV8*3)+(DW8*4)</f>
        <v>0</v>
      </c>
      <c r="EG8" s="16">
        <f t="shared" ref="EG8:EG26" si="15">+DR8+DZ8+EB8+EC8+ED8+EE8</f>
        <v>0</v>
      </c>
      <c r="EH8" s="18"/>
      <c r="EW8" s="16">
        <f t="shared" ref="EW8:EW26" si="16">(EK8-(EL8+EM8+EN8))+(EL8*2)+(EM8*3)+(EN8*4)</f>
        <v>0</v>
      </c>
      <c r="EX8" s="16">
        <f t="shared" ref="EX8:EX26" si="17">+EI8+EQ8+ES8+ET8+EU8+EV8</f>
        <v>0</v>
      </c>
      <c r="EY8" s="18"/>
      <c r="FN8" s="16">
        <f t="shared" ref="FN8:FN26" si="18">(FB8-(FC8+FD8+FE8))+(FC8*2)+(FD8*3)+(FE8*4)</f>
        <v>0</v>
      </c>
      <c r="FO8" s="16">
        <f t="shared" ref="FO8:FO26" si="19">+EZ8+FH8+FJ8+FK8+FL8+FM8</f>
        <v>0</v>
      </c>
      <c r="FP8" s="18"/>
      <c r="GE8" s="16">
        <f t="shared" ref="GE8:GE26" si="20">(FS8-(FT8+FU8+FV8))+(FT8*2)+(FU8*3)+(FV8*4)</f>
        <v>0</v>
      </c>
      <c r="GF8" s="16">
        <f t="shared" ref="GF8:GF26" si="21">+FQ8+FY8+GA8+GB8+GC8+GD8</f>
        <v>0</v>
      </c>
      <c r="GG8" s="18"/>
      <c r="GV8" s="16">
        <f t="shared" ref="GV8:GV26" si="22">(GJ8-(GK8+GL8+GM8))+(GK8*2)+(GL8*3)+(GM8*4)</f>
        <v>0</v>
      </c>
      <c r="GW8" s="16">
        <f t="shared" ref="GW8:GW26" si="23">+GH8+GP8+GR8+GS8+GT8+GU8</f>
        <v>0</v>
      </c>
      <c r="GX8" s="18"/>
      <c r="HM8" s="16">
        <f t="shared" ref="HM8:HM26" si="24">(HA8-(HB8+HC8+HD8))+(HB8*2)+(HC8*3)+(HD8*4)</f>
        <v>0</v>
      </c>
      <c r="HN8" s="16">
        <f t="shared" ref="HN8:HN26" si="25">+GY8+HG8+HI8+HJ8+HK8+HL8</f>
        <v>0</v>
      </c>
      <c r="HO8" s="18"/>
      <c r="ID8" s="16">
        <f t="shared" ref="ID8:ID26" si="26">(HR8-(HS8+HT8+HU8))+(HS8*2)+(HT8*3)+(HU8*4)</f>
        <v>0</v>
      </c>
      <c r="IE8" s="16">
        <f t="shared" ref="IE8:IE26" si="27">+HP8+HX8+HZ8+IA8+IB8+IC8</f>
        <v>0</v>
      </c>
      <c r="IF8" s="18"/>
      <c r="IU8" s="16">
        <f t="shared" ref="IU8:IU26" si="28">(II8-(IJ8+IK8+IL8))+(IJ8*2)+(IK8*3)+(IL8*4)</f>
        <v>0</v>
      </c>
      <c r="IV8" s="16">
        <f t="shared" ref="IV8:IV26" si="29">+IG8+IO8+IQ8+IR8+IS8+IT8</f>
        <v>0</v>
      </c>
    </row>
    <row r="9" spans="1:256" s="16" customFormat="1" x14ac:dyDescent="0.25">
      <c r="A9" s="15" t="s">
        <v>37</v>
      </c>
      <c r="B9" s="31">
        <v>1</v>
      </c>
      <c r="C9" s="16">
        <v>3</v>
      </c>
      <c r="D9" s="16">
        <v>1</v>
      </c>
      <c r="E9" s="16">
        <v>1</v>
      </c>
      <c r="F9" s="16">
        <v>1</v>
      </c>
      <c r="K9" s="16">
        <v>1</v>
      </c>
      <c r="Q9" s="16">
        <f t="shared" si="0"/>
        <v>2</v>
      </c>
      <c r="R9" s="16">
        <f t="shared" si="1"/>
        <v>4</v>
      </c>
      <c r="S9" s="17"/>
      <c r="AH9" s="16">
        <f t="shared" si="2"/>
        <v>0</v>
      </c>
      <c r="AI9" s="16">
        <f t="shared" si="3"/>
        <v>0</v>
      </c>
      <c r="AJ9" s="18"/>
      <c r="AY9" s="16">
        <f t="shared" si="4"/>
        <v>0</v>
      </c>
      <c r="AZ9" s="16">
        <f t="shared" si="5"/>
        <v>0</v>
      </c>
      <c r="BA9" s="18"/>
      <c r="BP9" s="16">
        <f t="shared" si="6"/>
        <v>0</v>
      </c>
      <c r="BQ9" s="16">
        <f t="shared" si="7"/>
        <v>0</v>
      </c>
      <c r="BR9" s="18"/>
      <c r="CG9" s="16">
        <f t="shared" si="8"/>
        <v>0</v>
      </c>
      <c r="CH9" s="16">
        <f t="shared" si="9"/>
        <v>0</v>
      </c>
      <c r="CI9" s="18"/>
      <c r="CX9" s="16">
        <f t="shared" si="10"/>
        <v>0</v>
      </c>
      <c r="CY9" s="16">
        <f t="shared" si="11"/>
        <v>0</v>
      </c>
      <c r="CZ9" s="18"/>
      <c r="DO9" s="16">
        <f t="shared" si="12"/>
        <v>0</v>
      </c>
      <c r="DP9" s="16">
        <f t="shared" si="13"/>
        <v>0</v>
      </c>
      <c r="DQ9" s="18"/>
      <c r="EF9" s="16">
        <f t="shared" si="14"/>
        <v>0</v>
      </c>
      <c r="EG9" s="16">
        <f t="shared" si="15"/>
        <v>0</v>
      </c>
      <c r="EH9" s="18"/>
      <c r="EW9" s="16">
        <f t="shared" si="16"/>
        <v>0</v>
      </c>
      <c r="EX9" s="16">
        <f t="shared" si="17"/>
        <v>0</v>
      </c>
      <c r="EY9" s="18"/>
      <c r="FN9" s="16">
        <f t="shared" si="18"/>
        <v>0</v>
      </c>
      <c r="FO9" s="16">
        <f t="shared" si="19"/>
        <v>0</v>
      </c>
      <c r="FP9" s="18"/>
      <c r="GE9" s="16">
        <f t="shared" si="20"/>
        <v>0</v>
      </c>
      <c r="GF9" s="16">
        <f t="shared" si="21"/>
        <v>0</v>
      </c>
      <c r="GG9" s="18"/>
      <c r="GV9" s="16">
        <f t="shared" si="22"/>
        <v>0</v>
      </c>
      <c r="GW9" s="16">
        <f t="shared" si="23"/>
        <v>0</v>
      </c>
      <c r="GX9" s="18"/>
      <c r="HM9" s="16">
        <f t="shared" si="24"/>
        <v>0</v>
      </c>
      <c r="HN9" s="16">
        <f t="shared" si="25"/>
        <v>0</v>
      </c>
      <c r="HO9" s="18"/>
      <c r="ID9" s="16">
        <f t="shared" si="26"/>
        <v>0</v>
      </c>
      <c r="IE9" s="16">
        <f t="shared" si="27"/>
        <v>0</v>
      </c>
      <c r="IF9" s="18"/>
      <c r="IU9" s="16">
        <f t="shared" si="28"/>
        <v>0</v>
      </c>
      <c r="IV9" s="16">
        <f t="shared" si="29"/>
        <v>0</v>
      </c>
    </row>
    <row r="10" spans="1:256" s="16" customFormat="1" x14ac:dyDescent="0.25">
      <c r="A10" s="15" t="s">
        <v>38</v>
      </c>
      <c r="B10" s="31">
        <v>22</v>
      </c>
      <c r="C10" s="16">
        <v>4</v>
      </c>
      <c r="E10" s="16">
        <v>1</v>
      </c>
      <c r="Q10" s="16">
        <f t="shared" si="0"/>
        <v>1</v>
      </c>
      <c r="R10" s="16">
        <f t="shared" si="1"/>
        <v>4</v>
      </c>
      <c r="S10" s="17"/>
      <c r="AH10" s="16">
        <f t="shared" si="2"/>
        <v>0</v>
      </c>
      <c r="AI10" s="16">
        <f t="shared" si="3"/>
        <v>0</v>
      </c>
      <c r="AJ10" s="18"/>
      <c r="AY10" s="16">
        <f t="shared" si="4"/>
        <v>0</v>
      </c>
      <c r="AZ10" s="16">
        <f t="shared" si="5"/>
        <v>0</v>
      </c>
      <c r="BA10" s="18"/>
      <c r="BP10" s="16">
        <f t="shared" si="6"/>
        <v>0</v>
      </c>
      <c r="BQ10" s="16">
        <f t="shared" si="7"/>
        <v>0</v>
      </c>
      <c r="BR10" s="18"/>
      <c r="CG10" s="16">
        <f t="shared" si="8"/>
        <v>0</v>
      </c>
      <c r="CH10" s="16">
        <f t="shared" si="9"/>
        <v>0</v>
      </c>
      <c r="CI10" s="18"/>
      <c r="CX10" s="16">
        <f t="shared" si="10"/>
        <v>0</v>
      </c>
      <c r="CY10" s="16">
        <f t="shared" si="11"/>
        <v>0</v>
      </c>
      <c r="CZ10" s="18"/>
      <c r="DO10" s="16">
        <f t="shared" si="12"/>
        <v>0</v>
      </c>
      <c r="DP10" s="16">
        <f t="shared" si="13"/>
        <v>0</v>
      </c>
      <c r="DQ10" s="18"/>
      <c r="EF10" s="16">
        <f t="shared" si="14"/>
        <v>0</v>
      </c>
      <c r="EG10" s="16">
        <f t="shared" si="15"/>
        <v>0</v>
      </c>
      <c r="EH10" s="18"/>
      <c r="EW10" s="16">
        <f t="shared" si="16"/>
        <v>0</v>
      </c>
      <c r="EX10" s="16">
        <f t="shared" si="17"/>
        <v>0</v>
      </c>
      <c r="EY10" s="18"/>
      <c r="FN10" s="16">
        <f t="shared" si="18"/>
        <v>0</v>
      </c>
      <c r="FO10" s="16">
        <f t="shared" si="19"/>
        <v>0</v>
      </c>
      <c r="FP10" s="18"/>
      <c r="GE10" s="16">
        <f t="shared" si="20"/>
        <v>0</v>
      </c>
      <c r="GF10" s="16">
        <f t="shared" si="21"/>
        <v>0</v>
      </c>
      <c r="GG10" s="18"/>
      <c r="GV10" s="16">
        <f t="shared" si="22"/>
        <v>0</v>
      </c>
      <c r="GW10" s="16">
        <f t="shared" si="23"/>
        <v>0</v>
      </c>
      <c r="GX10" s="18"/>
      <c r="HM10" s="16">
        <f t="shared" si="24"/>
        <v>0</v>
      </c>
      <c r="HN10" s="16">
        <f t="shared" si="25"/>
        <v>0</v>
      </c>
      <c r="HO10" s="18"/>
      <c r="ID10" s="16">
        <f t="shared" si="26"/>
        <v>0</v>
      </c>
      <c r="IE10" s="16">
        <f t="shared" si="27"/>
        <v>0</v>
      </c>
      <c r="IF10" s="18"/>
      <c r="IU10" s="16">
        <f t="shared" si="28"/>
        <v>0</v>
      </c>
      <c r="IV10" s="16">
        <f t="shared" si="29"/>
        <v>0</v>
      </c>
    </row>
    <row r="11" spans="1:256" s="16" customFormat="1" x14ac:dyDescent="0.25">
      <c r="A11" s="15" t="s">
        <v>39</v>
      </c>
      <c r="B11" s="31"/>
      <c r="D11" s="16">
        <v>1</v>
      </c>
      <c r="I11" s="16">
        <v>1</v>
      </c>
      <c r="K11" s="16">
        <v>3</v>
      </c>
      <c r="L11" s="16">
        <v>3</v>
      </c>
      <c r="Q11" s="16">
        <f t="shared" si="0"/>
        <v>0</v>
      </c>
      <c r="R11" s="16">
        <f t="shared" si="1"/>
        <v>3</v>
      </c>
      <c r="S11" s="17"/>
      <c r="AH11" s="16">
        <f t="shared" si="2"/>
        <v>0</v>
      </c>
      <c r="AI11" s="16">
        <f t="shared" si="3"/>
        <v>0</v>
      </c>
      <c r="AJ11" s="18"/>
      <c r="AY11" s="16">
        <f t="shared" si="4"/>
        <v>0</v>
      </c>
      <c r="AZ11" s="16">
        <f t="shared" si="5"/>
        <v>0</v>
      </c>
      <c r="BA11" s="18"/>
      <c r="BP11" s="16">
        <f t="shared" si="6"/>
        <v>0</v>
      </c>
      <c r="BQ11" s="16">
        <f t="shared" si="7"/>
        <v>0</v>
      </c>
      <c r="BR11" s="18"/>
      <c r="CG11" s="16">
        <f t="shared" si="8"/>
        <v>0</v>
      </c>
      <c r="CH11" s="16">
        <f t="shared" si="9"/>
        <v>0</v>
      </c>
      <c r="CI11" s="18"/>
      <c r="CX11" s="16">
        <f t="shared" si="10"/>
        <v>0</v>
      </c>
      <c r="CY11" s="16">
        <f t="shared" si="11"/>
        <v>0</v>
      </c>
      <c r="CZ11" s="18"/>
      <c r="DO11" s="16">
        <f t="shared" si="12"/>
        <v>0</v>
      </c>
      <c r="DP11" s="16">
        <f t="shared" si="13"/>
        <v>0</v>
      </c>
      <c r="DQ11" s="18"/>
      <c r="EF11" s="16">
        <f t="shared" si="14"/>
        <v>0</v>
      </c>
      <c r="EG11" s="16">
        <f t="shared" si="15"/>
        <v>0</v>
      </c>
      <c r="EH11" s="18"/>
      <c r="EW11" s="16">
        <f t="shared" si="16"/>
        <v>0</v>
      </c>
      <c r="EX11" s="16">
        <f t="shared" si="17"/>
        <v>0</v>
      </c>
      <c r="EY11" s="18"/>
      <c r="FN11" s="16">
        <f t="shared" si="18"/>
        <v>0</v>
      </c>
      <c r="FO11" s="16">
        <f t="shared" si="19"/>
        <v>0</v>
      </c>
      <c r="FP11" s="18"/>
      <c r="GE11" s="16">
        <f t="shared" si="20"/>
        <v>0</v>
      </c>
      <c r="GF11" s="16">
        <f t="shared" si="21"/>
        <v>0</v>
      </c>
      <c r="GG11" s="18"/>
      <c r="GV11" s="16">
        <f t="shared" si="22"/>
        <v>0</v>
      </c>
      <c r="GW11" s="16">
        <f t="shared" si="23"/>
        <v>0</v>
      </c>
      <c r="GX11" s="18"/>
      <c r="HM11" s="16">
        <f t="shared" si="24"/>
        <v>0</v>
      </c>
      <c r="HN11" s="16">
        <f t="shared" si="25"/>
        <v>0</v>
      </c>
      <c r="HO11" s="18"/>
      <c r="ID11" s="16">
        <f t="shared" si="26"/>
        <v>0</v>
      </c>
      <c r="IE11" s="16">
        <f t="shared" si="27"/>
        <v>0</v>
      </c>
      <c r="IF11" s="18"/>
      <c r="IU11" s="16">
        <f t="shared" si="28"/>
        <v>0</v>
      </c>
      <c r="IV11" s="16">
        <f t="shared" si="29"/>
        <v>0</v>
      </c>
    </row>
    <row r="12" spans="1:256" s="16" customFormat="1" x14ac:dyDescent="0.25">
      <c r="A12" s="15" t="s">
        <v>40</v>
      </c>
      <c r="B12" s="31"/>
      <c r="C12" s="16">
        <v>1</v>
      </c>
      <c r="Q12" s="16">
        <f t="shared" si="0"/>
        <v>0</v>
      </c>
      <c r="R12" s="16">
        <f t="shared" si="1"/>
        <v>1</v>
      </c>
      <c r="S12" s="17"/>
      <c r="AH12" s="16">
        <f t="shared" si="2"/>
        <v>0</v>
      </c>
      <c r="AI12" s="16">
        <f t="shared" si="3"/>
        <v>0</v>
      </c>
      <c r="AJ12" s="18"/>
      <c r="AY12" s="16">
        <f t="shared" si="4"/>
        <v>0</v>
      </c>
      <c r="AZ12" s="16">
        <f t="shared" si="5"/>
        <v>0</v>
      </c>
      <c r="BA12" s="18"/>
      <c r="BP12" s="16">
        <f t="shared" si="6"/>
        <v>0</v>
      </c>
      <c r="BQ12" s="16">
        <f t="shared" si="7"/>
        <v>0</v>
      </c>
      <c r="BR12" s="18"/>
      <c r="CG12" s="16">
        <f t="shared" si="8"/>
        <v>0</v>
      </c>
      <c r="CH12" s="16">
        <f t="shared" si="9"/>
        <v>0</v>
      </c>
      <c r="CI12" s="18"/>
      <c r="CX12" s="16">
        <f t="shared" si="10"/>
        <v>0</v>
      </c>
      <c r="CY12" s="16">
        <f t="shared" si="11"/>
        <v>0</v>
      </c>
      <c r="CZ12" s="18"/>
      <c r="DO12" s="16">
        <f t="shared" si="12"/>
        <v>0</v>
      </c>
      <c r="DP12" s="16">
        <f t="shared" si="13"/>
        <v>0</v>
      </c>
      <c r="DQ12" s="18"/>
      <c r="EF12" s="16">
        <f t="shared" si="14"/>
        <v>0</v>
      </c>
      <c r="EG12" s="16">
        <f t="shared" si="15"/>
        <v>0</v>
      </c>
      <c r="EH12" s="18"/>
      <c r="EW12" s="16">
        <f t="shared" si="16"/>
        <v>0</v>
      </c>
      <c r="EX12" s="16">
        <f t="shared" si="17"/>
        <v>0</v>
      </c>
      <c r="EY12" s="18"/>
      <c r="FN12" s="16">
        <f t="shared" si="18"/>
        <v>0</v>
      </c>
      <c r="FO12" s="16">
        <f t="shared" si="19"/>
        <v>0</v>
      </c>
      <c r="FP12" s="18"/>
      <c r="GE12" s="16">
        <f t="shared" si="20"/>
        <v>0</v>
      </c>
      <c r="GF12" s="16">
        <f t="shared" si="21"/>
        <v>0</v>
      </c>
      <c r="GG12" s="18"/>
      <c r="GV12" s="16">
        <f t="shared" si="22"/>
        <v>0</v>
      </c>
      <c r="GW12" s="16">
        <f t="shared" si="23"/>
        <v>0</v>
      </c>
      <c r="GX12" s="18"/>
      <c r="HM12" s="16">
        <f t="shared" si="24"/>
        <v>0</v>
      </c>
      <c r="HN12" s="16">
        <f t="shared" si="25"/>
        <v>0</v>
      </c>
      <c r="HO12" s="18"/>
      <c r="ID12" s="16">
        <f t="shared" si="26"/>
        <v>0</v>
      </c>
      <c r="IE12" s="16">
        <f t="shared" si="27"/>
        <v>0</v>
      </c>
      <c r="IF12" s="18"/>
      <c r="IU12" s="16">
        <f t="shared" si="28"/>
        <v>0</v>
      </c>
      <c r="IV12" s="16">
        <f t="shared" si="29"/>
        <v>0</v>
      </c>
    </row>
    <row r="13" spans="1:256" s="16" customFormat="1" x14ac:dyDescent="0.25">
      <c r="A13" s="15" t="s">
        <v>41</v>
      </c>
      <c r="B13" s="31"/>
      <c r="C13" s="16">
        <v>2</v>
      </c>
      <c r="J13" s="16">
        <v>1</v>
      </c>
      <c r="Q13" s="16">
        <f t="shared" si="0"/>
        <v>0</v>
      </c>
      <c r="R13" s="16">
        <f t="shared" si="1"/>
        <v>2</v>
      </c>
      <c r="S13" s="17"/>
      <c r="AH13" s="16">
        <f t="shared" si="2"/>
        <v>0</v>
      </c>
      <c r="AI13" s="16">
        <f t="shared" si="3"/>
        <v>0</v>
      </c>
      <c r="AJ13" s="18"/>
      <c r="AY13" s="16">
        <f t="shared" si="4"/>
        <v>0</v>
      </c>
      <c r="AZ13" s="16">
        <f t="shared" si="5"/>
        <v>0</v>
      </c>
      <c r="BA13" s="18"/>
      <c r="BP13" s="16">
        <f t="shared" si="6"/>
        <v>0</v>
      </c>
      <c r="BQ13" s="16">
        <f t="shared" si="7"/>
        <v>0</v>
      </c>
      <c r="BR13" s="18"/>
      <c r="CG13" s="16">
        <f t="shared" si="8"/>
        <v>0</v>
      </c>
      <c r="CH13" s="16">
        <f t="shared" si="9"/>
        <v>0</v>
      </c>
      <c r="CI13" s="18"/>
      <c r="CX13" s="16">
        <f t="shared" si="10"/>
        <v>0</v>
      </c>
      <c r="CY13" s="16">
        <f t="shared" si="11"/>
        <v>0</v>
      </c>
      <c r="CZ13" s="18"/>
      <c r="DO13" s="16">
        <f t="shared" si="12"/>
        <v>0</v>
      </c>
      <c r="DP13" s="16">
        <f t="shared" si="13"/>
        <v>0</v>
      </c>
      <c r="DQ13" s="18"/>
      <c r="EF13" s="16">
        <f t="shared" si="14"/>
        <v>0</v>
      </c>
      <c r="EG13" s="16">
        <f t="shared" si="15"/>
        <v>0</v>
      </c>
      <c r="EH13" s="18"/>
      <c r="EW13" s="16">
        <f t="shared" si="16"/>
        <v>0</v>
      </c>
      <c r="EX13" s="16">
        <f t="shared" si="17"/>
        <v>0</v>
      </c>
      <c r="EY13" s="18"/>
      <c r="FN13" s="16">
        <f t="shared" si="18"/>
        <v>0</v>
      </c>
      <c r="FO13" s="16">
        <f t="shared" si="19"/>
        <v>0</v>
      </c>
      <c r="FP13" s="18"/>
      <c r="GE13" s="16">
        <f t="shared" si="20"/>
        <v>0</v>
      </c>
      <c r="GF13" s="16">
        <f t="shared" si="21"/>
        <v>0</v>
      </c>
      <c r="GG13" s="18"/>
      <c r="GV13" s="16">
        <f t="shared" si="22"/>
        <v>0</v>
      </c>
      <c r="GW13" s="16">
        <f t="shared" si="23"/>
        <v>0</v>
      </c>
      <c r="GX13" s="18"/>
      <c r="HM13" s="16">
        <f t="shared" si="24"/>
        <v>0</v>
      </c>
      <c r="HN13" s="16">
        <f t="shared" si="25"/>
        <v>0</v>
      </c>
      <c r="HO13" s="18"/>
      <c r="ID13" s="16">
        <f t="shared" si="26"/>
        <v>0</v>
      </c>
      <c r="IE13" s="16">
        <f t="shared" si="27"/>
        <v>0</v>
      </c>
      <c r="IF13" s="18"/>
      <c r="IU13" s="16">
        <f t="shared" si="28"/>
        <v>0</v>
      </c>
      <c r="IV13" s="16">
        <f t="shared" si="29"/>
        <v>0</v>
      </c>
    </row>
    <row r="14" spans="1:256" s="16" customFormat="1" x14ac:dyDescent="0.25">
      <c r="A14" s="15" t="s">
        <v>42</v>
      </c>
      <c r="B14" s="31"/>
      <c r="C14" s="16">
        <v>3</v>
      </c>
      <c r="D14" s="16">
        <v>2</v>
      </c>
      <c r="E14" s="16">
        <v>2</v>
      </c>
      <c r="I14" s="16">
        <v>1</v>
      </c>
      <c r="J14" s="16">
        <v>1</v>
      </c>
      <c r="L14" s="16">
        <v>1</v>
      </c>
      <c r="Q14" s="16">
        <f t="shared" si="0"/>
        <v>2</v>
      </c>
      <c r="R14" s="16">
        <f t="shared" si="1"/>
        <v>3</v>
      </c>
      <c r="S14" s="17"/>
      <c r="AH14" s="16">
        <f t="shared" si="2"/>
        <v>0</v>
      </c>
      <c r="AI14" s="16">
        <f t="shared" si="3"/>
        <v>0</v>
      </c>
      <c r="AJ14" s="18"/>
      <c r="AY14" s="16">
        <f t="shared" si="4"/>
        <v>0</v>
      </c>
      <c r="AZ14" s="16">
        <f t="shared" si="5"/>
        <v>0</v>
      </c>
      <c r="BA14" s="18"/>
      <c r="BP14" s="16">
        <f t="shared" si="6"/>
        <v>0</v>
      </c>
      <c r="BQ14" s="16">
        <f t="shared" si="7"/>
        <v>0</v>
      </c>
      <c r="BR14" s="18"/>
      <c r="CG14" s="16">
        <f t="shared" si="8"/>
        <v>0</v>
      </c>
      <c r="CH14" s="16">
        <f t="shared" si="9"/>
        <v>0</v>
      </c>
      <c r="CI14" s="18"/>
      <c r="CX14" s="16">
        <f t="shared" si="10"/>
        <v>0</v>
      </c>
      <c r="CY14" s="16">
        <f t="shared" si="11"/>
        <v>0</v>
      </c>
      <c r="CZ14" s="18"/>
      <c r="DO14" s="16">
        <f t="shared" si="12"/>
        <v>0</v>
      </c>
      <c r="DP14" s="16">
        <f t="shared" si="13"/>
        <v>0</v>
      </c>
      <c r="DQ14" s="18"/>
      <c r="EF14" s="16">
        <f t="shared" si="14"/>
        <v>0</v>
      </c>
      <c r="EG14" s="16">
        <f t="shared" si="15"/>
        <v>0</v>
      </c>
      <c r="EH14" s="18"/>
      <c r="EW14" s="16">
        <f t="shared" si="16"/>
        <v>0</v>
      </c>
      <c r="EX14" s="16">
        <f t="shared" si="17"/>
        <v>0</v>
      </c>
      <c r="EY14" s="18"/>
      <c r="FN14" s="16">
        <f t="shared" si="18"/>
        <v>0</v>
      </c>
      <c r="FO14" s="16">
        <f t="shared" si="19"/>
        <v>0</v>
      </c>
      <c r="FP14" s="18"/>
      <c r="GE14" s="16">
        <f t="shared" si="20"/>
        <v>0</v>
      </c>
      <c r="GF14" s="16">
        <f t="shared" si="21"/>
        <v>0</v>
      </c>
      <c r="GG14" s="18"/>
      <c r="GV14" s="16">
        <f t="shared" si="22"/>
        <v>0</v>
      </c>
      <c r="GW14" s="16">
        <f t="shared" si="23"/>
        <v>0</v>
      </c>
      <c r="GX14" s="18"/>
      <c r="HM14" s="16">
        <f t="shared" si="24"/>
        <v>0</v>
      </c>
      <c r="HN14" s="16">
        <f t="shared" si="25"/>
        <v>0</v>
      </c>
      <c r="HO14" s="18"/>
      <c r="ID14" s="16">
        <f t="shared" si="26"/>
        <v>0</v>
      </c>
      <c r="IE14" s="16">
        <f t="shared" si="27"/>
        <v>0</v>
      </c>
      <c r="IF14" s="18"/>
      <c r="IU14" s="16">
        <f t="shared" si="28"/>
        <v>0</v>
      </c>
      <c r="IV14" s="16">
        <f t="shared" si="29"/>
        <v>0</v>
      </c>
    </row>
    <row r="15" spans="1:256" s="16" customFormat="1" x14ac:dyDescent="0.25">
      <c r="A15" s="15" t="s">
        <v>43</v>
      </c>
      <c r="B15" s="31"/>
      <c r="C15" s="16">
        <v>3</v>
      </c>
      <c r="D15" s="16">
        <v>1</v>
      </c>
      <c r="E15" s="16">
        <v>2</v>
      </c>
      <c r="G15" s="16">
        <v>1</v>
      </c>
      <c r="Q15" s="16">
        <f t="shared" si="0"/>
        <v>4</v>
      </c>
      <c r="R15" s="16">
        <f t="shared" si="1"/>
        <v>3</v>
      </c>
      <c r="S15" s="17"/>
      <c r="AH15" s="16">
        <f t="shared" si="2"/>
        <v>0</v>
      </c>
      <c r="AI15" s="16">
        <f t="shared" si="3"/>
        <v>0</v>
      </c>
      <c r="AJ15" s="18"/>
      <c r="AY15" s="16">
        <f t="shared" si="4"/>
        <v>0</v>
      </c>
      <c r="AZ15" s="16">
        <f t="shared" si="5"/>
        <v>0</v>
      </c>
      <c r="BA15" s="18"/>
      <c r="BP15" s="16">
        <f t="shared" si="6"/>
        <v>0</v>
      </c>
      <c r="BQ15" s="16">
        <f t="shared" si="7"/>
        <v>0</v>
      </c>
      <c r="BR15" s="18"/>
      <c r="CG15" s="16">
        <f t="shared" si="8"/>
        <v>0</v>
      </c>
      <c r="CH15" s="16">
        <f t="shared" si="9"/>
        <v>0</v>
      </c>
      <c r="CI15" s="18"/>
      <c r="CX15" s="16">
        <f t="shared" si="10"/>
        <v>0</v>
      </c>
      <c r="CY15" s="16">
        <f t="shared" si="11"/>
        <v>0</v>
      </c>
      <c r="CZ15" s="18"/>
      <c r="DO15" s="16">
        <f t="shared" si="12"/>
        <v>0</v>
      </c>
      <c r="DP15" s="16">
        <f t="shared" si="13"/>
        <v>0</v>
      </c>
      <c r="DQ15" s="18"/>
      <c r="EF15" s="16">
        <f t="shared" si="14"/>
        <v>0</v>
      </c>
      <c r="EG15" s="16">
        <f t="shared" si="15"/>
        <v>0</v>
      </c>
      <c r="EH15" s="18"/>
      <c r="EW15" s="16">
        <f t="shared" si="16"/>
        <v>0</v>
      </c>
      <c r="EX15" s="16">
        <f t="shared" si="17"/>
        <v>0</v>
      </c>
      <c r="EY15" s="18"/>
      <c r="FN15" s="16">
        <f t="shared" si="18"/>
        <v>0</v>
      </c>
      <c r="FO15" s="16">
        <f t="shared" si="19"/>
        <v>0</v>
      </c>
      <c r="FP15" s="18"/>
      <c r="GE15" s="16">
        <f t="shared" si="20"/>
        <v>0</v>
      </c>
      <c r="GF15" s="16">
        <f t="shared" si="21"/>
        <v>0</v>
      </c>
      <c r="GG15" s="18"/>
      <c r="GV15" s="16">
        <f t="shared" si="22"/>
        <v>0</v>
      </c>
      <c r="GW15" s="16">
        <f t="shared" si="23"/>
        <v>0</v>
      </c>
      <c r="GX15" s="18"/>
      <c r="HM15" s="16">
        <f t="shared" si="24"/>
        <v>0</v>
      </c>
      <c r="HN15" s="16">
        <f t="shared" si="25"/>
        <v>0</v>
      </c>
      <c r="HO15" s="18"/>
      <c r="ID15" s="16">
        <f t="shared" si="26"/>
        <v>0</v>
      </c>
      <c r="IE15" s="16">
        <f t="shared" si="27"/>
        <v>0</v>
      </c>
      <c r="IF15" s="18"/>
      <c r="IU15" s="16">
        <f t="shared" si="28"/>
        <v>0</v>
      </c>
      <c r="IV15" s="16">
        <f t="shared" si="29"/>
        <v>0</v>
      </c>
    </row>
    <row r="16" spans="1:256" s="16" customFormat="1" x14ac:dyDescent="0.25">
      <c r="A16" s="15" t="s">
        <v>44</v>
      </c>
      <c r="B16" s="31"/>
      <c r="C16" s="16">
        <v>3</v>
      </c>
      <c r="D16" s="16">
        <v>2</v>
      </c>
      <c r="E16" s="16">
        <v>2</v>
      </c>
      <c r="F16" s="16">
        <v>1</v>
      </c>
      <c r="I16" s="16">
        <v>2</v>
      </c>
      <c r="J16" s="16">
        <v>1</v>
      </c>
      <c r="L16" s="16">
        <v>3</v>
      </c>
      <c r="Q16" s="16">
        <f t="shared" si="0"/>
        <v>3</v>
      </c>
      <c r="R16" s="16">
        <f t="shared" si="1"/>
        <v>3</v>
      </c>
      <c r="S16" s="17"/>
      <c r="AH16" s="16">
        <f t="shared" si="2"/>
        <v>0</v>
      </c>
      <c r="AI16" s="16">
        <f t="shared" si="3"/>
        <v>0</v>
      </c>
      <c r="AJ16" s="18"/>
      <c r="AY16" s="16">
        <f t="shared" si="4"/>
        <v>0</v>
      </c>
      <c r="AZ16" s="16">
        <f t="shared" si="5"/>
        <v>0</v>
      </c>
      <c r="BA16" s="18"/>
      <c r="BP16" s="16">
        <f t="shared" si="6"/>
        <v>0</v>
      </c>
      <c r="BQ16" s="16">
        <f t="shared" si="7"/>
        <v>0</v>
      </c>
      <c r="BR16" s="18"/>
      <c r="CG16" s="16">
        <f t="shared" si="8"/>
        <v>0</v>
      </c>
      <c r="CH16" s="16">
        <f t="shared" si="9"/>
        <v>0</v>
      </c>
      <c r="CI16" s="18"/>
      <c r="CX16" s="16">
        <f t="shared" si="10"/>
        <v>0</v>
      </c>
      <c r="CY16" s="16">
        <f t="shared" si="11"/>
        <v>0</v>
      </c>
      <c r="CZ16" s="18"/>
      <c r="DO16" s="16">
        <f t="shared" si="12"/>
        <v>0</v>
      </c>
      <c r="DP16" s="16">
        <f t="shared" si="13"/>
        <v>0</v>
      </c>
      <c r="DQ16" s="18"/>
      <c r="EF16" s="16">
        <f t="shared" si="14"/>
        <v>0</v>
      </c>
      <c r="EG16" s="16">
        <f t="shared" si="15"/>
        <v>0</v>
      </c>
      <c r="EH16" s="18"/>
      <c r="EW16" s="16">
        <f t="shared" si="16"/>
        <v>0</v>
      </c>
      <c r="EX16" s="16">
        <f t="shared" si="17"/>
        <v>0</v>
      </c>
      <c r="EY16" s="18"/>
      <c r="FN16" s="16">
        <f t="shared" si="18"/>
        <v>0</v>
      </c>
      <c r="FO16" s="16">
        <f t="shared" si="19"/>
        <v>0</v>
      </c>
      <c r="FP16" s="18"/>
      <c r="GE16" s="16">
        <f t="shared" si="20"/>
        <v>0</v>
      </c>
      <c r="GF16" s="16">
        <f t="shared" si="21"/>
        <v>0</v>
      </c>
      <c r="GG16" s="18"/>
      <c r="GV16" s="16">
        <f t="shared" si="22"/>
        <v>0</v>
      </c>
      <c r="GW16" s="16">
        <f t="shared" si="23"/>
        <v>0</v>
      </c>
      <c r="GX16" s="18"/>
      <c r="HM16" s="16">
        <f t="shared" si="24"/>
        <v>0</v>
      </c>
      <c r="HN16" s="16">
        <f t="shared" si="25"/>
        <v>0</v>
      </c>
      <c r="HO16" s="18"/>
      <c r="ID16" s="16">
        <f t="shared" si="26"/>
        <v>0</v>
      </c>
      <c r="IE16" s="16">
        <f t="shared" si="27"/>
        <v>0</v>
      </c>
      <c r="IF16" s="18"/>
      <c r="IU16" s="16">
        <f t="shared" si="28"/>
        <v>0</v>
      </c>
      <c r="IV16" s="16">
        <f t="shared" si="29"/>
        <v>0</v>
      </c>
    </row>
    <row r="17" spans="1:256" s="16" customFormat="1" x14ac:dyDescent="0.25">
      <c r="A17" s="19" t="s">
        <v>45</v>
      </c>
      <c r="B17" s="31"/>
      <c r="C17" s="16">
        <v>2</v>
      </c>
      <c r="D17" s="16">
        <v>1</v>
      </c>
      <c r="J17" s="16">
        <v>1</v>
      </c>
      <c r="K17" s="16">
        <v>1</v>
      </c>
      <c r="L17" s="16">
        <v>1</v>
      </c>
      <c r="Q17" s="16">
        <f t="shared" si="0"/>
        <v>0</v>
      </c>
      <c r="R17" s="16">
        <f t="shared" si="1"/>
        <v>3</v>
      </c>
      <c r="S17" s="17"/>
      <c r="AH17" s="16">
        <f t="shared" si="2"/>
        <v>0</v>
      </c>
      <c r="AI17" s="16">
        <f t="shared" si="3"/>
        <v>0</v>
      </c>
      <c r="AJ17" s="18"/>
      <c r="AY17" s="16">
        <f t="shared" si="4"/>
        <v>0</v>
      </c>
      <c r="AZ17" s="16">
        <f t="shared" si="5"/>
        <v>0</v>
      </c>
      <c r="BA17" s="18"/>
      <c r="BP17" s="16">
        <f t="shared" si="6"/>
        <v>0</v>
      </c>
      <c r="BQ17" s="16">
        <f t="shared" si="7"/>
        <v>0</v>
      </c>
      <c r="BR17" s="18"/>
      <c r="CG17" s="16">
        <f t="shared" si="8"/>
        <v>0</v>
      </c>
      <c r="CH17" s="16">
        <f t="shared" si="9"/>
        <v>0</v>
      </c>
      <c r="CI17" s="18"/>
      <c r="CX17" s="16">
        <f t="shared" si="10"/>
        <v>0</v>
      </c>
      <c r="CY17" s="16">
        <f t="shared" si="11"/>
        <v>0</v>
      </c>
      <c r="CZ17" s="18"/>
      <c r="DO17" s="16">
        <f t="shared" si="12"/>
        <v>0</v>
      </c>
      <c r="DP17" s="16">
        <f t="shared" si="13"/>
        <v>0</v>
      </c>
      <c r="DQ17" s="18"/>
      <c r="EF17" s="16">
        <f t="shared" si="14"/>
        <v>0</v>
      </c>
      <c r="EG17" s="16">
        <f t="shared" si="15"/>
        <v>0</v>
      </c>
      <c r="EH17" s="18"/>
      <c r="EW17" s="16">
        <f t="shared" si="16"/>
        <v>0</v>
      </c>
      <c r="EX17" s="16">
        <f t="shared" si="17"/>
        <v>0</v>
      </c>
      <c r="EY17" s="18"/>
      <c r="FN17" s="16">
        <f t="shared" si="18"/>
        <v>0</v>
      </c>
      <c r="FO17" s="16">
        <f t="shared" si="19"/>
        <v>0</v>
      </c>
      <c r="FP17" s="18"/>
      <c r="GE17" s="16">
        <f t="shared" si="20"/>
        <v>0</v>
      </c>
      <c r="GF17" s="16">
        <f t="shared" si="21"/>
        <v>0</v>
      </c>
      <c r="GG17" s="18"/>
      <c r="GV17" s="16">
        <f t="shared" si="22"/>
        <v>0</v>
      </c>
      <c r="GW17" s="16">
        <f t="shared" si="23"/>
        <v>0</v>
      </c>
      <c r="GX17" s="18"/>
      <c r="HM17" s="16">
        <f t="shared" si="24"/>
        <v>0</v>
      </c>
      <c r="HN17" s="16">
        <f t="shared" si="25"/>
        <v>0</v>
      </c>
      <c r="HO17" s="18"/>
      <c r="ID17" s="16">
        <f t="shared" si="26"/>
        <v>0</v>
      </c>
      <c r="IE17" s="16">
        <f t="shared" si="27"/>
        <v>0</v>
      </c>
      <c r="IF17" s="18"/>
      <c r="IU17" s="16">
        <f t="shared" si="28"/>
        <v>0</v>
      </c>
      <c r="IV17" s="16">
        <f t="shared" si="29"/>
        <v>0</v>
      </c>
    </row>
    <row r="18" spans="1:256" s="16" customFormat="1" x14ac:dyDescent="0.25">
      <c r="A18" s="19" t="s">
        <v>46</v>
      </c>
      <c r="B18" s="31"/>
      <c r="Q18" s="16">
        <f t="shared" si="0"/>
        <v>0</v>
      </c>
      <c r="R18" s="16">
        <f t="shared" si="1"/>
        <v>0</v>
      </c>
      <c r="S18" s="17"/>
      <c r="AH18" s="16">
        <f t="shared" si="2"/>
        <v>0</v>
      </c>
      <c r="AI18" s="16">
        <f t="shared" si="3"/>
        <v>0</v>
      </c>
      <c r="AJ18" s="18"/>
      <c r="AY18" s="16">
        <f t="shared" si="4"/>
        <v>0</v>
      </c>
      <c r="AZ18" s="16">
        <f t="shared" si="5"/>
        <v>0</v>
      </c>
      <c r="BA18" s="18"/>
      <c r="BP18" s="16">
        <f t="shared" si="6"/>
        <v>0</v>
      </c>
      <c r="BQ18" s="16">
        <f t="shared" si="7"/>
        <v>0</v>
      </c>
      <c r="BR18" s="18"/>
      <c r="CG18" s="16">
        <f t="shared" si="8"/>
        <v>0</v>
      </c>
      <c r="CH18" s="16">
        <f t="shared" si="9"/>
        <v>0</v>
      </c>
      <c r="CI18" s="18"/>
      <c r="CX18" s="16">
        <f t="shared" si="10"/>
        <v>0</v>
      </c>
      <c r="CY18" s="16">
        <f t="shared" si="11"/>
        <v>0</v>
      </c>
      <c r="CZ18" s="18"/>
      <c r="DO18" s="16">
        <f t="shared" si="12"/>
        <v>0</v>
      </c>
      <c r="DP18" s="16">
        <f t="shared" si="13"/>
        <v>0</v>
      </c>
      <c r="DQ18" s="18"/>
      <c r="EF18" s="16">
        <f t="shared" si="14"/>
        <v>0</v>
      </c>
      <c r="EG18" s="16">
        <f t="shared" si="15"/>
        <v>0</v>
      </c>
      <c r="EH18" s="18"/>
      <c r="EW18" s="16">
        <f t="shared" si="16"/>
        <v>0</v>
      </c>
      <c r="EX18" s="16">
        <f t="shared" si="17"/>
        <v>0</v>
      </c>
      <c r="EY18" s="18"/>
      <c r="FN18" s="16">
        <f t="shared" si="18"/>
        <v>0</v>
      </c>
      <c r="FO18" s="16">
        <f t="shared" si="19"/>
        <v>0</v>
      </c>
      <c r="FP18" s="18"/>
      <c r="GE18" s="16">
        <f t="shared" si="20"/>
        <v>0</v>
      </c>
      <c r="GF18" s="16">
        <f t="shared" si="21"/>
        <v>0</v>
      </c>
      <c r="GG18" s="18"/>
      <c r="GV18" s="16">
        <f t="shared" si="22"/>
        <v>0</v>
      </c>
      <c r="GW18" s="16">
        <f t="shared" si="23"/>
        <v>0</v>
      </c>
      <c r="GX18" s="18"/>
      <c r="HM18" s="16">
        <f t="shared" si="24"/>
        <v>0</v>
      </c>
      <c r="HN18" s="16">
        <f t="shared" si="25"/>
        <v>0</v>
      </c>
      <c r="HO18" s="18"/>
      <c r="ID18" s="16">
        <f t="shared" si="26"/>
        <v>0</v>
      </c>
      <c r="IE18" s="16">
        <f t="shared" si="27"/>
        <v>0</v>
      </c>
      <c r="IF18" s="18"/>
      <c r="IU18" s="16">
        <f t="shared" si="28"/>
        <v>0</v>
      </c>
      <c r="IV18" s="16">
        <f t="shared" si="29"/>
        <v>0</v>
      </c>
    </row>
    <row r="19" spans="1:256" s="16" customFormat="1" x14ac:dyDescent="0.25">
      <c r="A19" s="19" t="s">
        <v>47</v>
      </c>
      <c r="B19" s="31"/>
      <c r="Q19" s="16">
        <f t="shared" si="0"/>
        <v>0</v>
      </c>
      <c r="R19" s="16">
        <f t="shared" si="1"/>
        <v>0</v>
      </c>
      <c r="S19" s="17"/>
      <c r="AH19" s="16">
        <f t="shared" si="2"/>
        <v>0</v>
      </c>
      <c r="AI19" s="16">
        <f t="shared" si="3"/>
        <v>0</v>
      </c>
      <c r="AJ19" s="18"/>
      <c r="AY19" s="16">
        <f t="shared" si="4"/>
        <v>0</v>
      </c>
      <c r="AZ19" s="16">
        <f t="shared" si="5"/>
        <v>0</v>
      </c>
      <c r="BA19" s="18"/>
      <c r="BP19" s="16">
        <f t="shared" si="6"/>
        <v>0</v>
      </c>
      <c r="BQ19" s="16">
        <f t="shared" si="7"/>
        <v>0</v>
      </c>
      <c r="BR19" s="18"/>
      <c r="CG19" s="16">
        <f t="shared" si="8"/>
        <v>0</v>
      </c>
      <c r="CH19" s="16">
        <f t="shared" si="9"/>
        <v>0</v>
      </c>
      <c r="CI19" s="18"/>
      <c r="CX19" s="16">
        <f t="shared" si="10"/>
        <v>0</v>
      </c>
      <c r="CY19" s="16">
        <f t="shared" si="11"/>
        <v>0</v>
      </c>
      <c r="CZ19" s="18"/>
      <c r="DO19" s="16">
        <f t="shared" si="12"/>
        <v>0</v>
      </c>
      <c r="DP19" s="16">
        <f t="shared" si="13"/>
        <v>0</v>
      </c>
      <c r="DQ19" s="18"/>
      <c r="EF19" s="16">
        <f t="shared" si="14"/>
        <v>0</v>
      </c>
      <c r="EG19" s="16">
        <f t="shared" si="15"/>
        <v>0</v>
      </c>
      <c r="EH19" s="18"/>
      <c r="EW19" s="16">
        <f t="shared" si="16"/>
        <v>0</v>
      </c>
      <c r="EX19" s="16">
        <f t="shared" si="17"/>
        <v>0</v>
      </c>
      <c r="EY19" s="18"/>
      <c r="FN19" s="16">
        <f t="shared" si="18"/>
        <v>0</v>
      </c>
      <c r="FO19" s="16">
        <f t="shared" si="19"/>
        <v>0</v>
      </c>
      <c r="FP19" s="18"/>
      <c r="GE19" s="16">
        <f t="shared" si="20"/>
        <v>0</v>
      </c>
      <c r="GF19" s="16">
        <f t="shared" si="21"/>
        <v>0</v>
      </c>
      <c r="GG19" s="18"/>
      <c r="GV19" s="16">
        <f t="shared" si="22"/>
        <v>0</v>
      </c>
      <c r="GW19" s="16">
        <f t="shared" si="23"/>
        <v>0</v>
      </c>
      <c r="GX19" s="18"/>
      <c r="HM19" s="16">
        <f t="shared" si="24"/>
        <v>0</v>
      </c>
      <c r="HN19" s="16">
        <f t="shared" si="25"/>
        <v>0</v>
      </c>
      <c r="HO19" s="18"/>
      <c r="ID19" s="16">
        <f t="shared" si="26"/>
        <v>0</v>
      </c>
      <c r="IE19" s="16">
        <f t="shared" si="27"/>
        <v>0</v>
      </c>
      <c r="IF19" s="18"/>
      <c r="IU19" s="16">
        <f t="shared" si="28"/>
        <v>0</v>
      </c>
      <c r="IV19" s="16">
        <f t="shared" si="29"/>
        <v>0</v>
      </c>
    </row>
    <row r="20" spans="1:256" s="16" customFormat="1" x14ac:dyDescent="0.25">
      <c r="A20" s="19"/>
      <c r="B20" s="31"/>
      <c r="Q20" s="16">
        <f t="shared" si="0"/>
        <v>0</v>
      </c>
      <c r="R20" s="16">
        <f t="shared" si="1"/>
        <v>0</v>
      </c>
      <c r="S20" s="17"/>
      <c r="AH20" s="16">
        <f t="shared" si="2"/>
        <v>0</v>
      </c>
      <c r="AI20" s="16">
        <f t="shared" si="3"/>
        <v>0</v>
      </c>
      <c r="AJ20" s="18"/>
      <c r="AY20" s="16">
        <f t="shared" si="4"/>
        <v>0</v>
      </c>
      <c r="AZ20" s="16">
        <f t="shared" si="5"/>
        <v>0</v>
      </c>
      <c r="BA20" s="18"/>
      <c r="BP20" s="16">
        <f t="shared" si="6"/>
        <v>0</v>
      </c>
      <c r="BQ20" s="16">
        <f t="shared" si="7"/>
        <v>0</v>
      </c>
      <c r="BR20" s="18"/>
      <c r="CG20" s="16">
        <f t="shared" si="8"/>
        <v>0</v>
      </c>
      <c r="CH20" s="16">
        <f t="shared" si="9"/>
        <v>0</v>
      </c>
      <c r="CI20" s="18"/>
      <c r="CX20" s="16">
        <f t="shared" si="10"/>
        <v>0</v>
      </c>
      <c r="CY20" s="16">
        <f t="shared" si="11"/>
        <v>0</v>
      </c>
      <c r="CZ20" s="18"/>
      <c r="DO20" s="16">
        <f t="shared" si="12"/>
        <v>0</v>
      </c>
      <c r="DP20" s="16">
        <f t="shared" si="13"/>
        <v>0</v>
      </c>
      <c r="DQ20" s="18"/>
      <c r="EF20" s="16">
        <f t="shared" si="14"/>
        <v>0</v>
      </c>
      <c r="EG20" s="16">
        <f t="shared" si="15"/>
        <v>0</v>
      </c>
      <c r="EH20" s="18"/>
      <c r="EW20" s="16">
        <f t="shared" si="16"/>
        <v>0</v>
      </c>
      <c r="EX20" s="16">
        <f t="shared" si="17"/>
        <v>0</v>
      </c>
      <c r="EY20" s="18"/>
      <c r="FN20" s="16">
        <f t="shared" si="18"/>
        <v>0</v>
      </c>
      <c r="FO20" s="16">
        <f t="shared" si="19"/>
        <v>0</v>
      </c>
      <c r="FP20" s="18"/>
      <c r="GE20" s="16">
        <f t="shared" si="20"/>
        <v>0</v>
      </c>
      <c r="GF20" s="16">
        <f t="shared" si="21"/>
        <v>0</v>
      </c>
      <c r="GG20" s="18"/>
      <c r="GV20" s="16">
        <f t="shared" si="22"/>
        <v>0</v>
      </c>
      <c r="GW20" s="16">
        <f t="shared" si="23"/>
        <v>0</v>
      </c>
      <c r="GX20" s="18"/>
      <c r="HM20" s="16">
        <f t="shared" si="24"/>
        <v>0</v>
      </c>
      <c r="HN20" s="16">
        <f t="shared" si="25"/>
        <v>0</v>
      </c>
      <c r="HO20" s="18"/>
      <c r="ID20" s="16">
        <f t="shared" si="26"/>
        <v>0</v>
      </c>
      <c r="IE20" s="16">
        <f t="shared" si="27"/>
        <v>0</v>
      </c>
      <c r="IF20" s="18"/>
      <c r="IU20" s="16">
        <f t="shared" si="28"/>
        <v>0</v>
      </c>
      <c r="IV20" s="16">
        <f t="shared" si="29"/>
        <v>0</v>
      </c>
    </row>
    <row r="21" spans="1:256" s="16" customFormat="1" x14ac:dyDescent="0.25">
      <c r="A21" s="19"/>
      <c r="B21" s="31"/>
      <c r="Q21" s="16">
        <f t="shared" si="0"/>
        <v>0</v>
      </c>
      <c r="R21" s="16">
        <f t="shared" si="1"/>
        <v>0</v>
      </c>
      <c r="S21" s="17"/>
      <c r="AH21" s="16">
        <f t="shared" si="2"/>
        <v>0</v>
      </c>
      <c r="AI21" s="16">
        <f t="shared" si="3"/>
        <v>0</v>
      </c>
      <c r="AJ21" s="18"/>
      <c r="AY21" s="16">
        <f t="shared" si="4"/>
        <v>0</v>
      </c>
      <c r="AZ21" s="16">
        <f t="shared" si="5"/>
        <v>0</v>
      </c>
      <c r="BA21" s="18"/>
      <c r="BP21" s="16">
        <f t="shared" si="6"/>
        <v>0</v>
      </c>
      <c r="BQ21" s="16">
        <f t="shared" si="7"/>
        <v>0</v>
      </c>
      <c r="BR21" s="18"/>
      <c r="CG21" s="16">
        <f t="shared" si="8"/>
        <v>0</v>
      </c>
      <c r="CH21" s="16">
        <f t="shared" si="9"/>
        <v>0</v>
      </c>
      <c r="CI21" s="18"/>
      <c r="CX21" s="16">
        <f t="shared" si="10"/>
        <v>0</v>
      </c>
      <c r="CY21" s="16">
        <f t="shared" si="11"/>
        <v>0</v>
      </c>
      <c r="CZ21" s="18"/>
      <c r="DO21" s="16">
        <f t="shared" si="12"/>
        <v>0</v>
      </c>
      <c r="DP21" s="16">
        <f t="shared" si="13"/>
        <v>0</v>
      </c>
      <c r="DQ21" s="18"/>
      <c r="EF21" s="16">
        <f t="shared" si="14"/>
        <v>0</v>
      </c>
      <c r="EG21" s="16">
        <f t="shared" si="15"/>
        <v>0</v>
      </c>
      <c r="EH21" s="18"/>
      <c r="EW21" s="16">
        <f t="shared" si="16"/>
        <v>0</v>
      </c>
      <c r="EX21" s="16">
        <f t="shared" si="17"/>
        <v>0</v>
      </c>
      <c r="EY21" s="18"/>
      <c r="FN21" s="16">
        <f t="shared" si="18"/>
        <v>0</v>
      </c>
      <c r="FO21" s="16">
        <f t="shared" si="19"/>
        <v>0</v>
      </c>
      <c r="FP21" s="18"/>
      <c r="GE21" s="16">
        <f t="shared" si="20"/>
        <v>0</v>
      </c>
      <c r="GF21" s="16">
        <f t="shared" si="21"/>
        <v>0</v>
      </c>
      <c r="GG21" s="18"/>
      <c r="GV21" s="16">
        <f t="shared" si="22"/>
        <v>0</v>
      </c>
      <c r="GW21" s="16">
        <f t="shared" si="23"/>
        <v>0</v>
      </c>
      <c r="GX21" s="18"/>
      <c r="HM21" s="16">
        <f t="shared" si="24"/>
        <v>0</v>
      </c>
      <c r="HN21" s="16">
        <f t="shared" si="25"/>
        <v>0</v>
      </c>
      <c r="HO21" s="18"/>
      <c r="ID21" s="16">
        <f t="shared" si="26"/>
        <v>0</v>
      </c>
      <c r="IE21" s="16">
        <f t="shared" si="27"/>
        <v>0</v>
      </c>
      <c r="IF21" s="18"/>
      <c r="IU21" s="16">
        <f t="shared" si="28"/>
        <v>0</v>
      </c>
      <c r="IV21" s="16">
        <f t="shared" si="29"/>
        <v>0</v>
      </c>
    </row>
    <row r="22" spans="1:256" s="16" customFormat="1" x14ac:dyDescent="0.25">
      <c r="A22" s="19"/>
      <c r="B22" s="31"/>
      <c r="Q22" s="16">
        <f t="shared" si="0"/>
        <v>0</v>
      </c>
      <c r="R22" s="16">
        <f t="shared" si="1"/>
        <v>0</v>
      </c>
      <c r="S22" s="17"/>
      <c r="AH22" s="16">
        <f t="shared" si="2"/>
        <v>0</v>
      </c>
      <c r="AI22" s="16">
        <f t="shared" si="3"/>
        <v>0</v>
      </c>
      <c r="AJ22" s="18"/>
      <c r="AY22" s="16">
        <f t="shared" si="4"/>
        <v>0</v>
      </c>
      <c r="AZ22" s="16">
        <f t="shared" si="5"/>
        <v>0</v>
      </c>
      <c r="BA22" s="18"/>
      <c r="BP22" s="16">
        <f t="shared" si="6"/>
        <v>0</v>
      </c>
      <c r="BQ22" s="16">
        <f t="shared" si="7"/>
        <v>0</v>
      </c>
      <c r="BR22" s="18"/>
      <c r="CG22" s="16">
        <f t="shared" si="8"/>
        <v>0</v>
      </c>
      <c r="CH22" s="16">
        <f t="shared" si="9"/>
        <v>0</v>
      </c>
      <c r="CI22" s="18"/>
      <c r="CX22" s="16">
        <f t="shared" si="10"/>
        <v>0</v>
      </c>
      <c r="CY22" s="16">
        <f t="shared" si="11"/>
        <v>0</v>
      </c>
      <c r="CZ22" s="18"/>
      <c r="DO22" s="16">
        <f t="shared" si="12"/>
        <v>0</v>
      </c>
      <c r="DP22" s="16">
        <f t="shared" si="13"/>
        <v>0</v>
      </c>
      <c r="DQ22" s="18"/>
      <c r="EF22" s="16">
        <f t="shared" si="14"/>
        <v>0</v>
      </c>
      <c r="EG22" s="16">
        <f t="shared" si="15"/>
        <v>0</v>
      </c>
      <c r="EH22" s="18"/>
      <c r="EW22" s="16">
        <f t="shared" si="16"/>
        <v>0</v>
      </c>
      <c r="EX22" s="16">
        <f t="shared" si="17"/>
        <v>0</v>
      </c>
      <c r="EY22" s="18"/>
      <c r="FN22" s="16">
        <f t="shared" si="18"/>
        <v>0</v>
      </c>
      <c r="FO22" s="16">
        <f t="shared" si="19"/>
        <v>0</v>
      </c>
      <c r="FP22" s="18"/>
      <c r="GE22" s="16">
        <f t="shared" si="20"/>
        <v>0</v>
      </c>
      <c r="GF22" s="16">
        <f t="shared" si="21"/>
        <v>0</v>
      </c>
      <c r="GG22" s="18"/>
      <c r="GV22" s="16">
        <f t="shared" si="22"/>
        <v>0</v>
      </c>
      <c r="GW22" s="16">
        <f t="shared" si="23"/>
        <v>0</v>
      </c>
      <c r="GX22" s="18"/>
      <c r="HM22" s="16">
        <f t="shared" si="24"/>
        <v>0</v>
      </c>
      <c r="HN22" s="16">
        <f t="shared" si="25"/>
        <v>0</v>
      </c>
      <c r="HO22" s="18"/>
      <c r="ID22" s="16">
        <f t="shared" si="26"/>
        <v>0</v>
      </c>
      <c r="IE22" s="16">
        <f t="shared" si="27"/>
        <v>0</v>
      </c>
      <c r="IF22" s="18"/>
      <c r="IU22" s="16">
        <f t="shared" si="28"/>
        <v>0</v>
      </c>
      <c r="IV22" s="16">
        <f t="shared" si="29"/>
        <v>0</v>
      </c>
    </row>
    <row r="23" spans="1:256" s="16" customFormat="1" x14ac:dyDescent="0.25">
      <c r="A23" s="14"/>
      <c r="B23" s="31"/>
      <c r="Q23" s="16">
        <f t="shared" si="0"/>
        <v>0</v>
      </c>
      <c r="R23" s="16">
        <f t="shared" si="1"/>
        <v>0</v>
      </c>
      <c r="S23" s="17"/>
      <c r="AH23" s="16">
        <f t="shared" si="2"/>
        <v>0</v>
      </c>
      <c r="AI23" s="16">
        <f t="shared" si="3"/>
        <v>0</v>
      </c>
      <c r="AJ23" s="18"/>
      <c r="AY23" s="16">
        <f t="shared" si="4"/>
        <v>0</v>
      </c>
      <c r="AZ23" s="16">
        <f t="shared" si="5"/>
        <v>0</v>
      </c>
      <c r="BA23" s="18"/>
      <c r="BP23" s="16">
        <f t="shared" si="6"/>
        <v>0</v>
      </c>
      <c r="BQ23" s="16">
        <f t="shared" si="7"/>
        <v>0</v>
      </c>
      <c r="BR23" s="18"/>
      <c r="CG23" s="16">
        <f t="shared" si="8"/>
        <v>0</v>
      </c>
      <c r="CH23" s="16">
        <f t="shared" si="9"/>
        <v>0</v>
      </c>
      <c r="CI23" s="18"/>
      <c r="CX23" s="16">
        <f t="shared" si="10"/>
        <v>0</v>
      </c>
      <c r="CY23" s="16">
        <f t="shared" si="11"/>
        <v>0</v>
      </c>
      <c r="CZ23" s="18"/>
      <c r="DO23" s="16">
        <f t="shared" si="12"/>
        <v>0</v>
      </c>
      <c r="DP23" s="16">
        <f t="shared" si="13"/>
        <v>0</v>
      </c>
      <c r="DQ23" s="18"/>
      <c r="EF23" s="16">
        <f t="shared" si="14"/>
        <v>0</v>
      </c>
      <c r="EG23" s="16">
        <f t="shared" si="15"/>
        <v>0</v>
      </c>
      <c r="EH23" s="18"/>
      <c r="EW23" s="16">
        <f t="shared" si="16"/>
        <v>0</v>
      </c>
      <c r="EX23" s="16">
        <f t="shared" si="17"/>
        <v>0</v>
      </c>
      <c r="EY23" s="18"/>
      <c r="FN23" s="16">
        <f t="shared" si="18"/>
        <v>0</v>
      </c>
      <c r="FO23" s="16">
        <f t="shared" si="19"/>
        <v>0</v>
      </c>
      <c r="FP23" s="18"/>
      <c r="GE23" s="16">
        <f t="shared" si="20"/>
        <v>0</v>
      </c>
      <c r="GF23" s="16">
        <f t="shared" si="21"/>
        <v>0</v>
      </c>
      <c r="GG23" s="18"/>
      <c r="GV23" s="16">
        <f t="shared" si="22"/>
        <v>0</v>
      </c>
      <c r="GW23" s="16">
        <f t="shared" si="23"/>
        <v>0</v>
      </c>
      <c r="GX23" s="18"/>
      <c r="HM23" s="16">
        <f t="shared" si="24"/>
        <v>0</v>
      </c>
      <c r="HN23" s="16">
        <f t="shared" si="25"/>
        <v>0</v>
      </c>
      <c r="HO23" s="18"/>
      <c r="ID23" s="16">
        <f t="shared" si="26"/>
        <v>0</v>
      </c>
      <c r="IE23" s="16">
        <f t="shared" si="27"/>
        <v>0</v>
      </c>
      <c r="IF23" s="18"/>
      <c r="IU23" s="16">
        <f t="shared" si="28"/>
        <v>0</v>
      </c>
      <c r="IV23" s="16">
        <f t="shared" si="29"/>
        <v>0</v>
      </c>
    </row>
    <row r="24" spans="1:256" s="16" customFormat="1" x14ac:dyDescent="0.25">
      <c r="A24" s="14"/>
      <c r="B24" s="31"/>
      <c r="Q24" s="16">
        <f t="shared" si="0"/>
        <v>0</v>
      </c>
      <c r="R24" s="16">
        <f t="shared" si="1"/>
        <v>0</v>
      </c>
      <c r="S24" s="17"/>
      <c r="AH24" s="16">
        <f t="shared" si="2"/>
        <v>0</v>
      </c>
      <c r="AI24" s="16">
        <f t="shared" si="3"/>
        <v>0</v>
      </c>
      <c r="AJ24" s="18"/>
      <c r="AY24" s="16">
        <f t="shared" si="4"/>
        <v>0</v>
      </c>
      <c r="AZ24" s="16">
        <f t="shared" si="5"/>
        <v>0</v>
      </c>
      <c r="BA24" s="18"/>
      <c r="BP24" s="16">
        <f t="shared" si="6"/>
        <v>0</v>
      </c>
      <c r="BQ24" s="16">
        <f t="shared" si="7"/>
        <v>0</v>
      </c>
      <c r="BR24" s="18"/>
      <c r="CG24" s="16">
        <f t="shared" si="8"/>
        <v>0</v>
      </c>
      <c r="CH24" s="16">
        <f t="shared" si="9"/>
        <v>0</v>
      </c>
      <c r="CI24" s="18"/>
      <c r="CX24" s="16">
        <f t="shared" si="10"/>
        <v>0</v>
      </c>
      <c r="CY24" s="16">
        <f t="shared" si="11"/>
        <v>0</v>
      </c>
      <c r="CZ24" s="18"/>
      <c r="DO24" s="16">
        <f t="shared" si="12"/>
        <v>0</v>
      </c>
      <c r="DP24" s="16">
        <f t="shared" si="13"/>
        <v>0</v>
      </c>
      <c r="DQ24" s="18"/>
      <c r="EF24" s="16">
        <f t="shared" si="14"/>
        <v>0</v>
      </c>
      <c r="EG24" s="16">
        <f t="shared" si="15"/>
        <v>0</v>
      </c>
      <c r="EH24" s="18"/>
      <c r="EW24" s="16">
        <f t="shared" si="16"/>
        <v>0</v>
      </c>
      <c r="EX24" s="16">
        <f t="shared" si="17"/>
        <v>0</v>
      </c>
      <c r="EY24" s="18"/>
      <c r="FN24" s="16">
        <f t="shared" si="18"/>
        <v>0</v>
      </c>
      <c r="FO24" s="16">
        <f t="shared" si="19"/>
        <v>0</v>
      </c>
      <c r="FP24" s="18"/>
      <c r="GE24" s="16">
        <f t="shared" si="20"/>
        <v>0</v>
      </c>
      <c r="GF24" s="16">
        <f t="shared" si="21"/>
        <v>0</v>
      </c>
      <c r="GG24" s="18"/>
      <c r="GV24" s="16">
        <f t="shared" si="22"/>
        <v>0</v>
      </c>
      <c r="GW24" s="16">
        <f t="shared" si="23"/>
        <v>0</v>
      </c>
      <c r="GX24" s="18"/>
      <c r="HM24" s="16">
        <f t="shared" si="24"/>
        <v>0</v>
      </c>
      <c r="HN24" s="16">
        <f t="shared" si="25"/>
        <v>0</v>
      </c>
      <c r="HO24" s="18"/>
      <c r="ID24" s="16">
        <f t="shared" si="26"/>
        <v>0</v>
      </c>
      <c r="IE24" s="16">
        <f t="shared" si="27"/>
        <v>0</v>
      </c>
      <c r="IF24" s="18"/>
      <c r="IU24" s="16">
        <f t="shared" si="28"/>
        <v>0</v>
      </c>
      <c r="IV24" s="16">
        <f t="shared" si="29"/>
        <v>0</v>
      </c>
    </row>
    <row r="25" spans="1:256" s="16" customFormat="1" x14ac:dyDescent="0.25">
      <c r="A25" s="14"/>
      <c r="B25" s="31"/>
      <c r="Q25" s="16">
        <f t="shared" si="0"/>
        <v>0</v>
      </c>
      <c r="R25" s="16">
        <f t="shared" si="1"/>
        <v>0</v>
      </c>
      <c r="S25" s="17"/>
      <c r="AH25" s="16">
        <f t="shared" si="2"/>
        <v>0</v>
      </c>
      <c r="AI25" s="16">
        <f t="shared" si="3"/>
        <v>0</v>
      </c>
      <c r="AJ25" s="18"/>
      <c r="AY25" s="16">
        <f t="shared" si="4"/>
        <v>0</v>
      </c>
      <c r="AZ25" s="16">
        <f t="shared" si="5"/>
        <v>0</v>
      </c>
      <c r="BA25" s="18"/>
      <c r="BP25" s="16">
        <f t="shared" si="6"/>
        <v>0</v>
      </c>
      <c r="BQ25" s="16">
        <f t="shared" si="7"/>
        <v>0</v>
      </c>
      <c r="BR25" s="18"/>
      <c r="CG25" s="16">
        <f t="shared" si="8"/>
        <v>0</v>
      </c>
      <c r="CH25" s="16">
        <f t="shared" si="9"/>
        <v>0</v>
      </c>
      <c r="CI25" s="18"/>
      <c r="CX25" s="16">
        <f t="shared" si="10"/>
        <v>0</v>
      </c>
      <c r="CY25" s="16">
        <f t="shared" si="11"/>
        <v>0</v>
      </c>
      <c r="CZ25" s="18"/>
      <c r="DO25" s="16">
        <f t="shared" si="12"/>
        <v>0</v>
      </c>
      <c r="DP25" s="16">
        <f t="shared" si="13"/>
        <v>0</v>
      </c>
      <c r="DQ25" s="18"/>
      <c r="EF25" s="16">
        <f t="shared" si="14"/>
        <v>0</v>
      </c>
      <c r="EG25" s="16">
        <f t="shared" si="15"/>
        <v>0</v>
      </c>
      <c r="EH25" s="18"/>
      <c r="EW25" s="16">
        <f t="shared" si="16"/>
        <v>0</v>
      </c>
      <c r="EX25" s="16">
        <f t="shared" si="17"/>
        <v>0</v>
      </c>
      <c r="EY25" s="18"/>
      <c r="FN25" s="16">
        <f t="shared" si="18"/>
        <v>0</v>
      </c>
      <c r="FO25" s="16">
        <f t="shared" si="19"/>
        <v>0</v>
      </c>
      <c r="FP25" s="18"/>
      <c r="GE25" s="16">
        <f t="shared" si="20"/>
        <v>0</v>
      </c>
      <c r="GF25" s="16">
        <f t="shared" si="21"/>
        <v>0</v>
      </c>
      <c r="GG25" s="18"/>
      <c r="GV25" s="16">
        <f t="shared" si="22"/>
        <v>0</v>
      </c>
      <c r="GW25" s="16">
        <f t="shared" si="23"/>
        <v>0</v>
      </c>
      <c r="GX25" s="18"/>
      <c r="HM25" s="16">
        <f t="shared" si="24"/>
        <v>0</v>
      </c>
      <c r="HN25" s="16">
        <f t="shared" si="25"/>
        <v>0</v>
      </c>
      <c r="HO25" s="18"/>
      <c r="ID25" s="16">
        <f t="shared" si="26"/>
        <v>0</v>
      </c>
      <c r="IE25" s="16">
        <f t="shared" si="27"/>
        <v>0</v>
      </c>
      <c r="IF25" s="18"/>
      <c r="IU25" s="16">
        <f t="shared" si="28"/>
        <v>0</v>
      </c>
      <c r="IV25" s="16">
        <f t="shared" si="29"/>
        <v>0</v>
      </c>
    </row>
    <row r="26" spans="1:256" s="20" customFormat="1" ht="13.8" thickBot="1" x14ac:dyDescent="0.3">
      <c r="A26" s="14"/>
      <c r="B26" s="31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>
        <f t="shared" si="0"/>
        <v>0</v>
      </c>
      <c r="R26" s="16">
        <f t="shared" si="1"/>
        <v>0</v>
      </c>
      <c r="S26" s="17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>
        <f t="shared" si="2"/>
        <v>0</v>
      </c>
      <c r="AI26" s="16">
        <f t="shared" si="3"/>
        <v>0</v>
      </c>
      <c r="AJ26" s="18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>
        <f t="shared" si="4"/>
        <v>0</v>
      </c>
      <c r="AZ26" s="16">
        <f t="shared" si="5"/>
        <v>0</v>
      </c>
      <c r="BA26" s="18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>
        <f t="shared" si="6"/>
        <v>0</v>
      </c>
      <c r="BQ26" s="16">
        <f t="shared" si="7"/>
        <v>0</v>
      </c>
      <c r="BR26" s="18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>
        <f t="shared" si="8"/>
        <v>0</v>
      </c>
      <c r="CH26" s="16">
        <f t="shared" si="9"/>
        <v>0</v>
      </c>
      <c r="CI26" s="18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>
        <f t="shared" si="10"/>
        <v>0</v>
      </c>
      <c r="CY26" s="16">
        <f t="shared" si="11"/>
        <v>0</v>
      </c>
      <c r="CZ26" s="18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>
        <f t="shared" si="12"/>
        <v>0</v>
      </c>
      <c r="DP26" s="16">
        <f t="shared" si="13"/>
        <v>0</v>
      </c>
      <c r="DQ26" s="18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>
        <f t="shared" si="14"/>
        <v>0</v>
      </c>
      <c r="EG26" s="16">
        <f t="shared" si="15"/>
        <v>0</v>
      </c>
      <c r="EH26" s="18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>
        <f t="shared" si="16"/>
        <v>0</v>
      </c>
      <c r="EX26" s="16">
        <f t="shared" si="17"/>
        <v>0</v>
      </c>
      <c r="EY26" s="18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>
        <f t="shared" si="18"/>
        <v>0</v>
      </c>
      <c r="FO26" s="16">
        <f t="shared" si="19"/>
        <v>0</v>
      </c>
      <c r="FP26" s="18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>
        <f t="shared" si="20"/>
        <v>0</v>
      </c>
      <c r="GF26" s="16">
        <f t="shared" si="21"/>
        <v>0</v>
      </c>
      <c r="GG26" s="18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>
        <f t="shared" si="22"/>
        <v>0</v>
      </c>
      <c r="GW26" s="16">
        <f t="shared" si="23"/>
        <v>0</v>
      </c>
      <c r="GX26" s="18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>
        <f t="shared" si="24"/>
        <v>0</v>
      </c>
      <c r="HN26" s="16">
        <f t="shared" si="25"/>
        <v>0</v>
      </c>
      <c r="HO26" s="18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>
        <f t="shared" si="26"/>
        <v>0</v>
      </c>
      <c r="IE26" s="16">
        <f t="shared" si="27"/>
        <v>0</v>
      </c>
      <c r="IF26" s="18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>
        <f t="shared" si="28"/>
        <v>0</v>
      </c>
      <c r="IV26" s="16">
        <f t="shared" si="29"/>
        <v>0</v>
      </c>
    </row>
    <row r="27" spans="1:256" s="22" customFormat="1" ht="13.8" thickBot="1" x14ac:dyDescent="0.3">
      <c r="A27" s="64" t="s">
        <v>48</v>
      </c>
      <c r="B27" s="64"/>
      <c r="C27" s="21">
        <f>SUM(C8:C26)</f>
        <v>25</v>
      </c>
      <c r="D27" s="21">
        <f t="shared" ref="D27:P27" si="30">SUM(D8:D26)</f>
        <v>10</v>
      </c>
      <c r="E27" s="21">
        <f t="shared" si="30"/>
        <v>9</v>
      </c>
      <c r="F27" s="21">
        <f t="shared" si="30"/>
        <v>2</v>
      </c>
      <c r="G27" s="21">
        <f t="shared" si="30"/>
        <v>1</v>
      </c>
      <c r="H27" s="21">
        <f t="shared" si="30"/>
        <v>0</v>
      </c>
      <c r="I27" s="21">
        <f t="shared" si="30"/>
        <v>4</v>
      </c>
      <c r="J27" s="21">
        <f t="shared" si="30"/>
        <v>4</v>
      </c>
      <c r="K27" s="21">
        <f t="shared" si="30"/>
        <v>5</v>
      </c>
      <c r="L27" s="21">
        <f t="shared" si="30"/>
        <v>9</v>
      </c>
      <c r="M27" s="21">
        <f t="shared" si="30"/>
        <v>0</v>
      </c>
      <c r="N27" s="21">
        <f t="shared" si="30"/>
        <v>0</v>
      </c>
      <c r="O27" s="21">
        <f t="shared" si="30"/>
        <v>0</v>
      </c>
      <c r="P27" s="21">
        <f t="shared" si="30"/>
        <v>0</v>
      </c>
      <c r="Q27" s="21">
        <f>SUM(Q8:Q26)</f>
        <v>13</v>
      </c>
      <c r="R27" s="21">
        <f>SUM(R8:R26)</f>
        <v>30</v>
      </c>
      <c r="T27" s="21">
        <f>SUM(T8:T26)</f>
        <v>0</v>
      </c>
      <c r="U27" s="21">
        <f t="shared" ref="U27:AG27" si="31">SUM(U8:U26)</f>
        <v>0</v>
      </c>
      <c r="V27" s="21">
        <f t="shared" si="31"/>
        <v>0</v>
      </c>
      <c r="W27" s="21">
        <f t="shared" si="31"/>
        <v>0</v>
      </c>
      <c r="X27" s="21">
        <f t="shared" si="31"/>
        <v>0</v>
      </c>
      <c r="Y27" s="21">
        <f t="shared" si="31"/>
        <v>0</v>
      </c>
      <c r="Z27" s="21">
        <f t="shared" si="31"/>
        <v>0</v>
      </c>
      <c r="AA27" s="21">
        <f t="shared" si="31"/>
        <v>0</v>
      </c>
      <c r="AB27" s="21">
        <f t="shared" si="31"/>
        <v>0</v>
      </c>
      <c r="AC27" s="21">
        <f t="shared" si="31"/>
        <v>0</v>
      </c>
      <c r="AD27" s="21">
        <f t="shared" si="31"/>
        <v>0</v>
      </c>
      <c r="AE27" s="21">
        <f t="shared" si="31"/>
        <v>0</v>
      </c>
      <c r="AF27" s="21">
        <f t="shared" si="31"/>
        <v>0</v>
      </c>
      <c r="AG27" s="21">
        <f t="shared" si="31"/>
        <v>0</v>
      </c>
      <c r="AH27" s="21">
        <f>SUM(AH8:AH26)</f>
        <v>0</v>
      </c>
      <c r="AI27" s="21">
        <f>SUM(AI8:AI26)</f>
        <v>0</v>
      </c>
      <c r="AK27" s="21">
        <f>SUM(AK8:AK26)</f>
        <v>0</v>
      </c>
      <c r="AL27" s="21">
        <f t="shared" ref="AL27:AX27" si="32">SUM(AL8:AL26)</f>
        <v>0</v>
      </c>
      <c r="AM27" s="21">
        <f t="shared" si="32"/>
        <v>0</v>
      </c>
      <c r="AN27" s="21">
        <f t="shared" si="32"/>
        <v>0</v>
      </c>
      <c r="AO27" s="21">
        <f t="shared" si="32"/>
        <v>0</v>
      </c>
      <c r="AP27" s="21">
        <f t="shared" si="32"/>
        <v>0</v>
      </c>
      <c r="AQ27" s="21">
        <f t="shared" si="32"/>
        <v>0</v>
      </c>
      <c r="AR27" s="21">
        <f t="shared" si="32"/>
        <v>0</v>
      </c>
      <c r="AS27" s="21">
        <f t="shared" si="32"/>
        <v>0</v>
      </c>
      <c r="AT27" s="21">
        <f t="shared" si="32"/>
        <v>0</v>
      </c>
      <c r="AU27" s="21">
        <f t="shared" si="32"/>
        <v>0</v>
      </c>
      <c r="AV27" s="21">
        <f t="shared" si="32"/>
        <v>0</v>
      </c>
      <c r="AW27" s="21">
        <f t="shared" si="32"/>
        <v>0</v>
      </c>
      <c r="AX27" s="21">
        <f t="shared" si="32"/>
        <v>0</v>
      </c>
      <c r="AY27" s="21">
        <f>SUM(AY8:AY26)</f>
        <v>0</v>
      </c>
      <c r="AZ27" s="21">
        <f>SUM(AZ8:AZ26)</f>
        <v>0</v>
      </c>
      <c r="BB27" s="21">
        <f>SUM(BB8:BB26)</f>
        <v>0</v>
      </c>
      <c r="BC27" s="21">
        <f t="shared" ref="BC27:BO27" si="33">SUM(BC8:BC26)</f>
        <v>0</v>
      </c>
      <c r="BD27" s="21">
        <f t="shared" si="33"/>
        <v>0</v>
      </c>
      <c r="BE27" s="21">
        <f t="shared" si="33"/>
        <v>0</v>
      </c>
      <c r="BF27" s="21">
        <f t="shared" si="33"/>
        <v>0</v>
      </c>
      <c r="BG27" s="21">
        <f t="shared" si="33"/>
        <v>0</v>
      </c>
      <c r="BH27" s="21">
        <f t="shared" si="33"/>
        <v>0</v>
      </c>
      <c r="BI27" s="21">
        <f t="shared" si="33"/>
        <v>0</v>
      </c>
      <c r="BJ27" s="21">
        <f t="shared" si="33"/>
        <v>0</v>
      </c>
      <c r="BK27" s="21">
        <f t="shared" si="33"/>
        <v>0</v>
      </c>
      <c r="BL27" s="21">
        <f t="shared" si="33"/>
        <v>0</v>
      </c>
      <c r="BM27" s="21">
        <f t="shared" si="33"/>
        <v>0</v>
      </c>
      <c r="BN27" s="21">
        <f t="shared" si="33"/>
        <v>0</v>
      </c>
      <c r="BO27" s="21">
        <f t="shared" si="33"/>
        <v>0</v>
      </c>
      <c r="BP27" s="21">
        <f>SUM(BP8:BP26)</f>
        <v>0</v>
      </c>
      <c r="BQ27" s="21">
        <f>SUM(BQ8:BQ26)</f>
        <v>0</v>
      </c>
      <c r="BS27" s="21">
        <f>SUM(BS8:BS26)</f>
        <v>0</v>
      </c>
      <c r="BT27" s="21">
        <f t="shared" ref="BT27:CF27" si="34">SUM(BT8:BT26)</f>
        <v>0</v>
      </c>
      <c r="BU27" s="21">
        <f t="shared" si="34"/>
        <v>0</v>
      </c>
      <c r="BV27" s="21">
        <f t="shared" si="34"/>
        <v>0</v>
      </c>
      <c r="BW27" s="21">
        <f t="shared" si="34"/>
        <v>0</v>
      </c>
      <c r="BX27" s="21">
        <f t="shared" si="34"/>
        <v>0</v>
      </c>
      <c r="BY27" s="21">
        <f t="shared" si="34"/>
        <v>0</v>
      </c>
      <c r="BZ27" s="21">
        <f t="shared" si="34"/>
        <v>0</v>
      </c>
      <c r="CA27" s="21">
        <f t="shared" si="34"/>
        <v>0</v>
      </c>
      <c r="CB27" s="21">
        <f t="shared" si="34"/>
        <v>0</v>
      </c>
      <c r="CC27" s="21">
        <f t="shared" si="34"/>
        <v>0</v>
      </c>
      <c r="CD27" s="21">
        <f t="shared" si="34"/>
        <v>0</v>
      </c>
      <c r="CE27" s="21">
        <f t="shared" si="34"/>
        <v>0</v>
      </c>
      <c r="CF27" s="21">
        <f t="shared" si="34"/>
        <v>0</v>
      </c>
      <c r="CG27" s="21">
        <f>SUM(CG8:CG26)</f>
        <v>0</v>
      </c>
      <c r="CH27" s="21">
        <f>SUM(CH8:CH26)</f>
        <v>0</v>
      </c>
      <c r="CJ27" s="21">
        <f>SUM(CJ8:CJ26)</f>
        <v>0</v>
      </c>
      <c r="CK27" s="21">
        <f t="shared" ref="CK27:CW27" si="35">SUM(CK8:CK26)</f>
        <v>0</v>
      </c>
      <c r="CL27" s="21">
        <f t="shared" si="35"/>
        <v>0</v>
      </c>
      <c r="CM27" s="21">
        <f t="shared" si="35"/>
        <v>0</v>
      </c>
      <c r="CN27" s="21">
        <f t="shared" si="35"/>
        <v>0</v>
      </c>
      <c r="CO27" s="21">
        <f t="shared" si="35"/>
        <v>0</v>
      </c>
      <c r="CP27" s="21">
        <f t="shared" si="35"/>
        <v>0</v>
      </c>
      <c r="CQ27" s="21">
        <f t="shared" si="35"/>
        <v>0</v>
      </c>
      <c r="CR27" s="21">
        <f t="shared" si="35"/>
        <v>0</v>
      </c>
      <c r="CS27" s="21">
        <f t="shared" si="35"/>
        <v>0</v>
      </c>
      <c r="CT27" s="21">
        <f t="shared" si="35"/>
        <v>0</v>
      </c>
      <c r="CU27" s="21">
        <f t="shared" si="35"/>
        <v>0</v>
      </c>
      <c r="CV27" s="21">
        <f t="shared" si="35"/>
        <v>0</v>
      </c>
      <c r="CW27" s="21">
        <f t="shared" si="35"/>
        <v>0</v>
      </c>
      <c r="CX27" s="21">
        <f>SUM(CX8:CX26)</f>
        <v>0</v>
      </c>
      <c r="CY27" s="21">
        <f>SUM(CY8:CY26)</f>
        <v>0</v>
      </c>
      <c r="DA27" s="21">
        <f>SUM(DA8:DA26)</f>
        <v>0</v>
      </c>
      <c r="DB27" s="21">
        <f t="shared" ref="DB27:DN27" si="36">SUM(DB8:DB26)</f>
        <v>0</v>
      </c>
      <c r="DC27" s="21">
        <f t="shared" si="36"/>
        <v>0</v>
      </c>
      <c r="DD27" s="21">
        <f t="shared" si="36"/>
        <v>0</v>
      </c>
      <c r="DE27" s="21">
        <f t="shared" si="36"/>
        <v>0</v>
      </c>
      <c r="DF27" s="21">
        <f t="shared" si="36"/>
        <v>0</v>
      </c>
      <c r="DG27" s="21">
        <f t="shared" si="36"/>
        <v>0</v>
      </c>
      <c r="DH27" s="21">
        <f t="shared" si="36"/>
        <v>0</v>
      </c>
      <c r="DI27" s="21">
        <f t="shared" si="36"/>
        <v>0</v>
      </c>
      <c r="DJ27" s="21">
        <f t="shared" si="36"/>
        <v>0</v>
      </c>
      <c r="DK27" s="21">
        <f t="shared" si="36"/>
        <v>0</v>
      </c>
      <c r="DL27" s="21">
        <f t="shared" si="36"/>
        <v>0</v>
      </c>
      <c r="DM27" s="21">
        <f t="shared" si="36"/>
        <v>0</v>
      </c>
      <c r="DN27" s="21">
        <f t="shared" si="36"/>
        <v>0</v>
      </c>
      <c r="DO27" s="21">
        <f>SUM(DO8:DO26)</f>
        <v>0</v>
      </c>
      <c r="DP27" s="21">
        <f>SUM(DP8:DP26)</f>
        <v>0</v>
      </c>
      <c r="DR27" s="21">
        <f>SUM(DR8:DR26)</f>
        <v>0</v>
      </c>
      <c r="DS27" s="21">
        <f t="shared" ref="DS27:EE27" si="37">SUM(DS8:DS26)</f>
        <v>0</v>
      </c>
      <c r="DT27" s="21">
        <f t="shared" si="37"/>
        <v>0</v>
      </c>
      <c r="DU27" s="21">
        <f t="shared" si="37"/>
        <v>0</v>
      </c>
      <c r="DV27" s="21">
        <f t="shared" si="37"/>
        <v>0</v>
      </c>
      <c r="DW27" s="21">
        <f t="shared" si="37"/>
        <v>0</v>
      </c>
      <c r="DX27" s="21">
        <f t="shared" si="37"/>
        <v>0</v>
      </c>
      <c r="DY27" s="21">
        <f t="shared" si="37"/>
        <v>0</v>
      </c>
      <c r="DZ27" s="21">
        <f t="shared" si="37"/>
        <v>0</v>
      </c>
      <c r="EA27" s="21">
        <f t="shared" si="37"/>
        <v>0</v>
      </c>
      <c r="EB27" s="21">
        <f t="shared" si="37"/>
        <v>0</v>
      </c>
      <c r="EC27" s="21">
        <f t="shared" si="37"/>
        <v>0</v>
      </c>
      <c r="ED27" s="21">
        <f t="shared" si="37"/>
        <v>0</v>
      </c>
      <c r="EE27" s="21">
        <f t="shared" si="37"/>
        <v>0</v>
      </c>
      <c r="EF27" s="21">
        <f>SUM(EF8:EF26)</f>
        <v>0</v>
      </c>
      <c r="EG27" s="21">
        <f>SUM(EG8:EG26)</f>
        <v>0</v>
      </c>
      <c r="EI27" s="21">
        <f>SUM(EI8:EI26)</f>
        <v>0</v>
      </c>
      <c r="EJ27" s="21">
        <f t="shared" ref="EJ27:EV27" si="38">SUM(EJ8:EJ26)</f>
        <v>0</v>
      </c>
      <c r="EK27" s="21">
        <f t="shared" si="38"/>
        <v>0</v>
      </c>
      <c r="EL27" s="21">
        <f t="shared" si="38"/>
        <v>0</v>
      </c>
      <c r="EM27" s="21">
        <f t="shared" si="38"/>
        <v>0</v>
      </c>
      <c r="EN27" s="21">
        <f t="shared" si="38"/>
        <v>0</v>
      </c>
      <c r="EO27" s="21">
        <f t="shared" si="38"/>
        <v>0</v>
      </c>
      <c r="EP27" s="21">
        <f t="shared" si="38"/>
        <v>0</v>
      </c>
      <c r="EQ27" s="21">
        <f t="shared" si="38"/>
        <v>0</v>
      </c>
      <c r="ER27" s="21">
        <f t="shared" si="38"/>
        <v>0</v>
      </c>
      <c r="ES27" s="21">
        <f t="shared" si="38"/>
        <v>0</v>
      </c>
      <c r="ET27" s="21">
        <f t="shared" si="38"/>
        <v>0</v>
      </c>
      <c r="EU27" s="21">
        <f t="shared" si="38"/>
        <v>0</v>
      </c>
      <c r="EV27" s="21">
        <f t="shared" si="38"/>
        <v>0</v>
      </c>
      <c r="EW27" s="21">
        <f>SUM(EW8:EW26)</f>
        <v>0</v>
      </c>
      <c r="EX27" s="21">
        <f>SUM(EX8:EX26)</f>
        <v>0</v>
      </c>
      <c r="EZ27" s="21">
        <f>SUM(EZ8:EZ26)</f>
        <v>0</v>
      </c>
      <c r="FA27" s="21">
        <f t="shared" ref="FA27:FM27" si="39">SUM(FA8:FA26)</f>
        <v>0</v>
      </c>
      <c r="FB27" s="21">
        <f t="shared" si="39"/>
        <v>0</v>
      </c>
      <c r="FC27" s="21">
        <f t="shared" si="39"/>
        <v>0</v>
      </c>
      <c r="FD27" s="21">
        <f t="shared" si="39"/>
        <v>0</v>
      </c>
      <c r="FE27" s="21">
        <f t="shared" si="39"/>
        <v>0</v>
      </c>
      <c r="FF27" s="21">
        <f t="shared" si="39"/>
        <v>0</v>
      </c>
      <c r="FG27" s="21">
        <f t="shared" si="39"/>
        <v>0</v>
      </c>
      <c r="FH27" s="21">
        <f t="shared" si="39"/>
        <v>0</v>
      </c>
      <c r="FI27" s="21">
        <f t="shared" si="39"/>
        <v>0</v>
      </c>
      <c r="FJ27" s="21">
        <f t="shared" si="39"/>
        <v>0</v>
      </c>
      <c r="FK27" s="21">
        <f t="shared" si="39"/>
        <v>0</v>
      </c>
      <c r="FL27" s="21">
        <f t="shared" si="39"/>
        <v>0</v>
      </c>
      <c r="FM27" s="21">
        <f t="shared" si="39"/>
        <v>0</v>
      </c>
      <c r="FN27" s="21">
        <f>SUM(FN8:FN26)</f>
        <v>0</v>
      </c>
      <c r="FO27" s="21">
        <f>SUM(FO8:FO26)</f>
        <v>0</v>
      </c>
      <c r="FQ27" s="21">
        <f>SUM(FQ8:FQ26)</f>
        <v>0</v>
      </c>
      <c r="FR27" s="21">
        <f t="shared" ref="FR27:GD27" si="40">SUM(FR8:FR26)</f>
        <v>0</v>
      </c>
      <c r="FS27" s="21">
        <f t="shared" si="40"/>
        <v>0</v>
      </c>
      <c r="FT27" s="21">
        <f t="shared" si="40"/>
        <v>0</v>
      </c>
      <c r="FU27" s="21">
        <f t="shared" si="40"/>
        <v>0</v>
      </c>
      <c r="FV27" s="21">
        <f t="shared" si="40"/>
        <v>0</v>
      </c>
      <c r="FW27" s="21">
        <f t="shared" si="40"/>
        <v>0</v>
      </c>
      <c r="FX27" s="21">
        <f t="shared" si="40"/>
        <v>0</v>
      </c>
      <c r="FY27" s="21">
        <f t="shared" si="40"/>
        <v>0</v>
      </c>
      <c r="FZ27" s="21">
        <f t="shared" si="40"/>
        <v>0</v>
      </c>
      <c r="GA27" s="21">
        <f t="shared" si="40"/>
        <v>0</v>
      </c>
      <c r="GB27" s="21">
        <f t="shared" si="40"/>
        <v>0</v>
      </c>
      <c r="GC27" s="21">
        <f t="shared" si="40"/>
        <v>0</v>
      </c>
      <c r="GD27" s="21">
        <f t="shared" si="40"/>
        <v>0</v>
      </c>
      <c r="GE27" s="21">
        <f>SUM(GE8:GE26)</f>
        <v>0</v>
      </c>
      <c r="GF27" s="21">
        <f>SUM(GF8:GF26)</f>
        <v>0</v>
      </c>
      <c r="GH27" s="21">
        <f>SUM(GH8:GH26)</f>
        <v>0</v>
      </c>
      <c r="GI27" s="21">
        <f t="shared" ref="GI27:GU27" si="41">SUM(GI8:GI26)</f>
        <v>0</v>
      </c>
      <c r="GJ27" s="21">
        <f t="shared" si="41"/>
        <v>0</v>
      </c>
      <c r="GK27" s="21">
        <f t="shared" si="41"/>
        <v>0</v>
      </c>
      <c r="GL27" s="21">
        <f t="shared" si="41"/>
        <v>0</v>
      </c>
      <c r="GM27" s="21">
        <f t="shared" si="41"/>
        <v>0</v>
      </c>
      <c r="GN27" s="21">
        <f t="shared" si="41"/>
        <v>0</v>
      </c>
      <c r="GO27" s="21">
        <f t="shared" si="41"/>
        <v>0</v>
      </c>
      <c r="GP27" s="21">
        <f t="shared" si="41"/>
        <v>0</v>
      </c>
      <c r="GQ27" s="21">
        <f t="shared" si="41"/>
        <v>0</v>
      </c>
      <c r="GR27" s="21">
        <f t="shared" si="41"/>
        <v>0</v>
      </c>
      <c r="GS27" s="21">
        <f t="shared" si="41"/>
        <v>0</v>
      </c>
      <c r="GT27" s="21">
        <f t="shared" si="41"/>
        <v>0</v>
      </c>
      <c r="GU27" s="21">
        <f t="shared" si="41"/>
        <v>0</v>
      </c>
      <c r="GV27" s="21">
        <f>SUM(GV8:GV26)</f>
        <v>0</v>
      </c>
      <c r="GW27" s="21">
        <f>SUM(GW8:GW26)</f>
        <v>0</v>
      </c>
      <c r="GY27" s="21">
        <f>SUM(GY8:GY26)</f>
        <v>0</v>
      </c>
      <c r="GZ27" s="21">
        <f t="shared" ref="GZ27:HL27" si="42">SUM(GZ8:GZ26)</f>
        <v>0</v>
      </c>
      <c r="HA27" s="21">
        <f t="shared" si="42"/>
        <v>0</v>
      </c>
      <c r="HB27" s="21">
        <f t="shared" si="42"/>
        <v>0</v>
      </c>
      <c r="HC27" s="21">
        <f t="shared" si="42"/>
        <v>0</v>
      </c>
      <c r="HD27" s="21">
        <f t="shared" si="42"/>
        <v>0</v>
      </c>
      <c r="HE27" s="21">
        <f t="shared" si="42"/>
        <v>0</v>
      </c>
      <c r="HF27" s="21">
        <f t="shared" si="42"/>
        <v>0</v>
      </c>
      <c r="HG27" s="21">
        <f t="shared" si="42"/>
        <v>0</v>
      </c>
      <c r="HH27" s="21">
        <f t="shared" si="42"/>
        <v>0</v>
      </c>
      <c r="HI27" s="21">
        <f t="shared" si="42"/>
        <v>0</v>
      </c>
      <c r="HJ27" s="21">
        <f t="shared" si="42"/>
        <v>0</v>
      </c>
      <c r="HK27" s="21">
        <f t="shared" si="42"/>
        <v>0</v>
      </c>
      <c r="HL27" s="21">
        <f t="shared" si="42"/>
        <v>0</v>
      </c>
      <c r="HM27" s="21">
        <f>SUM(HM8:HM26)</f>
        <v>0</v>
      </c>
      <c r="HN27" s="21">
        <f>SUM(HN8:HN26)</f>
        <v>0</v>
      </c>
      <c r="HP27" s="21">
        <f>SUM(HP8:HP26)</f>
        <v>0</v>
      </c>
      <c r="HQ27" s="21">
        <f t="shared" ref="HQ27:IC27" si="43">SUM(HQ8:HQ26)</f>
        <v>0</v>
      </c>
      <c r="HR27" s="21">
        <f t="shared" si="43"/>
        <v>0</v>
      </c>
      <c r="HS27" s="21">
        <f t="shared" si="43"/>
        <v>0</v>
      </c>
      <c r="HT27" s="21">
        <f t="shared" si="43"/>
        <v>0</v>
      </c>
      <c r="HU27" s="21">
        <f t="shared" si="43"/>
        <v>0</v>
      </c>
      <c r="HV27" s="21">
        <f t="shared" si="43"/>
        <v>0</v>
      </c>
      <c r="HW27" s="21">
        <f t="shared" si="43"/>
        <v>0</v>
      </c>
      <c r="HX27" s="21">
        <f t="shared" si="43"/>
        <v>0</v>
      </c>
      <c r="HY27" s="21">
        <f t="shared" si="43"/>
        <v>0</v>
      </c>
      <c r="HZ27" s="21">
        <f t="shared" si="43"/>
        <v>0</v>
      </c>
      <c r="IA27" s="21">
        <f t="shared" si="43"/>
        <v>0</v>
      </c>
      <c r="IB27" s="21">
        <f t="shared" si="43"/>
        <v>0</v>
      </c>
      <c r="IC27" s="21">
        <f t="shared" si="43"/>
        <v>0</v>
      </c>
      <c r="ID27" s="21">
        <f>SUM(ID8:ID26)</f>
        <v>0</v>
      </c>
      <c r="IE27" s="21">
        <f>SUM(IE8:IE26)</f>
        <v>0</v>
      </c>
      <c r="IG27" s="21">
        <f>SUM(IG8:IG26)</f>
        <v>0</v>
      </c>
      <c r="IH27" s="21">
        <f t="shared" ref="IH27:IT27" si="44">SUM(IH8:IH26)</f>
        <v>0</v>
      </c>
      <c r="II27" s="21">
        <f t="shared" si="44"/>
        <v>0</v>
      </c>
      <c r="IJ27" s="21">
        <f t="shared" si="44"/>
        <v>0</v>
      </c>
      <c r="IK27" s="21">
        <f t="shared" si="44"/>
        <v>0</v>
      </c>
      <c r="IL27" s="21">
        <f t="shared" si="44"/>
        <v>0</v>
      </c>
      <c r="IM27" s="21">
        <f t="shared" si="44"/>
        <v>0</v>
      </c>
      <c r="IN27" s="21">
        <f t="shared" si="44"/>
        <v>0</v>
      </c>
      <c r="IO27" s="21">
        <f t="shared" si="44"/>
        <v>0</v>
      </c>
      <c r="IP27" s="21">
        <f t="shared" si="44"/>
        <v>0</v>
      </c>
      <c r="IQ27" s="21">
        <f t="shared" si="44"/>
        <v>0</v>
      </c>
      <c r="IR27" s="21">
        <f t="shared" si="44"/>
        <v>0</v>
      </c>
      <c r="IS27" s="21">
        <f t="shared" si="44"/>
        <v>0</v>
      </c>
      <c r="IT27" s="21">
        <f t="shared" si="44"/>
        <v>0</v>
      </c>
      <c r="IU27" s="21">
        <f>SUM(IU8:IU26)</f>
        <v>0</v>
      </c>
      <c r="IV27" s="21">
        <f>SUM(IV8:IV26)</f>
        <v>0</v>
      </c>
    </row>
    <row r="28" spans="1:256" s="23" customFormat="1" ht="10.199999999999999" x14ac:dyDescent="0.2">
      <c r="B28" s="43"/>
      <c r="S28" s="24"/>
      <c r="AJ28" s="24"/>
      <c r="BA28" s="24"/>
      <c r="BR28" s="24"/>
      <c r="CI28" s="24"/>
      <c r="CZ28" s="24"/>
      <c r="DQ28" s="24"/>
      <c r="EH28" s="24"/>
      <c r="EY28" s="24"/>
      <c r="FP28" s="24"/>
      <c r="GG28" s="24"/>
      <c r="GX28" s="24"/>
      <c r="HO28" s="24"/>
      <c r="IF28" s="24"/>
    </row>
    <row r="29" spans="1:256" s="23" customFormat="1" ht="10.199999999999999" x14ac:dyDescent="0.2">
      <c r="B29" s="43"/>
      <c r="S29" s="24"/>
      <c r="AJ29" s="24"/>
      <c r="BA29" s="24"/>
      <c r="BR29" s="24"/>
      <c r="CI29" s="24"/>
      <c r="CZ29" s="24"/>
      <c r="DQ29" s="24"/>
      <c r="EH29" s="24"/>
      <c r="EY29" s="24"/>
      <c r="FP29" s="24"/>
      <c r="GG29" s="24"/>
      <c r="GX29" s="24"/>
      <c r="HO29" s="24"/>
      <c r="IF29" s="24"/>
    </row>
    <row r="30" spans="1:256" s="23" customFormat="1" x14ac:dyDescent="0.25">
      <c r="A30" s="65" t="s">
        <v>49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AJ30" s="24"/>
      <c r="BA30" s="24"/>
      <c r="BR30" s="24"/>
      <c r="CI30" s="24"/>
      <c r="CZ30" s="24"/>
      <c r="DQ30" s="24"/>
      <c r="EH30" s="24"/>
      <c r="EY30" s="24"/>
      <c r="FP30" s="24"/>
      <c r="GG30" s="24"/>
      <c r="GX30" s="24"/>
      <c r="HO30" s="24"/>
      <c r="IF30" s="24"/>
    </row>
    <row r="31" spans="1:256" s="23" customFormat="1" x14ac:dyDescent="0.25">
      <c r="A31" s="26" t="s">
        <v>19</v>
      </c>
      <c r="B31" s="28" t="s">
        <v>18</v>
      </c>
      <c r="C31" s="13" t="s">
        <v>20</v>
      </c>
      <c r="D31" s="11" t="s">
        <v>21</v>
      </c>
      <c r="E31" s="11" t="s">
        <v>22</v>
      </c>
      <c r="F31" s="11" t="s">
        <v>23</v>
      </c>
      <c r="G31" s="11" t="s">
        <v>24</v>
      </c>
      <c r="H31" s="11" t="s">
        <v>25</v>
      </c>
      <c r="I31" s="11" t="s">
        <v>26</v>
      </c>
      <c r="J31" s="11" t="s">
        <v>27</v>
      </c>
      <c r="K31" s="11" t="s">
        <v>28</v>
      </c>
      <c r="L31" s="11" t="s">
        <v>29</v>
      </c>
      <c r="M31" s="11" t="s">
        <v>30</v>
      </c>
      <c r="N31" s="11" t="s">
        <v>31</v>
      </c>
      <c r="O31" s="11" t="s">
        <v>32</v>
      </c>
      <c r="P31" s="12" t="s">
        <v>33</v>
      </c>
      <c r="Q31" s="11" t="s">
        <v>34</v>
      </c>
      <c r="R31" s="27" t="s">
        <v>35</v>
      </c>
      <c r="S31" s="24"/>
      <c r="T31" s="28" t="s">
        <v>50</v>
      </c>
      <c r="U31" s="29" t="s">
        <v>51</v>
      </c>
      <c r="AJ31" s="24"/>
      <c r="BA31" s="24"/>
      <c r="BR31" s="24"/>
      <c r="CI31" s="24"/>
      <c r="CZ31" s="24"/>
      <c r="DQ31" s="24"/>
      <c r="EH31" s="24"/>
      <c r="EY31" s="24"/>
      <c r="FP31" s="24"/>
      <c r="GG31" s="24"/>
      <c r="GX31" s="24"/>
      <c r="HO31" s="24"/>
      <c r="IF31" s="24"/>
    </row>
    <row r="32" spans="1:256" s="23" customFormat="1" x14ac:dyDescent="0.25">
      <c r="A32" s="30" t="str">
        <f t="shared" ref="A32:B50" si="45">IF(A8="","",A8)</f>
        <v>JOSE MOTATERIO EQUIPO4</v>
      </c>
      <c r="B32" s="44">
        <f t="shared" si="45"/>
        <v>2</v>
      </c>
      <c r="C32" s="16">
        <f t="shared" ref="C32:C50" si="46">+C8+T8+AK8+BB8+BS8+CJ8+DA8+DR8+EI8+EZ8+FQ8+GH8+GY8+HP8+IG8</f>
        <v>4</v>
      </c>
      <c r="D32" s="16">
        <f t="shared" ref="D32:D50" si="47">+D8+U8+AL8+BC8+BT8+CK8+DB8+DS8+EJ8+FA8+FR8+GI8+GZ8+HQ8+IH8</f>
        <v>2</v>
      </c>
      <c r="E32" s="16">
        <f t="shared" ref="E32:E50" si="48">+E8+V8+AM8+BD8+BU8+CL8+DC8+DT8+EK8+FB8+FS8+GJ8+HA8+HR8+II8</f>
        <v>1</v>
      </c>
      <c r="F32" s="16">
        <f t="shared" ref="F32:F50" si="49">+F8+W8+AN8+BE8+BV8+CM8+DD8+DU8+EL8+FC8+FT8+GK8+HB8+HS8+IJ8</f>
        <v>0</v>
      </c>
      <c r="G32" s="16">
        <f t="shared" ref="G32:G50" si="50">+G8+X8+AO8+BF8+BW8+CN8+DE8+DV8+EM8+FD8+FU8+GL8+HC8+HT8+IK8</f>
        <v>0</v>
      </c>
      <c r="H32" s="16">
        <f t="shared" ref="H32:H50" si="51">+H8+Y8+AP8+BG8+BX8+CO8+DF8+DW8+EN8+FE8+FV8+GM8+HD8+HU8+IL8</f>
        <v>0</v>
      </c>
      <c r="I32" s="16">
        <f t="shared" ref="I32:I50" si="52">+I8+Z8+AQ8+BH8+BY8+CP8+DG8+DX8+EO8+FF8+FW8+GN8+HE8+HV8+IM8</f>
        <v>0</v>
      </c>
      <c r="J32" s="16">
        <f t="shared" ref="J32:J50" si="53">+J8+AA8+AR8+BI8+BZ8+CQ8+DH8+DY8+EP8+FG8+FX8+GO8+HF8+HW8+IN8</f>
        <v>0</v>
      </c>
      <c r="K32" s="16">
        <f t="shared" ref="K32:K50" si="54">+K8+AB8+AS8+BJ8+CA8+CR8+DI8+DZ8+EQ8+FH8+FY8+GP8+HG8+HX8+IO8</f>
        <v>0</v>
      </c>
      <c r="L32" s="16">
        <f t="shared" ref="L32:L50" si="55">+L8+AC8+AT8+BK8+CB8+CS8+DJ8+EA8+ER8+FI8+FZ8+GQ8+HH8+HY8+IP8</f>
        <v>1</v>
      </c>
      <c r="M32" s="16">
        <f t="shared" ref="M32:M50" si="56">+M8+AD8+AU8+BL8+CC8+CT8+DK8+EB8+ES8+FJ8+GA8+GR8+HI8+HZ8+IQ8</f>
        <v>0</v>
      </c>
      <c r="N32" s="16">
        <f t="shared" ref="N32:N50" si="57">+N8+AE8+AV8+BM8+CD8+CU8+DL8+EC8+ET8+FK8+GB8+GS8+HJ8+IA8+IR8</f>
        <v>0</v>
      </c>
      <c r="O32" s="16">
        <f t="shared" ref="O32:O50" si="58">+O8+AF8+AW8+BN8+CE8+CV8+DM8+ED8+EU8+FL8+GC8+GT8+HK8+IB8+IS8</f>
        <v>0</v>
      </c>
      <c r="P32" s="16">
        <f t="shared" ref="P32:P50" si="59">+P8+AG8+AX8+BO8+CF8+CW8+DN8+EE8+EV8+FM8+GD8+GU8+HL8+IC8+IT8</f>
        <v>0</v>
      </c>
      <c r="Q32" s="16">
        <f t="shared" ref="Q32:Q50" si="60">+Q8+AH8+AY8+BP8+CG8+CX8+DO8+EF8+EW8+FN8+GE8+GV8+HM8+ID8+IU8</f>
        <v>1</v>
      </c>
      <c r="R32" s="16">
        <f t="shared" ref="R32:R50" si="61">+R8+AI8+AZ8+BQ8+CH8+CY8+DP8+EG8+EX8+FO8+GF8+GW8+HN8+IE8+IV8</f>
        <v>4</v>
      </c>
      <c r="S32" s="24"/>
      <c r="T32" s="31">
        <f t="shared" ref="T32:T51" si="62">IF(C32=0,0,E32*1000/C32)</f>
        <v>250</v>
      </c>
      <c r="U32" s="31">
        <f t="shared" ref="U32:U51" si="63">IF(C32=0,0,Q32*1000/C32)</f>
        <v>250</v>
      </c>
      <c r="AJ32" s="24"/>
      <c r="BA32" s="24"/>
      <c r="BR32" s="24"/>
      <c r="CI32" s="24"/>
      <c r="CZ32" s="24"/>
      <c r="DQ32" s="24"/>
      <c r="EH32" s="24"/>
      <c r="EY32" s="24"/>
      <c r="FP32" s="24"/>
      <c r="GG32" s="24"/>
      <c r="GX32" s="24"/>
      <c r="HO32" s="24"/>
      <c r="IF32" s="24"/>
    </row>
    <row r="33" spans="1:240" s="23" customFormat="1" x14ac:dyDescent="0.25">
      <c r="A33" s="30" t="str">
        <f t="shared" si="45"/>
        <v>JOSEPH MENDOZA</v>
      </c>
      <c r="B33" s="44">
        <f t="shared" si="45"/>
        <v>1</v>
      </c>
      <c r="C33" s="16">
        <f t="shared" si="46"/>
        <v>3</v>
      </c>
      <c r="D33" s="16">
        <f t="shared" si="47"/>
        <v>1</v>
      </c>
      <c r="E33" s="16">
        <f t="shared" si="48"/>
        <v>1</v>
      </c>
      <c r="F33" s="16">
        <f t="shared" si="49"/>
        <v>1</v>
      </c>
      <c r="G33" s="16">
        <f t="shared" si="50"/>
        <v>0</v>
      </c>
      <c r="H33" s="16">
        <f t="shared" si="51"/>
        <v>0</v>
      </c>
      <c r="I33" s="16">
        <f t="shared" si="52"/>
        <v>0</v>
      </c>
      <c r="J33" s="16">
        <f t="shared" si="53"/>
        <v>0</v>
      </c>
      <c r="K33" s="16">
        <f t="shared" si="54"/>
        <v>1</v>
      </c>
      <c r="L33" s="16">
        <f t="shared" si="55"/>
        <v>0</v>
      </c>
      <c r="M33" s="16">
        <f t="shared" si="56"/>
        <v>0</v>
      </c>
      <c r="N33" s="16">
        <f t="shared" si="57"/>
        <v>0</v>
      </c>
      <c r="O33" s="16">
        <f t="shared" si="58"/>
        <v>0</v>
      </c>
      <c r="P33" s="16">
        <f t="shared" si="59"/>
        <v>0</v>
      </c>
      <c r="Q33" s="16">
        <f t="shared" si="60"/>
        <v>2</v>
      </c>
      <c r="R33" s="16">
        <f t="shared" si="61"/>
        <v>4</v>
      </c>
      <c r="S33" s="24"/>
      <c r="T33" s="31">
        <f t="shared" si="62"/>
        <v>333.33333333333331</v>
      </c>
      <c r="U33" s="31">
        <f t="shared" si="63"/>
        <v>666.66666666666663</v>
      </c>
      <c r="AJ33" s="24"/>
      <c r="BA33" s="24"/>
      <c r="BR33" s="24"/>
      <c r="CI33" s="24"/>
      <c r="CZ33" s="24"/>
      <c r="DQ33" s="24"/>
      <c r="EH33" s="24"/>
      <c r="EY33" s="24"/>
      <c r="FP33" s="24"/>
      <c r="GG33" s="24"/>
      <c r="GX33" s="24"/>
      <c r="HO33" s="24"/>
      <c r="IF33" s="24"/>
    </row>
    <row r="34" spans="1:240" s="23" customFormat="1" x14ac:dyDescent="0.25">
      <c r="A34" s="30" t="str">
        <f t="shared" si="45"/>
        <v>ABRAHAN RODRIGUZ</v>
      </c>
      <c r="B34" s="44">
        <f t="shared" si="45"/>
        <v>22</v>
      </c>
      <c r="C34" s="16">
        <f t="shared" si="46"/>
        <v>4</v>
      </c>
      <c r="D34" s="16">
        <f t="shared" si="47"/>
        <v>0</v>
      </c>
      <c r="E34" s="16">
        <f t="shared" si="48"/>
        <v>1</v>
      </c>
      <c r="F34" s="16">
        <f t="shared" si="49"/>
        <v>0</v>
      </c>
      <c r="G34" s="16">
        <f t="shared" si="50"/>
        <v>0</v>
      </c>
      <c r="H34" s="16">
        <f t="shared" si="51"/>
        <v>0</v>
      </c>
      <c r="I34" s="16">
        <f t="shared" si="52"/>
        <v>0</v>
      </c>
      <c r="J34" s="16">
        <f t="shared" si="53"/>
        <v>0</v>
      </c>
      <c r="K34" s="16">
        <f t="shared" si="54"/>
        <v>0</v>
      </c>
      <c r="L34" s="16">
        <f t="shared" si="55"/>
        <v>0</v>
      </c>
      <c r="M34" s="16">
        <f t="shared" si="56"/>
        <v>0</v>
      </c>
      <c r="N34" s="16">
        <f t="shared" si="57"/>
        <v>0</v>
      </c>
      <c r="O34" s="16">
        <f t="shared" si="58"/>
        <v>0</v>
      </c>
      <c r="P34" s="16">
        <f t="shared" si="59"/>
        <v>0</v>
      </c>
      <c r="Q34" s="16">
        <f t="shared" si="60"/>
        <v>1</v>
      </c>
      <c r="R34" s="16">
        <f t="shared" si="61"/>
        <v>4</v>
      </c>
      <c r="S34" s="24"/>
      <c r="T34" s="31">
        <f t="shared" si="62"/>
        <v>250</v>
      </c>
      <c r="U34" s="31">
        <f t="shared" si="63"/>
        <v>250</v>
      </c>
      <c r="AJ34" s="24"/>
      <c r="BA34" s="24"/>
      <c r="BR34" s="24"/>
      <c r="CI34" s="24"/>
      <c r="CZ34" s="24"/>
      <c r="DQ34" s="24"/>
      <c r="EH34" s="24"/>
      <c r="EY34" s="24"/>
      <c r="FP34" s="24"/>
      <c r="GG34" s="24"/>
      <c r="GX34" s="24"/>
      <c r="HO34" s="24"/>
      <c r="IF34" s="24"/>
    </row>
    <row r="35" spans="1:240" s="23" customFormat="1" x14ac:dyDescent="0.25">
      <c r="A35" s="30" t="str">
        <f t="shared" si="45"/>
        <v>ALEXANDER HERNANDEZ</v>
      </c>
      <c r="B35" s="44" t="str">
        <f t="shared" si="45"/>
        <v/>
      </c>
      <c r="C35" s="16">
        <f t="shared" si="46"/>
        <v>0</v>
      </c>
      <c r="D35" s="16">
        <f t="shared" si="47"/>
        <v>1</v>
      </c>
      <c r="E35" s="16">
        <f t="shared" si="48"/>
        <v>0</v>
      </c>
      <c r="F35" s="16">
        <f t="shared" si="49"/>
        <v>0</v>
      </c>
      <c r="G35" s="16">
        <f t="shared" si="50"/>
        <v>0</v>
      </c>
      <c r="H35" s="16">
        <f t="shared" si="51"/>
        <v>0</v>
      </c>
      <c r="I35" s="16">
        <f t="shared" si="52"/>
        <v>1</v>
      </c>
      <c r="J35" s="16">
        <f t="shared" si="53"/>
        <v>0</v>
      </c>
      <c r="K35" s="16">
        <f t="shared" si="54"/>
        <v>3</v>
      </c>
      <c r="L35" s="16">
        <f t="shared" si="55"/>
        <v>3</v>
      </c>
      <c r="M35" s="16">
        <f t="shared" si="56"/>
        <v>0</v>
      </c>
      <c r="N35" s="16">
        <f t="shared" si="57"/>
        <v>0</v>
      </c>
      <c r="O35" s="16">
        <f t="shared" si="58"/>
        <v>0</v>
      </c>
      <c r="P35" s="16">
        <f t="shared" si="59"/>
        <v>0</v>
      </c>
      <c r="Q35" s="16">
        <f t="shared" si="60"/>
        <v>0</v>
      </c>
      <c r="R35" s="16">
        <f t="shared" si="61"/>
        <v>3</v>
      </c>
      <c r="S35" s="24"/>
      <c r="T35" s="31">
        <f t="shared" si="62"/>
        <v>0</v>
      </c>
      <c r="U35" s="31">
        <f t="shared" si="63"/>
        <v>0</v>
      </c>
      <c r="AJ35" s="24"/>
      <c r="BA35" s="24"/>
      <c r="BR35" s="24"/>
      <c r="CI35" s="24"/>
      <c r="CZ35" s="24"/>
      <c r="DQ35" s="24"/>
      <c r="EH35" s="24"/>
      <c r="EY35" s="24"/>
      <c r="FP35" s="24"/>
      <c r="GG35" s="24"/>
      <c r="GX35" s="24"/>
      <c r="HO35" s="24"/>
      <c r="IF35" s="24"/>
    </row>
    <row r="36" spans="1:240" s="23" customFormat="1" x14ac:dyDescent="0.25">
      <c r="A36" s="30" t="str">
        <f t="shared" si="45"/>
        <v>DANIEL LIENDO</v>
      </c>
      <c r="B36" s="44" t="str">
        <f t="shared" si="45"/>
        <v/>
      </c>
      <c r="C36" s="16">
        <f t="shared" si="46"/>
        <v>1</v>
      </c>
      <c r="D36" s="16">
        <f t="shared" si="47"/>
        <v>0</v>
      </c>
      <c r="E36" s="16">
        <f t="shared" si="48"/>
        <v>0</v>
      </c>
      <c r="F36" s="16">
        <f t="shared" si="49"/>
        <v>0</v>
      </c>
      <c r="G36" s="16">
        <f t="shared" si="50"/>
        <v>0</v>
      </c>
      <c r="H36" s="16">
        <f t="shared" si="51"/>
        <v>0</v>
      </c>
      <c r="I36" s="16">
        <f t="shared" si="52"/>
        <v>0</v>
      </c>
      <c r="J36" s="16">
        <f t="shared" si="53"/>
        <v>0</v>
      </c>
      <c r="K36" s="16">
        <f t="shared" si="54"/>
        <v>0</v>
      </c>
      <c r="L36" s="16">
        <f t="shared" si="55"/>
        <v>0</v>
      </c>
      <c r="M36" s="16">
        <f t="shared" si="56"/>
        <v>0</v>
      </c>
      <c r="N36" s="16">
        <f t="shared" si="57"/>
        <v>0</v>
      </c>
      <c r="O36" s="16">
        <f t="shared" si="58"/>
        <v>0</v>
      </c>
      <c r="P36" s="16">
        <f t="shared" si="59"/>
        <v>0</v>
      </c>
      <c r="Q36" s="16">
        <f t="shared" si="60"/>
        <v>0</v>
      </c>
      <c r="R36" s="16">
        <f t="shared" si="61"/>
        <v>1</v>
      </c>
      <c r="S36" s="24"/>
      <c r="T36" s="31">
        <f t="shared" si="62"/>
        <v>0</v>
      </c>
      <c r="U36" s="31">
        <f t="shared" si="63"/>
        <v>0</v>
      </c>
      <c r="AJ36" s="24"/>
      <c r="BA36" s="24"/>
      <c r="BR36" s="24"/>
      <c r="CI36" s="24"/>
      <c r="CZ36" s="24"/>
      <c r="DQ36" s="24"/>
      <c r="EH36" s="24"/>
      <c r="EY36" s="24"/>
      <c r="FP36" s="24"/>
      <c r="GG36" s="24"/>
      <c r="GX36" s="24"/>
      <c r="HO36" s="24"/>
      <c r="IF36" s="24"/>
    </row>
    <row r="37" spans="1:240" s="23" customFormat="1" x14ac:dyDescent="0.25">
      <c r="A37" s="30" t="str">
        <f t="shared" si="45"/>
        <v>SEBASTIAN MUJICA</v>
      </c>
      <c r="B37" s="44" t="str">
        <f t="shared" si="45"/>
        <v/>
      </c>
      <c r="C37" s="16">
        <f t="shared" si="46"/>
        <v>2</v>
      </c>
      <c r="D37" s="16">
        <f t="shared" si="47"/>
        <v>0</v>
      </c>
      <c r="E37" s="16">
        <f t="shared" si="48"/>
        <v>0</v>
      </c>
      <c r="F37" s="16">
        <f t="shared" si="49"/>
        <v>0</v>
      </c>
      <c r="G37" s="16">
        <f t="shared" si="50"/>
        <v>0</v>
      </c>
      <c r="H37" s="16">
        <f t="shared" si="51"/>
        <v>0</v>
      </c>
      <c r="I37" s="16">
        <f t="shared" si="52"/>
        <v>0</v>
      </c>
      <c r="J37" s="16">
        <f t="shared" si="53"/>
        <v>1</v>
      </c>
      <c r="K37" s="16">
        <f t="shared" si="54"/>
        <v>0</v>
      </c>
      <c r="L37" s="16">
        <f t="shared" si="55"/>
        <v>0</v>
      </c>
      <c r="M37" s="16">
        <f t="shared" si="56"/>
        <v>0</v>
      </c>
      <c r="N37" s="16">
        <f t="shared" si="57"/>
        <v>0</v>
      </c>
      <c r="O37" s="16">
        <f t="shared" si="58"/>
        <v>0</v>
      </c>
      <c r="P37" s="16">
        <f t="shared" si="59"/>
        <v>0</v>
      </c>
      <c r="Q37" s="16">
        <f t="shared" si="60"/>
        <v>0</v>
      </c>
      <c r="R37" s="16">
        <f t="shared" si="61"/>
        <v>2</v>
      </c>
      <c r="S37" s="24"/>
      <c r="T37" s="31">
        <f t="shared" si="62"/>
        <v>0</v>
      </c>
      <c r="U37" s="31">
        <f t="shared" si="63"/>
        <v>0</v>
      </c>
      <c r="AJ37" s="24"/>
      <c r="BA37" s="24"/>
      <c r="BR37" s="24"/>
      <c r="CI37" s="24"/>
      <c r="CZ37" s="24"/>
      <c r="DQ37" s="24"/>
      <c r="EH37" s="24"/>
      <c r="EY37" s="24"/>
      <c r="FP37" s="24"/>
      <c r="GG37" s="24"/>
      <c r="GX37" s="24"/>
      <c r="HO37" s="24"/>
      <c r="IF37" s="24"/>
    </row>
    <row r="38" spans="1:240" s="23" customFormat="1" x14ac:dyDescent="0.25">
      <c r="A38" s="30" t="str">
        <f t="shared" si="45"/>
        <v>ANGEL RODRIGUEZ</v>
      </c>
      <c r="B38" s="44" t="str">
        <f t="shared" si="45"/>
        <v/>
      </c>
      <c r="C38" s="16">
        <f t="shared" si="46"/>
        <v>3</v>
      </c>
      <c r="D38" s="16">
        <f t="shared" si="47"/>
        <v>2</v>
      </c>
      <c r="E38" s="16">
        <f t="shared" si="48"/>
        <v>2</v>
      </c>
      <c r="F38" s="16">
        <f t="shared" si="49"/>
        <v>0</v>
      </c>
      <c r="G38" s="16">
        <f t="shared" si="50"/>
        <v>0</v>
      </c>
      <c r="H38" s="16">
        <f t="shared" si="51"/>
        <v>0</v>
      </c>
      <c r="I38" s="16">
        <f t="shared" si="52"/>
        <v>1</v>
      </c>
      <c r="J38" s="16">
        <f t="shared" si="53"/>
        <v>1</v>
      </c>
      <c r="K38" s="16">
        <f t="shared" si="54"/>
        <v>0</v>
      </c>
      <c r="L38" s="16">
        <f t="shared" si="55"/>
        <v>1</v>
      </c>
      <c r="M38" s="16">
        <f t="shared" si="56"/>
        <v>0</v>
      </c>
      <c r="N38" s="16">
        <f t="shared" si="57"/>
        <v>0</v>
      </c>
      <c r="O38" s="16">
        <f t="shared" si="58"/>
        <v>0</v>
      </c>
      <c r="P38" s="16">
        <f t="shared" si="59"/>
        <v>0</v>
      </c>
      <c r="Q38" s="16">
        <f t="shared" si="60"/>
        <v>2</v>
      </c>
      <c r="R38" s="16">
        <f t="shared" si="61"/>
        <v>3</v>
      </c>
      <c r="S38" s="24"/>
      <c r="T38" s="31">
        <f t="shared" si="62"/>
        <v>666.66666666666663</v>
      </c>
      <c r="U38" s="31">
        <f t="shared" si="63"/>
        <v>666.66666666666663</v>
      </c>
      <c r="AJ38" s="24"/>
      <c r="BA38" s="24"/>
      <c r="BR38" s="24"/>
      <c r="CI38" s="24"/>
      <c r="CZ38" s="24"/>
      <c r="DQ38" s="24"/>
      <c r="EH38" s="24"/>
      <c r="EY38" s="24"/>
      <c r="FP38" s="24"/>
      <c r="GG38" s="24"/>
      <c r="GX38" s="24"/>
      <c r="HO38" s="24"/>
      <c r="IF38" s="24"/>
    </row>
    <row r="39" spans="1:240" s="23" customFormat="1" x14ac:dyDescent="0.25">
      <c r="A39" s="30" t="str">
        <f t="shared" si="45"/>
        <v>FRANCISCO MONASTERIO</v>
      </c>
      <c r="B39" s="44" t="str">
        <f t="shared" si="45"/>
        <v/>
      </c>
      <c r="C39" s="16">
        <f t="shared" si="46"/>
        <v>3</v>
      </c>
      <c r="D39" s="16">
        <f t="shared" si="47"/>
        <v>1</v>
      </c>
      <c r="E39" s="16">
        <f t="shared" si="48"/>
        <v>2</v>
      </c>
      <c r="F39" s="16">
        <f t="shared" si="49"/>
        <v>0</v>
      </c>
      <c r="G39" s="16">
        <f t="shared" si="50"/>
        <v>1</v>
      </c>
      <c r="H39" s="16">
        <f t="shared" si="51"/>
        <v>0</v>
      </c>
      <c r="I39" s="16">
        <f t="shared" si="52"/>
        <v>0</v>
      </c>
      <c r="J39" s="16">
        <f t="shared" si="53"/>
        <v>0</v>
      </c>
      <c r="K39" s="16">
        <f t="shared" si="54"/>
        <v>0</v>
      </c>
      <c r="L39" s="16">
        <f t="shared" si="55"/>
        <v>0</v>
      </c>
      <c r="M39" s="16">
        <f t="shared" si="56"/>
        <v>0</v>
      </c>
      <c r="N39" s="16">
        <f t="shared" si="57"/>
        <v>0</v>
      </c>
      <c r="O39" s="16">
        <f t="shared" si="58"/>
        <v>0</v>
      </c>
      <c r="P39" s="16">
        <f t="shared" si="59"/>
        <v>0</v>
      </c>
      <c r="Q39" s="16">
        <f t="shared" si="60"/>
        <v>4</v>
      </c>
      <c r="R39" s="16">
        <f t="shared" si="61"/>
        <v>3</v>
      </c>
      <c r="S39" s="24"/>
      <c r="T39" s="31">
        <f t="shared" si="62"/>
        <v>666.66666666666663</v>
      </c>
      <c r="U39" s="31">
        <f t="shared" si="63"/>
        <v>1333.3333333333333</v>
      </c>
      <c r="AJ39" s="24"/>
      <c r="BA39" s="24"/>
      <c r="BR39" s="24"/>
      <c r="CI39" s="24"/>
      <c r="CZ39" s="24"/>
      <c r="DQ39" s="24"/>
      <c r="EH39" s="24"/>
      <c r="EY39" s="24"/>
      <c r="FP39" s="24"/>
      <c r="GG39" s="24"/>
      <c r="GX39" s="24"/>
      <c r="HO39" s="24"/>
      <c r="IF39" s="24"/>
    </row>
    <row r="40" spans="1:240" s="23" customFormat="1" x14ac:dyDescent="0.25">
      <c r="A40" s="30" t="str">
        <f t="shared" si="45"/>
        <v>MARCOS MORALES</v>
      </c>
      <c r="B40" s="44" t="str">
        <f t="shared" si="45"/>
        <v/>
      </c>
      <c r="C40" s="16">
        <f t="shared" si="46"/>
        <v>3</v>
      </c>
      <c r="D40" s="16">
        <f t="shared" si="47"/>
        <v>2</v>
      </c>
      <c r="E40" s="16">
        <f t="shared" si="48"/>
        <v>2</v>
      </c>
      <c r="F40" s="16">
        <f t="shared" si="49"/>
        <v>1</v>
      </c>
      <c r="G40" s="16">
        <f t="shared" si="50"/>
        <v>0</v>
      </c>
      <c r="H40" s="16">
        <f t="shared" si="51"/>
        <v>0</v>
      </c>
      <c r="I40" s="16">
        <f t="shared" si="52"/>
        <v>2</v>
      </c>
      <c r="J40" s="16">
        <f t="shared" si="53"/>
        <v>1</v>
      </c>
      <c r="K40" s="16">
        <f t="shared" si="54"/>
        <v>0</v>
      </c>
      <c r="L40" s="16">
        <f t="shared" si="55"/>
        <v>3</v>
      </c>
      <c r="M40" s="16">
        <f t="shared" si="56"/>
        <v>0</v>
      </c>
      <c r="N40" s="16">
        <f t="shared" si="57"/>
        <v>0</v>
      </c>
      <c r="O40" s="16">
        <f t="shared" si="58"/>
        <v>0</v>
      </c>
      <c r="P40" s="16">
        <f t="shared" si="59"/>
        <v>0</v>
      </c>
      <c r="Q40" s="16">
        <f t="shared" si="60"/>
        <v>3</v>
      </c>
      <c r="R40" s="16">
        <f t="shared" si="61"/>
        <v>3</v>
      </c>
      <c r="S40" s="24"/>
      <c r="T40" s="31">
        <f t="shared" si="62"/>
        <v>666.66666666666663</v>
      </c>
      <c r="U40" s="31">
        <f t="shared" si="63"/>
        <v>1000</v>
      </c>
      <c r="AJ40" s="24"/>
      <c r="BA40" s="24"/>
      <c r="BR40" s="24"/>
      <c r="CI40" s="24"/>
      <c r="CZ40" s="24"/>
      <c r="DQ40" s="24"/>
      <c r="EH40" s="24"/>
      <c r="EY40" s="24"/>
      <c r="FP40" s="24"/>
      <c r="GG40" s="24"/>
      <c r="GX40" s="24"/>
      <c r="HO40" s="24"/>
      <c r="IF40" s="24"/>
    </row>
    <row r="41" spans="1:240" s="23" customFormat="1" x14ac:dyDescent="0.25">
      <c r="A41" s="30" t="str">
        <f t="shared" si="45"/>
        <v>ADRIAN MURILLO</v>
      </c>
      <c r="B41" s="44" t="str">
        <f t="shared" si="45"/>
        <v/>
      </c>
      <c r="C41" s="16">
        <f t="shared" si="46"/>
        <v>2</v>
      </c>
      <c r="D41" s="16">
        <f t="shared" si="47"/>
        <v>1</v>
      </c>
      <c r="E41" s="16">
        <f t="shared" si="48"/>
        <v>0</v>
      </c>
      <c r="F41" s="16">
        <f t="shared" si="49"/>
        <v>0</v>
      </c>
      <c r="G41" s="16">
        <f t="shared" si="50"/>
        <v>0</v>
      </c>
      <c r="H41" s="16">
        <f t="shared" si="51"/>
        <v>0</v>
      </c>
      <c r="I41" s="16">
        <f t="shared" si="52"/>
        <v>0</v>
      </c>
      <c r="J41" s="16">
        <f t="shared" si="53"/>
        <v>1</v>
      </c>
      <c r="K41" s="16">
        <f t="shared" si="54"/>
        <v>1</v>
      </c>
      <c r="L41" s="16">
        <f t="shared" si="55"/>
        <v>1</v>
      </c>
      <c r="M41" s="16">
        <f t="shared" si="56"/>
        <v>0</v>
      </c>
      <c r="N41" s="16">
        <f t="shared" si="57"/>
        <v>0</v>
      </c>
      <c r="O41" s="16">
        <f t="shared" si="58"/>
        <v>0</v>
      </c>
      <c r="P41" s="16">
        <f t="shared" si="59"/>
        <v>0</v>
      </c>
      <c r="Q41" s="16">
        <f t="shared" si="60"/>
        <v>0</v>
      </c>
      <c r="R41" s="16">
        <f t="shared" si="61"/>
        <v>3</v>
      </c>
      <c r="S41" s="24"/>
      <c r="T41" s="31">
        <f t="shared" si="62"/>
        <v>0</v>
      </c>
      <c r="U41" s="31">
        <f t="shared" si="63"/>
        <v>0</v>
      </c>
      <c r="AJ41" s="24"/>
      <c r="BA41" s="24"/>
      <c r="BR41" s="24"/>
      <c r="CI41" s="24"/>
      <c r="CZ41" s="24"/>
      <c r="DQ41" s="24"/>
      <c r="EH41" s="24"/>
      <c r="EY41" s="24"/>
      <c r="FP41" s="24"/>
      <c r="GG41" s="24"/>
      <c r="GX41" s="24"/>
      <c r="HO41" s="24"/>
      <c r="IF41" s="24"/>
    </row>
    <row r="42" spans="1:240" s="23" customFormat="1" x14ac:dyDescent="0.25">
      <c r="A42" s="30" t="str">
        <f t="shared" si="45"/>
        <v>DARGREYBER RODRIGUEZ</v>
      </c>
      <c r="B42" s="44" t="str">
        <f t="shared" si="45"/>
        <v/>
      </c>
      <c r="C42" s="16">
        <f t="shared" si="46"/>
        <v>0</v>
      </c>
      <c r="D42" s="16">
        <f t="shared" si="47"/>
        <v>0</v>
      </c>
      <c r="E42" s="16">
        <f t="shared" si="48"/>
        <v>0</v>
      </c>
      <c r="F42" s="16">
        <f t="shared" si="49"/>
        <v>0</v>
      </c>
      <c r="G42" s="16">
        <f t="shared" si="50"/>
        <v>0</v>
      </c>
      <c r="H42" s="16">
        <f t="shared" si="51"/>
        <v>0</v>
      </c>
      <c r="I42" s="16">
        <f t="shared" si="52"/>
        <v>0</v>
      </c>
      <c r="J42" s="16">
        <f t="shared" si="53"/>
        <v>0</v>
      </c>
      <c r="K42" s="16">
        <f t="shared" si="54"/>
        <v>0</v>
      </c>
      <c r="L42" s="16">
        <f t="shared" si="55"/>
        <v>0</v>
      </c>
      <c r="M42" s="16">
        <f t="shared" si="56"/>
        <v>0</v>
      </c>
      <c r="N42" s="16">
        <f t="shared" si="57"/>
        <v>0</v>
      </c>
      <c r="O42" s="16">
        <f t="shared" si="58"/>
        <v>0</v>
      </c>
      <c r="P42" s="16">
        <f t="shared" si="59"/>
        <v>0</v>
      </c>
      <c r="Q42" s="16">
        <f t="shared" si="60"/>
        <v>0</v>
      </c>
      <c r="R42" s="16">
        <f t="shared" si="61"/>
        <v>0</v>
      </c>
      <c r="S42" s="24"/>
      <c r="T42" s="31">
        <f t="shared" si="62"/>
        <v>0</v>
      </c>
      <c r="U42" s="31">
        <f t="shared" si="63"/>
        <v>0</v>
      </c>
      <c r="AJ42" s="24"/>
      <c r="BA42" s="24"/>
      <c r="BR42" s="24"/>
      <c r="CI42" s="24"/>
      <c r="CZ42" s="24"/>
      <c r="DQ42" s="24"/>
      <c r="EH42" s="24"/>
      <c r="EY42" s="24"/>
      <c r="FP42" s="24"/>
      <c r="GG42" s="24"/>
      <c r="GX42" s="24"/>
      <c r="HO42" s="24"/>
      <c r="IF42" s="24"/>
    </row>
    <row r="43" spans="1:240" s="23" customFormat="1" x14ac:dyDescent="0.25">
      <c r="A43" s="30" t="str">
        <f t="shared" si="45"/>
        <v>JENSE FLORES</v>
      </c>
      <c r="B43" s="44" t="str">
        <f t="shared" si="45"/>
        <v/>
      </c>
      <c r="C43" s="16">
        <f t="shared" si="46"/>
        <v>0</v>
      </c>
      <c r="D43" s="16">
        <f t="shared" si="47"/>
        <v>0</v>
      </c>
      <c r="E43" s="16">
        <f t="shared" si="48"/>
        <v>0</v>
      </c>
      <c r="F43" s="16">
        <f t="shared" si="49"/>
        <v>0</v>
      </c>
      <c r="G43" s="16">
        <f t="shared" si="50"/>
        <v>0</v>
      </c>
      <c r="H43" s="16">
        <f t="shared" si="51"/>
        <v>0</v>
      </c>
      <c r="I43" s="16">
        <f t="shared" si="52"/>
        <v>0</v>
      </c>
      <c r="J43" s="16">
        <f t="shared" si="53"/>
        <v>0</v>
      </c>
      <c r="K43" s="16">
        <f t="shared" si="54"/>
        <v>0</v>
      </c>
      <c r="L43" s="16">
        <f t="shared" si="55"/>
        <v>0</v>
      </c>
      <c r="M43" s="16">
        <f t="shared" si="56"/>
        <v>0</v>
      </c>
      <c r="N43" s="16">
        <f t="shared" si="57"/>
        <v>0</v>
      </c>
      <c r="O43" s="16">
        <f t="shared" si="58"/>
        <v>0</v>
      </c>
      <c r="P43" s="16">
        <f t="shared" si="59"/>
        <v>0</v>
      </c>
      <c r="Q43" s="16">
        <f t="shared" si="60"/>
        <v>0</v>
      </c>
      <c r="R43" s="16">
        <f t="shared" si="61"/>
        <v>0</v>
      </c>
      <c r="S43" s="24"/>
      <c r="T43" s="31">
        <f t="shared" si="62"/>
        <v>0</v>
      </c>
      <c r="U43" s="31">
        <f t="shared" si="63"/>
        <v>0</v>
      </c>
      <c r="AJ43" s="24"/>
      <c r="BA43" s="24"/>
      <c r="BR43" s="24"/>
      <c r="CI43" s="24"/>
      <c r="CZ43" s="24"/>
      <c r="DQ43" s="24"/>
      <c r="EH43" s="24"/>
      <c r="EY43" s="24"/>
      <c r="FP43" s="24"/>
      <c r="GG43" s="24"/>
      <c r="GX43" s="24"/>
      <c r="HO43" s="24"/>
      <c r="IF43" s="24"/>
    </row>
    <row r="44" spans="1:240" s="23" customFormat="1" x14ac:dyDescent="0.25">
      <c r="A44" s="30" t="str">
        <f t="shared" si="45"/>
        <v/>
      </c>
      <c r="B44" s="44" t="str">
        <f t="shared" si="45"/>
        <v/>
      </c>
      <c r="C44" s="16">
        <f t="shared" si="46"/>
        <v>0</v>
      </c>
      <c r="D44" s="16">
        <f t="shared" si="47"/>
        <v>0</v>
      </c>
      <c r="E44" s="16">
        <f t="shared" si="48"/>
        <v>0</v>
      </c>
      <c r="F44" s="16">
        <f t="shared" si="49"/>
        <v>0</v>
      </c>
      <c r="G44" s="16">
        <f t="shared" si="50"/>
        <v>0</v>
      </c>
      <c r="H44" s="16">
        <f t="shared" si="51"/>
        <v>0</v>
      </c>
      <c r="I44" s="16">
        <f t="shared" si="52"/>
        <v>0</v>
      </c>
      <c r="J44" s="16">
        <f t="shared" si="53"/>
        <v>0</v>
      </c>
      <c r="K44" s="16">
        <f t="shared" si="54"/>
        <v>0</v>
      </c>
      <c r="L44" s="16">
        <f t="shared" si="55"/>
        <v>0</v>
      </c>
      <c r="M44" s="16">
        <f t="shared" si="56"/>
        <v>0</v>
      </c>
      <c r="N44" s="16">
        <f t="shared" si="57"/>
        <v>0</v>
      </c>
      <c r="O44" s="16">
        <f t="shared" si="58"/>
        <v>0</v>
      </c>
      <c r="P44" s="16">
        <f t="shared" si="59"/>
        <v>0</v>
      </c>
      <c r="Q44" s="16">
        <f t="shared" si="60"/>
        <v>0</v>
      </c>
      <c r="R44" s="16">
        <f t="shared" si="61"/>
        <v>0</v>
      </c>
      <c r="S44" s="24"/>
      <c r="T44" s="31">
        <f t="shared" si="62"/>
        <v>0</v>
      </c>
      <c r="U44" s="31">
        <f t="shared" si="63"/>
        <v>0</v>
      </c>
      <c r="AJ44" s="24"/>
      <c r="BA44" s="24"/>
      <c r="BR44" s="24"/>
      <c r="CI44" s="24"/>
      <c r="CZ44" s="24"/>
      <c r="DQ44" s="24"/>
      <c r="EH44" s="24"/>
      <c r="EY44" s="24"/>
      <c r="FP44" s="24"/>
      <c r="GG44" s="24"/>
      <c r="GX44" s="24"/>
      <c r="HO44" s="24"/>
      <c r="IF44" s="24"/>
    </row>
    <row r="45" spans="1:240" s="23" customFormat="1" x14ac:dyDescent="0.25">
      <c r="A45" s="30" t="str">
        <f t="shared" si="45"/>
        <v/>
      </c>
      <c r="B45" s="44" t="str">
        <f t="shared" si="45"/>
        <v/>
      </c>
      <c r="C45" s="16">
        <f t="shared" si="46"/>
        <v>0</v>
      </c>
      <c r="D45" s="16">
        <f t="shared" si="47"/>
        <v>0</v>
      </c>
      <c r="E45" s="16">
        <f t="shared" si="48"/>
        <v>0</v>
      </c>
      <c r="F45" s="16">
        <f t="shared" si="49"/>
        <v>0</v>
      </c>
      <c r="G45" s="16">
        <f t="shared" si="50"/>
        <v>0</v>
      </c>
      <c r="H45" s="16">
        <f t="shared" si="51"/>
        <v>0</v>
      </c>
      <c r="I45" s="16">
        <f t="shared" si="52"/>
        <v>0</v>
      </c>
      <c r="J45" s="16">
        <f t="shared" si="53"/>
        <v>0</v>
      </c>
      <c r="K45" s="16">
        <f t="shared" si="54"/>
        <v>0</v>
      </c>
      <c r="L45" s="16">
        <f t="shared" si="55"/>
        <v>0</v>
      </c>
      <c r="M45" s="16">
        <f t="shared" si="56"/>
        <v>0</v>
      </c>
      <c r="N45" s="16">
        <f t="shared" si="57"/>
        <v>0</v>
      </c>
      <c r="O45" s="16">
        <f t="shared" si="58"/>
        <v>0</v>
      </c>
      <c r="P45" s="16">
        <f t="shared" si="59"/>
        <v>0</v>
      </c>
      <c r="Q45" s="16">
        <f t="shared" si="60"/>
        <v>0</v>
      </c>
      <c r="R45" s="16">
        <f t="shared" si="61"/>
        <v>0</v>
      </c>
      <c r="S45" s="24"/>
      <c r="T45" s="31">
        <f t="shared" si="62"/>
        <v>0</v>
      </c>
      <c r="U45" s="31">
        <f t="shared" si="63"/>
        <v>0</v>
      </c>
      <c r="AJ45" s="24"/>
      <c r="BA45" s="24"/>
      <c r="BR45" s="24"/>
      <c r="CI45" s="24"/>
      <c r="CZ45" s="24"/>
      <c r="DQ45" s="24"/>
      <c r="EH45" s="24"/>
      <c r="EY45" s="24"/>
      <c r="FP45" s="24"/>
      <c r="GG45" s="24"/>
      <c r="GX45" s="24"/>
      <c r="HO45" s="24"/>
      <c r="IF45" s="24"/>
    </row>
    <row r="46" spans="1:240" s="23" customFormat="1" x14ac:dyDescent="0.25">
      <c r="A46" s="30" t="str">
        <f t="shared" si="45"/>
        <v/>
      </c>
      <c r="B46" s="44" t="str">
        <f t="shared" si="45"/>
        <v/>
      </c>
      <c r="C46" s="16">
        <f t="shared" si="46"/>
        <v>0</v>
      </c>
      <c r="D46" s="16">
        <f t="shared" si="47"/>
        <v>0</v>
      </c>
      <c r="E46" s="16">
        <f t="shared" si="48"/>
        <v>0</v>
      </c>
      <c r="F46" s="16">
        <f t="shared" si="49"/>
        <v>0</v>
      </c>
      <c r="G46" s="16">
        <f t="shared" si="50"/>
        <v>0</v>
      </c>
      <c r="H46" s="16">
        <f t="shared" si="51"/>
        <v>0</v>
      </c>
      <c r="I46" s="16">
        <f t="shared" si="52"/>
        <v>0</v>
      </c>
      <c r="J46" s="16">
        <f t="shared" si="53"/>
        <v>0</v>
      </c>
      <c r="K46" s="16">
        <f t="shared" si="54"/>
        <v>0</v>
      </c>
      <c r="L46" s="16">
        <f t="shared" si="55"/>
        <v>0</v>
      </c>
      <c r="M46" s="16">
        <f t="shared" si="56"/>
        <v>0</v>
      </c>
      <c r="N46" s="16">
        <f t="shared" si="57"/>
        <v>0</v>
      </c>
      <c r="O46" s="16">
        <f t="shared" si="58"/>
        <v>0</v>
      </c>
      <c r="P46" s="16">
        <f t="shared" si="59"/>
        <v>0</v>
      </c>
      <c r="Q46" s="16">
        <f t="shared" si="60"/>
        <v>0</v>
      </c>
      <c r="R46" s="16">
        <f t="shared" si="61"/>
        <v>0</v>
      </c>
      <c r="S46" s="24"/>
      <c r="T46" s="31">
        <f t="shared" si="62"/>
        <v>0</v>
      </c>
      <c r="U46" s="31">
        <f t="shared" si="63"/>
        <v>0</v>
      </c>
      <c r="AJ46" s="24"/>
      <c r="BA46" s="24"/>
      <c r="BR46" s="24"/>
      <c r="CI46" s="24"/>
      <c r="CZ46" s="24"/>
      <c r="DQ46" s="24"/>
      <c r="EH46" s="24"/>
      <c r="EY46" s="24"/>
      <c r="FP46" s="24"/>
      <c r="GG46" s="24"/>
      <c r="GX46" s="24"/>
      <c r="HO46" s="24"/>
      <c r="IF46" s="24"/>
    </row>
    <row r="47" spans="1:240" x14ac:dyDescent="0.25">
      <c r="A47" s="30" t="str">
        <f t="shared" si="45"/>
        <v/>
      </c>
      <c r="B47" s="44" t="str">
        <f t="shared" si="45"/>
        <v/>
      </c>
      <c r="C47" s="16">
        <f t="shared" si="46"/>
        <v>0</v>
      </c>
      <c r="D47" s="16">
        <f t="shared" si="47"/>
        <v>0</v>
      </c>
      <c r="E47" s="16">
        <f t="shared" si="48"/>
        <v>0</v>
      </c>
      <c r="F47" s="16">
        <f t="shared" si="49"/>
        <v>0</v>
      </c>
      <c r="G47" s="16">
        <f t="shared" si="50"/>
        <v>0</v>
      </c>
      <c r="H47" s="16">
        <f t="shared" si="51"/>
        <v>0</v>
      </c>
      <c r="I47" s="16">
        <f t="shared" si="52"/>
        <v>0</v>
      </c>
      <c r="J47" s="16">
        <f t="shared" si="53"/>
        <v>0</v>
      </c>
      <c r="K47" s="16">
        <f t="shared" si="54"/>
        <v>0</v>
      </c>
      <c r="L47" s="16">
        <f t="shared" si="55"/>
        <v>0</v>
      </c>
      <c r="M47" s="16">
        <f t="shared" si="56"/>
        <v>0</v>
      </c>
      <c r="N47" s="16">
        <f t="shared" si="57"/>
        <v>0</v>
      </c>
      <c r="O47" s="16">
        <f t="shared" si="58"/>
        <v>0</v>
      </c>
      <c r="P47" s="16">
        <f t="shared" si="59"/>
        <v>0</v>
      </c>
      <c r="Q47" s="16">
        <f t="shared" si="60"/>
        <v>0</v>
      </c>
      <c r="R47" s="16">
        <f t="shared" si="61"/>
        <v>0</v>
      </c>
      <c r="S47" s="2"/>
      <c r="T47" s="31">
        <f t="shared" si="62"/>
        <v>0</v>
      </c>
      <c r="U47" s="31">
        <f t="shared" si="63"/>
        <v>0</v>
      </c>
      <c r="AJ47" s="2"/>
      <c r="BA47" s="2"/>
      <c r="BR47" s="2"/>
      <c r="CI47" s="2"/>
      <c r="CZ47" s="2"/>
      <c r="DQ47" s="2"/>
      <c r="EH47" s="2"/>
      <c r="EY47" s="2"/>
      <c r="FP47" s="2"/>
      <c r="GG47" s="2"/>
      <c r="GX47" s="2"/>
      <c r="HO47" s="2"/>
      <c r="IF47" s="2"/>
    </row>
    <row r="48" spans="1:240" x14ac:dyDescent="0.25">
      <c r="A48" s="30" t="str">
        <f t="shared" si="45"/>
        <v/>
      </c>
      <c r="B48" s="44" t="str">
        <f t="shared" si="45"/>
        <v/>
      </c>
      <c r="C48" s="16">
        <f t="shared" si="46"/>
        <v>0</v>
      </c>
      <c r="D48" s="16">
        <f t="shared" si="47"/>
        <v>0</v>
      </c>
      <c r="E48" s="16">
        <f t="shared" si="48"/>
        <v>0</v>
      </c>
      <c r="F48" s="16">
        <f t="shared" si="49"/>
        <v>0</v>
      </c>
      <c r="G48" s="16">
        <f t="shared" si="50"/>
        <v>0</v>
      </c>
      <c r="H48" s="16">
        <f t="shared" si="51"/>
        <v>0</v>
      </c>
      <c r="I48" s="16">
        <f t="shared" si="52"/>
        <v>0</v>
      </c>
      <c r="J48" s="16">
        <f t="shared" si="53"/>
        <v>0</v>
      </c>
      <c r="K48" s="16">
        <f t="shared" si="54"/>
        <v>0</v>
      </c>
      <c r="L48" s="16">
        <f t="shared" si="55"/>
        <v>0</v>
      </c>
      <c r="M48" s="16">
        <f t="shared" si="56"/>
        <v>0</v>
      </c>
      <c r="N48" s="16">
        <f t="shared" si="57"/>
        <v>0</v>
      </c>
      <c r="O48" s="16">
        <f t="shared" si="58"/>
        <v>0</v>
      </c>
      <c r="P48" s="16">
        <f t="shared" si="59"/>
        <v>0</v>
      </c>
      <c r="Q48" s="16">
        <f t="shared" si="60"/>
        <v>0</v>
      </c>
      <c r="R48" s="16">
        <f t="shared" si="61"/>
        <v>0</v>
      </c>
      <c r="S48" s="2"/>
      <c r="T48" s="31">
        <f t="shared" si="62"/>
        <v>0</v>
      </c>
      <c r="U48" s="31">
        <f t="shared" si="63"/>
        <v>0</v>
      </c>
      <c r="AJ48" s="2"/>
      <c r="BA48" s="2"/>
      <c r="BR48" s="2"/>
      <c r="CI48" s="2"/>
      <c r="CZ48" s="2"/>
      <c r="DQ48" s="2"/>
      <c r="EH48" s="2"/>
      <c r="EY48" s="2"/>
      <c r="FP48" s="2"/>
      <c r="GG48" s="2"/>
      <c r="GX48" s="2"/>
      <c r="HO48" s="2"/>
      <c r="IF48" s="2"/>
    </row>
    <row r="49" spans="1:240" x14ac:dyDescent="0.25">
      <c r="A49" s="30" t="str">
        <f t="shared" si="45"/>
        <v/>
      </c>
      <c r="B49" s="44" t="str">
        <f t="shared" si="45"/>
        <v/>
      </c>
      <c r="C49" s="16">
        <f t="shared" si="46"/>
        <v>0</v>
      </c>
      <c r="D49" s="16">
        <f t="shared" si="47"/>
        <v>0</v>
      </c>
      <c r="E49" s="16">
        <f t="shared" si="48"/>
        <v>0</v>
      </c>
      <c r="F49" s="16">
        <f t="shared" si="49"/>
        <v>0</v>
      </c>
      <c r="G49" s="16">
        <f t="shared" si="50"/>
        <v>0</v>
      </c>
      <c r="H49" s="16">
        <f t="shared" si="51"/>
        <v>0</v>
      </c>
      <c r="I49" s="16">
        <f t="shared" si="52"/>
        <v>0</v>
      </c>
      <c r="J49" s="16">
        <f t="shared" si="53"/>
        <v>0</v>
      </c>
      <c r="K49" s="16">
        <f t="shared" si="54"/>
        <v>0</v>
      </c>
      <c r="L49" s="16">
        <f t="shared" si="55"/>
        <v>0</v>
      </c>
      <c r="M49" s="16">
        <f t="shared" si="56"/>
        <v>0</v>
      </c>
      <c r="N49" s="16">
        <f t="shared" si="57"/>
        <v>0</v>
      </c>
      <c r="O49" s="16">
        <f t="shared" si="58"/>
        <v>0</v>
      </c>
      <c r="P49" s="16">
        <f t="shared" si="59"/>
        <v>0</v>
      </c>
      <c r="Q49" s="16">
        <f t="shared" si="60"/>
        <v>0</v>
      </c>
      <c r="R49" s="16">
        <f t="shared" si="61"/>
        <v>0</v>
      </c>
      <c r="S49" s="2"/>
      <c r="T49" s="31">
        <f t="shared" si="62"/>
        <v>0</v>
      </c>
      <c r="U49" s="31">
        <f t="shared" si="63"/>
        <v>0</v>
      </c>
      <c r="AJ49" s="2"/>
      <c r="BA49" s="2"/>
      <c r="BR49" s="2"/>
      <c r="CI49" s="2"/>
      <c r="CZ49" s="2"/>
      <c r="DQ49" s="2"/>
      <c r="EH49" s="2"/>
      <c r="EY49" s="2"/>
      <c r="FP49" s="2"/>
      <c r="GG49" s="2"/>
      <c r="GX49" s="2"/>
      <c r="HO49" s="2"/>
      <c r="IF49" s="2"/>
    </row>
    <row r="50" spans="1:240" ht="13.8" thickBot="1" x14ac:dyDescent="0.3">
      <c r="A50" s="30" t="str">
        <f t="shared" si="45"/>
        <v/>
      </c>
      <c r="B50" s="44" t="str">
        <f t="shared" si="45"/>
        <v/>
      </c>
      <c r="C50" s="16">
        <f t="shared" si="46"/>
        <v>0</v>
      </c>
      <c r="D50" s="16">
        <f t="shared" si="47"/>
        <v>0</v>
      </c>
      <c r="E50" s="16">
        <f t="shared" si="48"/>
        <v>0</v>
      </c>
      <c r="F50" s="16">
        <f t="shared" si="49"/>
        <v>0</v>
      </c>
      <c r="G50" s="16">
        <f t="shared" si="50"/>
        <v>0</v>
      </c>
      <c r="H50" s="16">
        <f t="shared" si="51"/>
        <v>0</v>
      </c>
      <c r="I50" s="16">
        <f t="shared" si="52"/>
        <v>0</v>
      </c>
      <c r="J50" s="16">
        <f t="shared" si="53"/>
        <v>0</v>
      </c>
      <c r="K50" s="16">
        <f t="shared" si="54"/>
        <v>0</v>
      </c>
      <c r="L50" s="16">
        <f t="shared" si="55"/>
        <v>0</v>
      </c>
      <c r="M50" s="16">
        <f t="shared" si="56"/>
        <v>0</v>
      </c>
      <c r="N50" s="16">
        <f t="shared" si="57"/>
        <v>0</v>
      </c>
      <c r="O50" s="16">
        <f t="shared" si="58"/>
        <v>0</v>
      </c>
      <c r="P50" s="16">
        <f t="shared" si="59"/>
        <v>0</v>
      </c>
      <c r="Q50" s="16">
        <f t="shared" si="60"/>
        <v>0</v>
      </c>
      <c r="R50" s="16">
        <f t="shared" si="61"/>
        <v>0</v>
      </c>
      <c r="S50" s="2"/>
      <c r="T50" s="31">
        <f t="shared" si="62"/>
        <v>0</v>
      </c>
      <c r="U50" s="31">
        <f t="shared" si="63"/>
        <v>0</v>
      </c>
      <c r="AJ50" s="2"/>
      <c r="BA50" s="2"/>
      <c r="BR50" s="2"/>
      <c r="CI50" s="2"/>
      <c r="CZ50" s="2"/>
      <c r="DQ50" s="2"/>
      <c r="EH50" s="2"/>
      <c r="EY50" s="2"/>
      <c r="FP50" s="2"/>
      <c r="GG50" s="2"/>
      <c r="GX50" s="2"/>
      <c r="HO50" s="2"/>
      <c r="IF50" s="2"/>
    </row>
    <row r="51" spans="1:240" ht="13.8" thickBot="1" x14ac:dyDescent="0.3">
      <c r="A51" s="62" t="s">
        <v>48</v>
      </c>
      <c r="B51" s="63"/>
      <c r="C51" s="32">
        <f>SUM(C32:C50)</f>
        <v>25</v>
      </c>
      <c r="D51" s="32">
        <f t="shared" ref="D51:P51" si="64">SUM(D32:D50)</f>
        <v>10</v>
      </c>
      <c r="E51" s="32">
        <f t="shared" si="64"/>
        <v>9</v>
      </c>
      <c r="F51" s="32">
        <f t="shared" si="64"/>
        <v>2</v>
      </c>
      <c r="G51" s="32">
        <f t="shared" si="64"/>
        <v>1</v>
      </c>
      <c r="H51" s="32">
        <f t="shared" si="64"/>
        <v>0</v>
      </c>
      <c r="I51" s="32">
        <f t="shared" si="64"/>
        <v>4</v>
      </c>
      <c r="J51" s="32">
        <f t="shared" si="64"/>
        <v>4</v>
      </c>
      <c r="K51" s="32">
        <f t="shared" si="64"/>
        <v>5</v>
      </c>
      <c r="L51" s="32">
        <f t="shared" si="64"/>
        <v>9</v>
      </c>
      <c r="M51" s="32">
        <f t="shared" si="64"/>
        <v>0</v>
      </c>
      <c r="N51" s="32">
        <f t="shared" si="64"/>
        <v>0</v>
      </c>
      <c r="O51" s="32">
        <f t="shared" si="64"/>
        <v>0</v>
      </c>
      <c r="P51" s="32">
        <f t="shared" si="64"/>
        <v>0</v>
      </c>
      <c r="Q51" s="32">
        <f>SUM(Q32:Q50)</f>
        <v>13</v>
      </c>
      <c r="R51" s="32">
        <f>SUM(R32:R50)</f>
        <v>30</v>
      </c>
      <c r="S51" s="33"/>
      <c r="T51" s="34">
        <f t="shared" si="62"/>
        <v>360</v>
      </c>
      <c r="U51" s="35">
        <f t="shared" si="63"/>
        <v>520</v>
      </c>
      <c r="AJ51" s="2"/>
      <c r="BA51" s="2"/>
      <c r="BR51" s="2"/>
      <c r="CI51" s="2"/>
      <c r="CZ51" s="2"/>
      <c r="DQ51" s="2"/>
      <c r="EH51" s="2"/>
      <c r="EY51" s="2"/>
      <c r="FP51" s="2"/>
      <c r="GG51" s="2"/>
      <c r="GX51" s="2"/>
      <c r="HO51" s="2"/>
      <c r="IF51" s="2"/>
    </row>
    <row r="52" spans="1:240" x14ac:dyDescent="0.25">
      <c r="S52" s="2"/>
      <c r="AJ52" s="2"/>
      <c r="BA52" s="2"/>
      <c r="BR52" s="2"/>
      <c r="CI52" s="2"/>
      <c r="CZ52" s="2"/>
      <c r="DQ52" s="2"/>
      <c r="EH52" s="2"/>
      <c r="EY52" s="2"/>
      <c r="FP52" s="2"/>
      <c r="GG52" s="2"/>
      <c r="GX52" s="2"/>
      <c r="HO52" s="2"/>
      <c r="IF52" s="2"/>
    </row>
    <row r="53" spans="1:240" x14ac:dyDescent="0.25">
      <c r="S53" s="2"/>
      <c r="AJ53" s="2"/>
      <c r="BA53" s="2"/>
      <c r="BR53" s="2"/>
      <c r="CI53" s="2"/>
      <c r="CZ53" s="2"/>
      <c r="DQ53" s="2"/>
      <c r="EH53" s="2"/>
      <c r="EY53" s="2"/>
      <c r="FP53" s="2"/>
      <c r="GG53" s="2"/>
      <c r="GX53" s="2"/>
      <c r="HO53" s="2"/>
      <c r="IF53" s="2"/>
    </row>
    <row r="54" spans="1:240" x14ac:dyDescent="0.25">
      <c r="S54" s="2"/>
      <c r="AJ54" s="2"/>
      <c r="BA54" s="2"/>
      <c r="BR54" s="2"/>
      <c r="CI54" s="2"/>
      <c r="CZ54" s="2"/>
      <c r="DQ54" s="2"/>
      <c r="EH54" s="2"/>
      <c r="EY54" s="2"/>
      <c r="FP54" s="2"/>
      <c r="GG54" s="2"/>
      <c r="GX54" s="2"/>
      <c r="HO54" s="2"/>
      <c r="IF54" s="2"/>
    </row>
    <row r="55" spans="1:240" x14ac:dyDescent="0.25">
      <c r="S55" s="2"/>
      <c r="AJ55" s="2"/>
      <c r="BA55" s="2"/>
      <c r="BR55" s="2"/>
      <c r="CI55" s="2"/>
      <c r="CZ55" s="2"/>
      <c r="DQ55" s="2"/>
      <c r="EH55" s="2"/>
      <c r="EY55" s="2"/>
      <c r="FP55" s="2"/>
      <c r="GG55" s="2"/>
      <c r="GX55" s="2"/>
      <c r="HO55" s="2"/>
      <c r="IF55" s="2"/>
    </row>
    <row r="56" spans="1:240" x14ac:dyDescent="0.25">
      <c r="S56" s="2"/>
      <c r="AJ56" s="2"/>
      <c r="BA56" s="2"/>
      <c r="BR56" s="2"/>
      <c r="CI56" s="2"/>
      <c r="CZ56" s="2"/>
      <c r="DQ56" s="2"/>
      <c r="EH56" s="2"/>
      <c r="EY56" s="2"/>
      <c r="FP56" s="2"/>
      <c r="GG56" s="2"/>
      <c r="GX56" s="2"/>
      <c r="HO56" s="2"/>
      <c r="IF56" s="2"/>
    </row>
    <row r="57" spans="1:240" x14ac:dyDescent="0.25">
      <c r="S57" s="2"/>
      <c r="AJ57" s="2"/>
      <c r="BA57" s="2"/>
      <c r="BR57" s="2"/>
      <c r="CI57" s="2"/>
      <c r="CZ57" s="2"/>
      <c r="DQ57" s="2"/>
      <c r="EH57" s="2"/>
      <c r="EY57" s="2"/>
      <c r="FP57" s="2"/>
      <c r="GG57" s="2"/>
      <c r="GX57" s="2"/>
      <c r="HO57" s="2"/>
      <c r="IF57" s="2"/>
    </row>
    <row r="58" spans="1:240" x14ac:dyDescent="0.25">
      <c r="S58" s="2"/>
      <c r="AJ58" s="2"/>
      <c r="BA58" s="2"/>
      <c r="BR58" s="2"/>
      <c r="CI58" s="2"/>
      <c r="CZ58" s="2"/>
      <c r="DQ58" s="2"/>
      <c r="EH58" s="2"/>
      <c r="EY58" s="2"/>
      <c r="FP58" s="2"/>
      <c r="GG58" s="2"/>
      <c r="GX58" s="2"/>
      <c r="HO58" s="2"/>
      <c r="IF58" s="2"/>
    </row>
    <row r="59" spans="1:240" x14ac:dyDescent="0.25">
      <c r="S59" s="2"/>
      <c r="AJ59" s="2"/>
      <c r="BA59" s="2"/>
      <c r="BR59" s="2"/>
      <c r="CI59" s="2"/>
      <c r="CZ59" s="2"/>
      <c r="DQ59" s="2"/>
      <c r="EH59" s="2"/>
      <c r="EY59" s="2"/>
      <c r="FP59" s="2"/>
      <c r="GG59" s="2"/>
      <c r="GX59" s="2"/>
      <c r="HO59" s="2"/>
      <c r="IF59" s="2"/>
    </row>
  </sheetData>
  <sheetProtection selectLockedCells="1" selectUnlockedCells="1"/>
  <mergeCells count="18">
    <mergeCell ref="GH6:GW6"/>
    <mergeCell ref="GY6:HN6"/>
    <mergeCell ref="HP6:IE6"/>
    <mergeCell ref="A27:B27"/>
    <mergeCell ref="A30:U30"/>
    <mergeCell ref="A51:B51"/>
    <mergeCell ref="CJ6:CY6"/>
    <mergeCell ref="DA6:DP6"/>
    <mergeCell ref="DR6:EG6"/>
    <mergeCell ref="EI6:EX6"/>
    <mergeCell ref="EZ6:FO6"/>
    <mergeCell ref="FQ6:GF6"/>
    <mergeCell ref="A6:B6"/>
    <mergeCell ref="C6:R6"/>
    <mergeCell ref="T6:AI6"/>
    <mergeCell ref="AK6:AZ6"/>
    <mergeCell ref="BB6:BQ6"/>
    <mergeCell ref="BS6:CH6"/>
  </mergeCell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 alignWithMargins="0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D420D-1D5D-4EE7-BA0F-D66BDCD3D660}">
  <dimension ref="A1:IV53"/>
  <sheetViews>
    <sheetView topLeftCell="A9" zoomScale="180" zoomScaleNormal="180" workbookViewId="0">
      <pane xSplit="1" topLeftCell="B1" activePane="topRight" state="frozen"/>
      <selection pane="topRight" activeCell="B9" sqref="B9"/>
    </sheetView>
  </sheetViews>
  <sheetFormatPr baseColWidth="10" defaultColWidth="4.33203125" defaultRowHeight="13.2" x14ac:dyDescent="0.25"/>
  <cols>
    <col min="1" max="1" width="25.6640625" customWidth="1"/>
    <col min="2" max="2" width="2.6640625" style="46" customWidth="1"/>
    <col min="19" max="19" width="1" customWidth="1"/>
    <col min="36" max="36" width="1.5546875" customWidth="1"/>
    <col min="53" max="53" width="1.33203125" customWidth="1"/>
    <col min="70" max="70" width="1.33203125" customWidth="1"/>
    <col min="87" max="87" width="1.109375" customWidth="1"/>
    <col min="104" max="104" width="1.44140625" customWidth="1"/>
    <col min="121" max="121" width="1.5546875" customWidth="1"/>
    <col min="138" max="138" width="1.44140625" customWidth="1"/>
    <col min="155" max="155" width="1.33203125" customWidth="1"/>
    <col min="172" max="172" width="1.33203125" customWidth="1"/>
    <col min="189" max="189" width="1.33203125" customWidth="1"/>
    <col min="206" max="206" width="1.109375" customWidth="1"/>
    <col min="223" max="223" width="1.33203125" customWidth="1"/>
    <col min="240" max="240" width="1.44140625" customWidth="1"/>
  </cols>
  <sheetData>
    <row r="1" spans="1:256" x14ac:dyDescent="0.25">
      <c r="A1" s="1" t="s">
        <v>0</v>
      </c>
      <c r="B1" s="56"/>
      <c r="C1" s="1"/>
      <c r="D1" s="1"/>
      <c r="E1" s="1"/>
      <c r="F1" s="1"/>
      <c r="G1" s="1"/>
      <c r="S1" s="2"/>
      <c r="AJ1" s="2"/>
      <c r="BA1" s="2"/>
      <c r="BR1" s="2"/>
      <c r="CI1" s="2"/>
      <c r="CZ1" s="2"/>
      <c r="DQ1" s="2"/>
      <c r="EH1" s="2"/>
      <c r="EY1" s="2"/>
      <c r="FP1" s="2"/>
      <c r="GG1" s="2"/>
      <c r="GX1" s="2"/>
      <c r="HO1" s="2"/>
      <c r="IF1" s="2"/>
    </row>
    <row r="2" spans="1:256" x14ac:dyDescent="0.25">
      <c r="A2" s="1" t="s">
        <v>1</v>
      </c>
      <c r="B2" s="56"/>
      <c r="C2" s="1"/>
      <c r="D2" s="1"/>
      <c r="E2" s="1"/>
      <c r="F2" s="1"/>
      <c r="G2" s="1"/>
      <c r="S2" s="2"/>
      <c r="AJ2" s="2"/>
      <c r="BA2" s="2"/>
      <c r="BR2" s="2"/>
      <c r="CI2" s="2"/>
      <c r="CZ2" s="2"/>
      <c r="DQ2" s="2"/>
      <c r="EH2" s="2"/>
      <c r="EY2" s="2"/>
      <c r="FP2" s="2"/>
      <c r="GG2" s="2"/>
      <c r="GX2" s="2"/>
      <c r="HO2" s="2"/>
      <c r="IF2" s="2"/>
    </row>
    <row r="3" spans="1:256" x14ac:dyDescent="0.25">
      <c r="B3" s="57" t="s">
        <v>2</v>
      </c>
      <c r="C3" s="3"/>
      <c r="D3" s="3"/>
      <c r="E3" s="3"/>
      <c r="F3" s="3"/>
      <c r="G3" s="3"/>
      <c r="S3" s="2"/>
      <c r="AJ3" s="2"/>
      <c r="BA3" s="2"/>
      <c r="BR3" s="2"/>
      <c r="CI3" s="2"/>
      <c r="CZ3" s="2"/>
      <c r="DQ3" s="2"/>
      <c r="EH3" s="2"/>
      <c r="EY3" s="2"/>
      <c r="FP3" s="2"/>
      <c r="GG3" s="2"/>
      <c r="GX3" s="2"/>
      <c r="HO3" s="2"/>
      <c r="IF3" s="2"/>
    </row>
    <row r="4" spans="1:256" x14ac:dyDescent="0.25">
      <c r="B4" s="46" t="s">
        <v>3</v>
      </c>
      <c r="S4" s="2"/>
      <c r="AJ4" s="2"/>
      <c r="BA4" s="2"/>
      <c r="BR4" s="2"/>
      <c r="CI4" s="2"/>
      <c r="CZ4" s="2"/>
      <c r="DQ4" s="2"/>
      <c r="EH4" s="2"/>
      <c r="EY4" s="2"/>
      <c r="FP4" s="2"/>
      <c r="GG4" s="2"/>
      <c r="GX4" s="2"/>
      <c r="HO4" s="2"/>
      <c r="IF4" s="2"/>
    </row>
    <row r="5" spans="1:256" ht="13.8" thickBot="1" x14ac:dyDescent="0.3">
      <c r="C5" t="s">
        <v>4</v>
      </c>
      <c r="F5" t="s">
        <v>5</v>
      </c>
      <c r="S5" s="2"/>
      <c r="U5" s="4" t="s">
        <v>6</v>
      </c>
      <c r="Y5" s="4" t="s">
        <v>7</v>
      </c>
      <c r="AC5">
        <v>2</v>
      </c>
      <c r="AJ5" s="2"/>
      <c r="AL5" s="4" t="s">
        <v>6</v>
      </c>
      <c r="AP5" t="s">
        <v>8</v>
      </c>
      <c r="AT5">
        <v>3</v>
      </c>
      <c r="BA5" s="2"/>
      <c r="BC5" s="4" t="s">
        <v>6</v>
      </c>
      <c r="BG5" t="s">
        <v>9</v>
      </c>
      <c r="BK5">
        <v>4</v>
      </c>
      <c r="BR5" s="2"/>
      <c r="BT5" s="4" t="s">
        <v>6</v>
      </c>
      <c r="BY5" t="s">
        <v>10</v>
      </c>
      <c r="CB5">
        <v>5</v>
      </c>
      <c r="CI5" s="2"/>
      <c r="CK5" s="4" t="s">
        <v>6</v>
      </c>
      <c r="CO5" t="s">
        <v>11</v>
      </c>
      <c r="CS5">
        <v>6</v>
      </c>
      <c r="CZ5" s="2"/>
      <c r="DB5" s="4" t="s">
        <v>6</v>
      </c>
      <c r="DF5" t="s">
        <v>12</v>
      </c>
      <c r="DJ5">
        <v>7</v>
      </c>
      <c r="DQ5" s="2"/>
      <c r="DS5" s="4" t="s">
        <v>6</v>
      </c>
      <c r="DW5" t="s">
        <v>13</v>
      </c>
      <c r="EA5">
        <v>8</v>
      </c>
      <c r="EH5" s="2"/>
      <c r="EJ5" s="4" t="s">
        <v>6</v>
      </c>
      <c r="EN5" t="s">
        <v>14</v>
      </c>
      <c r="ER5">
        <v>9</v>
      </c>
      <c r="EY5" s="2"/>
      <c r="FA5" s="4" t="s">
        <v>6</v>
      </c>
      <c r="FE5" t="s">
        <v>15</v>
      </c>
      <c r="FI5">
        <v>10</v>
      </c>
      <c r="FP5" s="2"/>
      <c r="FR5" s="4" t="s">
        <v>6</v>
      </c>
      <c r="FV5" t="s">
        <v>15</v>
      </c>
      <c r="FZ5">
        <v>11</v>
      </c>
      <c r="GG5" s="2"/>
      <c r="GI5" s="4" t="s">
        <v>6</v>
      </c>
      <c r="GM5" t="s">
        <v>16</v>
      </c>
      <c r="GQ5">
        <v>12</v>
      </c>
      <c r="GX5" s="2"/>
      <c r="GZ5" s="4" t="s">
        <v>6</v>
      </c>
      <c r="HH5">
        <v>13</v>
      </c>
      <c r="HO5" s="2"/>
      <c r="HQ5" s="4" t="s">
        <v>6</v>
      </c>
      <c r="HY5">
        <v>14</v>
      </c>
      <c r="IF5" s="2"/>
      <c r="IH5" s="4" t="s">
        <v>6</v>
      </c>
      <c r="IP5">
        <v>15</v>
      </c>
    </row>
    <row r="6" spans="1:256" s="5" customFormat="1" x14ac:dyDescent="0.25">
      <c r="A6" s="60" t="s">
        <v>57</v>
      </c>
      <c r="B6" s="60"/>
      <c r="C6" s="61" t="s">
        <v>17</v>
      </c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2"/>
      <c r="T6" s="59" t="s">
        <v>17</v>
      </c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2"/>
      <c r="AK6" s="59" t="s">
        <v>17</v>
      </c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2"/>
      <c r="BB6" s="59" t="s">
        <v>17</v>
      </c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59"/>
      <c r="BN6" s="59"/>
      <c r="BO6" s="59"/>
      <c r="BP6" s="59"/>
      <c r="BQ6" s="59"/>
      <c r="BR6" s="2"/>
      <c r="BS6" s="59" t="s">
        <v>17</v>
      </c>
      <c r="BT6" s="59"/>
      <c r="BU6" s="59"/>
      <c r="BV6" s="59"/>
      <c r="BW6" s="59"/>
      <c r="BX6" s="59"/>
      <c r="BY6" s="59"/>
      <c r="BZ6" s="59"/>
      <c r="CA6" s="59"/>
      <c r="CB6" s="59"/>
      <c r="CC6" s="59"/>
      <c r="CD6" s="59"/>
      <c r="CE6" s="59"/>
      <c r="CF6" s="59"/>
      <c r="CG6" s="59"/>
      <c r="CH6" s="59"/>
      <c r="CI6" s="2"/>
      <c r="CJ6" s="59" t="s">
        <v>17</v>
      </c>
      <c r="CK6" s="59"/>
      <c r="CL6" s="59"/>
      <c r="CM6" s="59"/>
      <c r="CN6" s="59"/>
      <c r="CO6" s="59"/>
      <c r="CP6" s="59"/>
      <c r="CQ6" s="59"/>
      <c r="CR6" s="59"/>
      <c r="CS6" s="59"/>
      <c r="CT6" s="59"/>
      <c r="CU6" s="59"/>
      <c r="CV6" s="59"/>
      <c r="CW6" s="59"/>
      <c r="CX6" s="59"/>
      <c r="CY6" s="59"/>
      <c r="CZ6" s="2"/>
      <c r="DA6" s="59" t="s">
        <v>17</v>
      </c>
      <c r="DB6" s="59"/>
      <c r="DC6" s="59"/>
      <c r="DD6" s="59"/>
      <c r="DE6" s="59"/>
      <c r="DF6" s="59"/>
      <c r="DG6" s="59"/>
      <c r="DH6" s="59"/>
      <c r="DI6" s="59"/>
      <c r="DJ6" s="59"/>
      <c r="DK6" s="59"/>
      <c r="DL6" s="59"/>
      <c r="DM6" s="59"/>
      <c r="DN6" s="59"/>
      <c r="DO6" s="59"/>
      <c r="DP6" s="59"/>
      <c r="DQ6" s="2"/>
      <c r="DR6" s="59" t="s">
        <v>17</v>
      </c>
      <c r="DS6" s="59"/>
      <c r="DT6" s="59"/>
      <c r="DU6" s="59"/>
      <c r="DV6" s="59"/>
      <c r="DW6" s="59"/>
      <c r="DX6" s="59"/>
      <c r="DY6" s="59"/>
      <c r="DZ6" s="59"/>
      <c r="EA6" s="59"/>
      <c r="EB6" s="59"/>
      <c r="EC6" s="59"/>
      <c r="ED6" s="59"/>
      <c r="EE6" s="59"/>
      <c r="EF6" s="59"/>
      <c r="EG6" s="59"/>
      <c r="EH6" s="2"/>
      <c r="EI6" s="59" t="s">
        <v>17</v>
      </c>
      <c r="EJ6" s="59"/>
      <c r="EK6" s="59"/>
      <c r="EL6" s="59"/>
      <c r="EM6" s="59"/>
      <c r="EN6" s="59"/>
      <c r="EO6" s="59"/>
      <c r="EP6" s="59"/>
      <c r="EQ6" s="59"/>
      <c r="ER6" s="59"/>
      <c r="ES6" s="59"/>
      <c r="ET6" s="59"/>
      <c r="EU6" s="59"/>
      <c r="EV6" s="59"/>
      <c r="EW6" s="59"/>
      <c r="EX6" s="59"/>
      <c r="EY6" s="2"/>
      <c r="EZ6" s="59" t="s">
        <v>17</v>
      </c>
      <c r="FA6" s="59"/>
      <c r="FB6" s="59"/>
      <c r="FC6" s="59"/>
      <c r="FD6" s="59"/>
      <c r="FE6" s="59"/>
      <c r="FF6" s="59"/>
      <c r="FG6" s="59"/>
      <c r="FH6" s="59"/>
      <c r="FI6" s="59"/>
      <c r="FJ6" s="59"/>
      <c r="FK6" s="59"/>
      <c r="FL6" s="59"/>
      <c r="FM6" s="59"/>
      <c r="FN6" s="59"/>
      <c r="FO6" s="59"/>
      <c r="FP6" s="2"/>
      <c r="FQ6" s="59" t="s">
        <v>17</v>
      </c>
      <c r="FR6" s="59"/>
      <c r="FS6" s="59"/>
      <c r="FT6" s="59"/>
      <c r="FU6" s="59"/>
      <c r="FV6" s="59"/>
      <c r="FW6" s="59"/>
      <c r="FX6" s="59"/>
      <c r="FY6" s="59"/>
      <c r="FZ6" s="59"/>
      <c r="GA6" s="59"/>
      <c r="GB6" s="59"/>
      <c r="GC6" s="59"/>
      <c r="GD6" s="59"/>
      <c r="GE6" s="59"/>
      <c r="GF6" s="59"/>
      <c r="GG6" s="2"/>
      <c r="GH6" s="59" t="s">
        <v>17</v>
      </c>
      <c r="GI6" s="59"/>
      <c r="GJ6" s="59"/>
      <c r="GK6" s="59"/>
      <c r="GL6" s="59"/>
      <c r="GM6" s="59"/>
      <c r="GN6" s="59"/>
      <c r="GO6" s="59"/>
      <c r="GP6" s="59"/>
      <c r="GQ6" s="59"/>
      <c r="GR6" s="59"/>
      <c r="GS6" s="59"/>
      <c r="GT6" s="59"/>
      <c r="GU6" s="59"/>
      <c r="GV6" s="59"/>
      <c r="GW6" s="59"/>
      <c r="GX6" s="2"/>
      <c r="GY6" s="59" t="s">
        <v>17</v>
      </c>
      <c r="GZ6" s="59"/>
      <c r="HA6" s="59"/>
      <c r="HB6" s="59"/>
      <c r="HC6" s="59"/>
      <c r="HD6" s="59"/>
      <c r="HE6" s="59"/>
      <c r="HF6" s="59"/>
      <c r="HG6" s="59"/>
      <c r="HH6" s="59"/>
      <c r="HI6" s="59"/>
      <c r="HJ6" s="59"/>
      <c r="HK6" s="59"/>
      <c r="HL6" s="59"/>
      <c r="HM6" s="59"/>
      <c r="HN6" s="59"/>
      <c r="HO6" s="2"/>
      <c r="HP6" s="59" t="s">
        <v>17</v>
      </c>
      <c r="HQ6" s="59"/>
      <c r="HR6" s="59"/>
      <c r="HS6" s="59"/>
      <c r="HT6" s="59"/>
      <c r="HU6" s="59"/>
      <c r="HV6" s="59"/>
      <c r="HW6" s="59"/>
      <c r="HX6" s="59"/>
      <c r="HY6" s="59"/>
      <c r="HZ6" s="59"/>
      <c r="IA6" s="59"/>
      <c r="IB6" s="59"/>
      <c r="IC6" s="59"/>
      <c r="ID6" s="59"/>
      <c r="IE6" s="59"/>
      <c r="IF6" s="2"/>
      <c r="IG6" s="6" t="s">
        <v>17</v>
      </c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</row>
    <row r="7" spans="1:256" s="2" customFormat="1" x14ac:dyDescent="0.25">
      <c r="A7" s="8" t="s">
        <v>19</v>
      </c>
      <c r="B7" s="48" t="s">
        <v>18</v>
      </c>
      <c r="C7" s="9" t="s">
        <v>20</v>
      </c>
      <c r="D7" s="9" t="s">
        <v>21</v>
      </c>
      <c r="E7" s="9" t="s">
        <v>22</v>
      </c>
      <c r="F7" s="9" t="s">
        <v>23</v>
      </c>
      <c r="G7" s="9" t="s">
        <v>24</v>
      </c>
      <c r="H7" s="9" t="s">
        <v>25</v>
      </c>
      <c r="I7" s="9" t="s">
        <v>26</v>
      </c>
      <c r="J7" s="9" t="s">
        <v>27</v>
      </c>
      <c r="K7" s="9" t="s">
        <v>28</v>
      </c>
      <c r="L7" s="9" t="s">
        <v>29</v>
      </c>
      <c r="M7" s="9" t="s">
        <v>30</v>
      </c>
      <c r="N7" s="9" t="s">
        <v>31</v>
      </c>
      <c r="O7" s="9" t="s">
        <v>32</v>
      </c>
      <c r="P7" s="9" t="s">
        <v>33</v>
      </c>
      <c r="Q7" s="9" t="s">
        <v>34</v>
      </c>
      <c r="R7" s="9" t="s">
        <v>35</v>
      </c>
      <c r="S7" s="10"/>
      <c r="T7" s="9" t="s">
        <v>20</v>
      </c>
      <c r="U7" s="9" t="s">
        <v>21</v>
      </c>
      <c r="V7" s="9" t="s">
        <v>22</v>
      </c>
      <c r="W7" s="9" t="s">
        <v>23</v>
      </c>
      <c r="X7" s="9" t="s">
        <v>24</v>
      </c>
      <c r="Y7" s="9" t="s">
        <v>25</v>
      </c>
      <c r="Z7" s="9" t="s">
        <v>26</v>
      </c>
      <c r="AA7" s="9" t="s">
        <v>27</v>
      </c>
      <c r="AB7" s="9" t="s">
        <v>28</v>
      </c>
      <c r="AC7" s="9" t="s">
        <v>29</v>
      </c>
      <c r="AD7" s="9" t="s">
        <v>30</v>
      </c>
      <c r="AE7" s="9" t="s">
        <v>31</v>
      </c>
      <c r="AF7" s="9" t="s">
        <v>32</v>
      </c>
      <c r="AG7" s="9" t="s">
        <v>33</v>
      </c>
      <c r="AH7" s="9" t="s">
        <v>34</v>
      </c>
      <c r="AI7" s="9" t="s">
        <v>35</v>
      </c>
      <c r="AK7" s="9" t="s">
        <v>20</v>
      </c>
      <c r="AL7" s="9" t="s">
        <v>21</v>
      </c>
      <c r="AM7" s="9" t="s">
        <v>22</v>
      </c>
      <c r="AN7" s="9" t="s">
        <v>23</v>
      </c>
      <c r="AO7" s="9" t="s">
        <v>24</v>
      </c>
      <c r="AP7" s="9" t="s">
        <v>25</v>
      </c>
      <c r="AQ7" s="9" t="s">
        <v>26</v>
      </c>
      <c r="AR7" s="9" t="s">
        <v>27</v>
      </c>
      <c r="AS7" s="9" t="s">
        <v>28</v>
      </c>
      <c r="AT7" s="9" t="s">
        <v>29</v>
      </c>
      <c r="AU7" s="9" t="s">
        <v>30</v>
      </c>
      <c r="AV7" s="9" t="s">
        <v>31</v>
      </c>
      <c r="AW7" s="9" t="s">
        <v>32</v>
      </c>
      <c r="AX7" s="9" t="s">
        <v>33</v>
      </c>
      <c r="AY7" s="9" t="s">
        <v>34</v>
      </c>
      <c r="AZ7" s="9" t="s">
        <v>35</v>
      </c>
      <c r="BB7" s="9" t="s">
        <v>20</v>
      </c>
      <c r="BC7" s="9" t="s">
        <v>21</v>
      </c>
      <c r="BD7" s="9" t="s">
        <v>22</v>
      </c>
      <c r="BE7" s="9" t="s">
        <v>23</v>
      </c>
      <c r="BF7" s="9" t="s">
        <v>24</v>
      </c>
      <c r="BG7" s="9" t="s">
        <v>25</v>
      </c>
      <c r="BH7" s="9" t="s">
        <v>26</v>
      </c>
      <c r="BI7" s="9" t="s">
        <v>27</v>
      </c>
      <c r="BJ7" s="9" t="s">
        <v>28</v>
      </c>
      <c r="BK7" s="9" t="s">
        <v>29</v>
      </c>
      <c r="BL7" s="9" t="s">
        <v>30</v>
      </c>
      <c r="BM7" s="9" t="s">
        <v>31</v>
      </c>
      <c r="BN7" s="9" t="s">
        <v>32</v>
      </c>
      <c r="BO7" s="9" t="s">
        <v>33</v>
      </c>
      <c r="BP7" s="9" t="s">
        <v>34</v>
      </c>
      <c r="BQ7" s="9" t="s">
        <v>35</v>
      </c>
      <c r="BS7" s="9" t="s">
        <v>20</v>
      </c>
      <c r="BT7" s="9" t="s">
        <v>21</v>
      </c>
      <c r="BU7" s="9" t="s">
        <v>22</v>
      </c>
      <c r="BV7" s="9" t="s">
        <v>23</v>
      </c>
      <c r="BW7" s="9" t="s">
        <v>24</v>
      </c>
      <c r="BX7" s="9" t="s">
        <v>25</v>
      </c>
      <c r="BY7" s="9" t="s">
        <v>26</v>
      </c>
      <c r="BZ7" s="9" t="s">
        <v>27</v>
      </c>
      <c r="CA7" s="9" t="s">
        <v>28</v>
      </c>
      <c r="CB7" s="9" t="s">
        <v>29</v>
      </c>
      <c r="CC7" s="9" t="s">
        <v>30</v>
      </c>
      <c r="CD7" s="9" t="s">
        <v>31</v>
      </c>
      <c r="CE7" s="9" t="s">
        <v>32</v>
      </c>
      <c r="CF7" s="9" t="s">
        <v>33</v>
      </c>
      <c r="CG7" s="9" t="s">
        <v>34</v>
      </c>
      <c r="CH7" s="9" t="s">
        <v>35</v>
      </c>
      <c r="CJ7" s="9" t="s">
        <v>20</v>
      </c>
      <c r="CK7" s="9" t="s">
        <v>21</v>
      </c>
      <c r="CL7" s="9" t="s">
        <v>22</v>
      </c>
      <c r="CM7" s="9" t="s">
        <v>23</v>
      </c>
      <c r="CN7" s="9" t="s">
        <v>24</v>
      </c>
      <c r="CO7" s="9" t="s">
        <v>25</v>
      </c>
      <c r="CP7" s="9" t="s">
        <v>26</v>
      </c>
      <c r="CQ7" s="9" t="s">
        <v>27</v>
      </c>
      <c r="CR7" s="9" t="s">
        <v>28</v>
      </c>
      <c r="CS7" s="9" t="s">
        <v>29</v>
      </c>
      <c r="CT7" s="9" t="s">
        <v>30</v>
      </c>
      <c r="CU7" s="9" t="s">
        <v>31</v>
      </c>
      <c r="CV7" s="9" t="s">
        <v>32</v>
      </c>
      <c r="CW7" s="9" t="s">
        <v>33</v>
      </c>
      <c r="CX7" s="9" t="s">
        <v>34</v>
      </c>
      <c r="CY7" s="9" t="s">
        <v>35</v>
      </c>
      <c r="DA7" s="9" t="s">
        <v>20</v>
      </c>
      <c r="DB7" s="9" t="s">
        <v>21</v>
      </c>
      <c r="DC7" s="9" t="s">
        <v>22</v>
      </c>
      <c r="DD7" s="9" t="s">
        <v>23</v>
      </c>
      <c r="DE7" s="9" t="s">
        <v>24</v>
      </c>
      <c r="DF7" s="9" t="s">
        <v>25</v>
      </c>
      <c r="DG7" s="9" t="s">
        <v>26</v>
      </c>
      <c r="DH7" s="9" t="s">
        <v>27</v>
      </c>
      <c r="DI7" s="9" t="s">
        <v>28</v>
      </c>
      <c r="DJ7" s="9" t="s">
        <v>29</v>
      </c>
      <c r="DK7" s="9" t="s">
        <v>30</v>
      </c>
      <c r="DL7" s="9" t="s">
        <v>31</v>
      </c>
      <c r="DM7" s="9" t="s">
        <v>32</v>
      </c>
      <c r="DN7" s="9" t="s">
        <v>33</v>
      </c>
      <c r="DO7" s="9" t="s">
        <v>34</v>
      </c>
      <c r="DP7" s="9" t="s">
        <v>35</v>
      </c>
      <c r="DR7" s="9" t="s">
        <v>20</v>
      </c>
      <c r="DS7" s="9" t="s">
        <v>21</v>
      </c>
      <c r="DT7" s="9" t="s">
        <v>22</v>
      </c>
      <c r="DU7" s="9" t="s">
        <v>23</v>
      </c>
      <c r="DV7" s="9" t="s">
        <v>24</v>
      </c>
      <c r="DW7" s="9" t="s">
        <v>25</v>
      </c>
      <c r="DX7" s="9" t="s">
        <v>26</v>
      </c>
      <c r="DY7" s="9" t="s">
        <v>27</v>
      </c>
      <c r="DZ7" s="9" t="s">
        <v>28</v>
      </c>
      <c r="EA7" s="9" t="s">
        <v>29</v>
      </c>
      <c r="EB7" s="9" t="s">
        <v>30</v>
      </c>
      <c r="EC7" s="9" t="s">
        <v>31</v>
      </c>
      <c r="ED7" s="9" t="s">
        <v>32</v>
      </c>
      <c r="EE7" s="9" t="s">
        <v>33</v>
      </c>
      <c r="EF7" s="9" t="s">
        <v>34</v>
      </c>
      <c r="EG7" s="9" t="s">
        <v>35</v>
      </c>
      <c r="EI7" s="9" t="s">
        <v>20</v>
      </c>
      <c r="EJ7" s="9" t="s">
        <v>21</v>
      </c>
      <c r="EK7" s="9" t="s">
        <v>22</v>
      </c>
      <c r="EL7" s="9" t="s">
        <v>23</v>
      </c>
      <c r="EM7" s="9" t="s">
        <v>24</v>
      </c>
      <c r="EN7" s="9" t="s">
        <v>25</v>
      </c>
      <c r="EO7" s="9" t="s">
        <v>26</v>
      </c>
      <c r="EP7" s="9" t="s">
        <v>27</v>
      </c>
      <c r="EQ7" s="9" t="s">
        <v>28</v>
      </c>
      <c r="ER7" s="9" t="s">
        <v>29</v>
      </c>
      <c r="ES7" s="9" t="s">
        <v>30</v>
      </c>
      <c r="ET7" s="9" t="s">
        <v>31</v>
      </c>
      <c r="EU7" s="9" t="s">
        <v>32</v>
      </c>
      <c r="EV7" s="9" t="s">
        <v>33</v>
      </c>
      <c r="EW7" s="9" t="s">
        <v>34</v>
      </c>
      <c r="EX7" s="9" t="s">
        <v>35</v>
      </c>
      <c r="EZ7" s="9" t="s">
        <v>20</v>
      </c>
      <c r="FA7" s="9" t="s">
        <v>21</v>
      </c>
      <c r="FB7" s="9" t="s">
        <v>22</v>
      </c>
      <c r="FC7" s="9" t="s">
        <v>23</v>
      </c>
      <c r="FD7" s="9" t="s">
        <v>24</v>
      </c>
      <c r="FE7" s="9" t="s">
        <v>25</v>
      </c>
      <c r="FF7" s="9" t="s">
        <v>26</v>
      </c>
      <c r="FG7" s="9" t="s">
        <v>27</v>
      </c>
      <c r="FH7" s="9" t="s">
        <v>28</v>
      </c>
      <c r="FI7" s="9" t="s">
        <v>29</v>
      </c>
      <c r="FJ7" s="9" t="s">
        <v>30</v>
      </c>
      <c r="FK7" s="9" t="s">
        <v>31</v>
      </c>
      <c r="FL7" s="9" t="s">
        <v>32</v>
      </c>
      <c r="FM7" s="9" t="s">
        <v>33</v>
      </c>
      <c r="FN7" s="9" t="s">
        <v>34</v>
      </c>
      <c r="FO7" s="9" t="s">
        <v>35</v>
      </c>
      <c r="FQ7" s="9" t="s">
        <v>20</v>
      </c>
      <c r="FR7" s="9" t="s">
        <v>21</v>
      </c>
      <c r="FS7" s="9" t="s">
        <v>22</v>
      </c>
      <c r="FT7" s="9" t="s">
        <v>23</v>
      </c>
      <c r="FU7" s="9" t="s">
        <v>24</v>
      </c>
      <c r="FV7" s="9" t="s">
        <v>25</v>
      </c>
      <c r="FW7" s="9" t="s">
        <v>26</v>
      </c>
      <c r="FX7" s="9" t="s">
        <v>27</v>
      </c>
      <c r="FY7" s="9" t="s">
        <v>28</v>
      </c>
      <c r="FZ7" s="9" t="s">
        <v>29</v>
      </c>
      <c r="GA7" s="9" t="s">
        <v>30</v>
      </c>
      <c r="GB7" s="9" t="s">
        <v>31</v>
      </c>
      <c r="GC7" s="9" t="s">
        <v>32</v>
      </c>
      <c r="GD7" s="9" t="s">
        <v>33</v>
      </c>
      <c r="GE7" s="9" t="s">
        <v>34</v>
      </c>
      <c r="GF7" s="9" t="s">
        <v>35</v>
      </c>
      <c r="GH7" s="9" t="s">
        <v>20</v>
      </c>
      <c r="GI7" s="9" t="s">
        <v>21</v>
      </c>
      <c r="GJ7" s="9" t="s">
        <v>22</v>
      </c>
      <c r="GK7" s="9" t="s">
        <v>23</v>
      </c>
      <c r="GL7" s="9" t="s">
        <v>24</v>
      </c>
      <c r="GM7" s="9" t="s">
        <v>25</v>
      </c>
      <c r="GN7" s="9" t="s">
        <v>26</v>
      </c>
      <c r="GO7" s="9" t="s">
        <v>27</v>
      </c>
      <c r="GP7" s="9" t="s">
        <v>28</v>
      </c>
      <c r="GQ7" s="9" t="s">
        <v>29</v>
      </c>
      <c r="GR7" s="9" t="s">
        <v>30</v>
      </c>
      <c r="GS7" s="9" t="s">
        <v>31</v>
      </c>
      <c r="GT7" s="9" t="s">
        <v>32</v>
      </c>
      <c r="GU7" s="9" t="s">
        <v>33</v>
      </c>
      <c r="GV7" s="9" t="s">
        <v>34</v>
      </c>
      <c r="GW7" s="9" t="s">
        <v>35</v>
      </c>
      <c r="GY7" s="9" t="s">
        <v>20</v>
      </c>
      <c r="GZ7" s="9" t="s">
        <v>21</v>
      </c>
      <c r="HA7" s="9" t="s">
        <v>22</v>
      </c>
      <c r="HB7" s="9" t="s">
        <v>23</v>
      </c>
      <c r="HC7" s="9" t="s">
        <v>24</v>
      </c>
      <c r="HD7" s="9" t="s">
        <v>25</v>
      </c>
      <c r="HE7" s="9" t="s">
        <v>26</v>
      </c>
      <c r="HF7" s="9" t="s">
        <v>27</v>
      </c>
      <c r="HG7" s="9" t="s">
        <v>28</v>
      </c>
      <c r="HH7" s="9" t="s">
        <v>29</v>
      </c>
      <c r="HI7" s="9" t="s">
        <v>30</v>
      </c>
      <c r="HJ7" s="9" t="s">
        <v>31</v>
      </c>
      <c r="HK7" s="9" t="s">
        <v>32</v>
      </c>
      <c r="HL7" s="9" t="s">
        <v>33</v>
      </c>
      <c r="HM7" s="9" t="s">
        <v>34</v>
      </c>
      <c r="HN7" s="9" t="s">
        <v>35</v>
      </c>
      <c r="HP7" s="9" t="s">
        <v>20</v>
      </c>
      <c r="HQ7" s="9" t="s">
        <v>21</v>
      </c>
      <c r="HR7" s="9" t="s">
        <v>22</v>
      </c>
      <c r="HS7" s="9" t="s">
        <v>23</v>
      </c>
      <c r="HT7" s="9" t="s">
        <v>24</v>
      </c>
      <c r="HU7" s="9" t="s">
        <v>25</v>
      </c>
      <c r="HV7" s="9" t="s">
        <v>26</v>
      </c>
      <c r="HW7" s="9" t="s">
        <v>27</v>
      </c>
      <c r="HX7" s="9" t="s">
        <v>28</v>
      </c>
      <c r="HY7" s="9" t="s">
        <v>29</v>
      </c>
      <c r="HZ7" s="9" t="s">
        <v>30</v>
      </c>
      <c r="IA7" s="9" t="s">
        <v>31</v>
      </c>
      <c r="IB7" s="9" t="s">
        <v>32</v>
      </c>
      <c r="IC7" s="9" t="s">
        <v>33</v>
      </c>
      <c r="ID7" s="9" t="s">
        <v>34</v>
      </c>
      <c r="IE7" s="9" t="s">
        <v>35</v>
      </c>
      <c r="IG7" s="9" t="s">
        <v>20</v>
      </c>
      <c r="IH7" s="9" t="s">
        <v>21</v>
      </c>
      <c r="II7" s="9" t="s">
        <v>22</v>
      </c>
      <c r="IJ7" s="9" t="s">
        <v>23</v>
      </c>
      <c r="IK7" s="9" t="s">
        <v>24</v>
      </c>
      <c r="IL7" s="9" t="s">
        <v>25</v>
      </c>
      <c r="IM7" s="9" t="s">
        <v>26</v>
      </c>
      <c r="IN7" s="9" t="s">
        <v>27</v>
      </c>
      <c r="IO7" s="9" t="s">
        <v>28</v>
      </c>
      <c r="IP7" s="9" t="s">
        <v>29</v>
      </c>
      <c r="IQ7" s="9" t="s">
        <v>30</v>
      </c>
      <c r="IR7" s="9" t="s">
        <v>31</v>
      </c>
      <c r="IS7" s="9" t="s">
        <v>32</v>
      </c>
      <c r="IT7" s="9" t="s">
        <v>33</v>
      </c>
      <c r="IU7" s="9" t="s">
        <v>34</v>
      </c>
      <c r="IV7" s="9" t="s">
        <v>35</v>
      </c>
    </row>
    <row r="8" spans="1:256" s="16" customFormat="1" x14ac:dyDescent="0.25">
      <c r="A8" s="15" t="s">
        <v>66</v>
      </c>
      <c r="B8" s="49">
        <v>2</v>
      </c>
      <c r="C8" s="16">
        <v>4</v>
      </c>
      <c r="D8" s="16">
        <v>2</v>
      </c>
      <c r="E8" s="16">
        <v>1</v>
      </c>
      <c r="L8" s="16">
        <v>1</v>
      </c>
      <c r="Q8" s="16">
        <f t="shared" ref="Q8:Q26" si="0">(E8-(F8+G8+H8))+(F8*2)+(G8*3)+(H8*4)</f>
        <v>1</v>
      </c>
      <c r="R8" s="16">
        <f t="shared" ref="R8:R26" si="1">+C8+K8+M8+N8+O8+P8</f>
        <v>4</v>
      </c>
      <c r="S8" s="17"/>
      <c r="AH8" s="16">
        <f t="shared" ref="AH8:AH26" si="2">(V8-(W8+X8+Y8))+(W8*2)+(X8*3)+(Y8*4)</f>
        <v>0</v>
      </c>
      <c r="AI8" s="16">
        <f t="shared" ref="AI8:AI26" si="3">+T8+AB8+AD8+AE8+AF8+AG8</f>
        <v>0</v>
      </c>
      <c r="AJ8" s="18"/>
      <c r="AY8" s="16">
        <f t="shared" ref="AY8:AY26" si="4">(AM8-(AN8+AO8+AP8))+(AN8*2)+(AO8*3)+(AP8*4)</f>
        <v>0</v>
      </c>
      <c r="AZ8" s="16">
        <f t="shared" ref="AZ8:AZ26" si="5">+AK8+AS8+AU8+AV8+AW8+AX8</f>
        <v>0</v>
      </c>
      <c r="BA8" s="18"/>
      <c r="BP8" s="16">
        <f t="shared" ref="BP8:BP26" si="6">(BD8-(BE8+BF8+BG8))+(BE8*2)+(BF8*3)+(BG8*4)</f>
        <v>0</v>
      </c>
      <c r="BQ8" s="16">
        <f t="shared" ref="BQ8:BQ26" si="7">+BB8+BJ8+BL8+BM8+BN8+BO8</f>
        <v>0</v>
      </c>
      <c r="BR8" s="18"/>
      <c r="CG8" s="16">
        <f t="shared" ref="CG8:CG26" si="8">(BU8-(BV8+BW8+BX8))+(BV8*2)+(BW8*3)+(BX8*4)</f>
        <v>0</v>
      </c>
      <c r="CH8" s="16">
        <f t="shared" ref="CH8:CH26" si="9">+BS8+CA8+CC8+CD8+CE8+CF8</f>
        <v>0</v>
      </c>
      <c r="CI8" s="18"/>
      <c r="CX8" s="16">
        <f t="shared" ref="CX8:CX26" si="10">(CL8-(CM8+CN8+CO8))+(CM8*2)+(CN8*3)+(CO8*4)</f>
        <v>0</v>
      </c>
      <c r="CY8" s="16">
        <f t="shared" ref="CY8:CY26" si="11">+CJ8+CR8+CT8+CU8+CV8+CW8</f>
        <v>0</v>
      </c>
      <c r="CZ8" s="18"/>
      <c r="DO8" s="16">
        <f t="shared" ref="DO8:DO26" si="12">(DC8-(DD8+DE8+DF8))+(DD8*2)+(DE8*3)+(DF8*4)</f>
        <v>0</v>
      </c>
      <c r="DP8" s="16">
        <f t="shared" ref="DP8:DP26" si="13">+DA8+DI8+DK8+DL8+DM8+DN8</f>
        <v>0</v>
      </c>
      <c r="DQ8" s="18"/>
      <c r="EF8" s="16">
        <f t="shared" ref="EF8:EF26" si="14">(DT8-(DU8+DV8+DW8))+(DU8*2)+(DV8*3)+(DW8*4)</f>
        <v>0</v>
      </c>
      <c r="EG8" s="16">
        <f t="shared" ref="EG8:EG26" si="15">+DR8+DZ8+EB8+EC8+ED8+EE8</f>
        <v>0</v>
      </c>
      <c r="EH8" s="18"/>
      <c r="EW8" s="16">
        <f t="shared" ref="EW8:EW26" si="16">(EK8-(EL8+EM8+EN8))+(EL8*2)+(EM8*3)+(EN8*4)</f>
        <v>0</v>
      </c>
      <c r="EX8" s="16">
        <f t="shared" ref="EX8:EX26" si="17">+EI8+EQ8+ES8+ET8+EU8+EV8</f>
        <v>0</v>
      </c>
      <c r="EY8" s="18"/>
      <c r="FN8" s="16">
        <f t="shared" ref="FN8:FN26" si="18">(FB8-(FC8+FD8+FE8))+(FC8*2)+(FD8*3)+(FE8*4)</f>
        <v>0</v>
      </c>
      <c r="FO8" s="16">
        <f t="shared" ref="FO8:FO26" si="19">+EZ8+FH8+FJ8+FK8+FL8+FM8</f>
        <v>0</v>
      </c>
      <c r="FP8" s="18"/>
      <c r="GE8" s="16">
        <f t="shared" ref="GE8:GE26" si="20">(FS8-(FT8+FU8+FV8))+(FT8*2)+(FU8*3)+(FV8*4)</f>
        <v>0</v>
      </c>
      <c r="GF8" s="16">
        <f t="shared" ref="GF8:GF26" si="21">+FQ8+FY8+GA8+GB8+GC8+GD8</f>
        <v>0</v>
      </c>
      <c r="GG8" s="18"/>
      <c r="GV8" s="16">
        <f t="shared" ref="GV8:GV26" si="22">(GJ8-(GK8+GL8+GM8))+(GK8*2)+(GL8*3)+(GM8*4)</f>
        <v>0</v>
      </c>
      <c r="GW8" s="16">
        <f t="shared" ref="GW8:GW26" si="23">+GH8+GP8+GR8+GS8+GT8+GU8</f>
        <v>0</v>
      </c>
      <c r="GX8" s="18"/>
      <c r="HM8" s="16">
        <f t="shared" ref="HM8:HM26" si="24">(HA8-(HB8+HC8+HD8))+(HB8*2)+(HC8*3)+(HD8*4)</f>
        <v>0</v>
      </c>
      <c r="HN8" s="16">
        <f t="shared" ref="HN8:HN26" si="25">+GY8+HG8+HI8+HJ8+HK8+HL8</f>
        <v>0</v>
      </c>
      <c r="HO8" s="18"/>
      <c r="ID8" s="16">
        <f t="shared" ref="ID8:ID26" si="26">(HR8-(HS8+HT8+HU8))+(HS8*2)+(HT8*3)+(HU8*4)</f>
        <v>0</v>
      </c>
      <c r="IE8" s="16">
        <f t="shared" ref="IE8:IE26" si="27">+HP8+HX8+HZ8+IA8+IB8+IC8</f>
        <v>0</v>
      </c>
      <c r="IF8" s="18"/>
      <c r="IU8" s="16">
        <f t="shared" ref="IU8:IU26" si="28">(II8-(IJ8+IK8+IL8))+(IJ8*2)+(IK8*3)+(IL8*4)</f>
        <v>0</v>
      </c>
      <c r="IV8" s="16">
        <f t="shared" ref="IV8:IV26" si="29">+IG8+IO8+IQ8+IR8+IS8+IT8</f>
        <v>0</v>
      </c>
    </row>
    <row r="9" spans="1:256" s="16" customFormat="1" x14ac:dyDescent="0.25">
      <c r="A9" s="15" t="s">
        <v>37</v>
      </c>
      <c r="B9" s="49">
        <v>1</v>
      </c>
      <c r="C9" s="16">
        <v>3</v>
      </c>
      <c r="D9" s="16">
        <v>1</v>
      </c>
      <c r="E9" s="16">
        <v>1</v>
      </c>
      <c r="F9" s="16">
        <v>1</v>
      </c>
      <c r="K9" s="16">
        <v>1</v>
      </c>
      <c r="Q9" s="16">
        <f t="shared" si="0"/>
        <v>2</v>
      </c>
      <c r="R9" s="16">
        <f t="shared" si="1"/>
        <v>4</v>
      </c>
      <c r="S9" s="17"/>
      <c r="AH9" s="16">
        <f t="shared" si="2"/>
        <v>0</v>
      </c>
      <c r="AI9" s="16">
        <f t="shared" si="3"/>
        <v>0</v>
      </c>
      <c r="AJ9" s="18"/>
      <c r="AY9" s="16">
        <f t="shared" si="4"/>
        <v>0</v>
      </c>
      <c r="AZ9" s="16">
        <f t="shared" si="5"/>
        <v>0</v>
      </c>
      <c r="BA9" s="18"/>
      <c r="BP9" s="16">
        <f t="shared" si="6"/>
        <v>0</v>
      </c>
      <c r="BQ9" s="16">
        <f t="shared" si="7"/>
        <v>0</v>
      </c>
      <c r="BR9" s="18"/>
      <c r="CG9" s="16">
        <f t="shared" si="8"/>
        <v>0</v>
      </c>
      <c r="CH9" s="16">
        <f t="shared" si="9"/>
        <v>0</v>
      </c>
      <c r="CI9" s="18"/>
      <c r="CX9" s="16">
        <f t="shared" si="10"/>
        <v>0</v>
      </c>
      <c r="CY9" s="16">
        <f t="shared" si="11"/>
        <v>0</v>
      </c>
      <c r="CZ9" s="18"/>
      <c r="DO9" s="16">
        <f t="shared" si="12"/>
        <v>0</v>
      </c>
      <c r="DP9" s="16">
        <f t="shared" si="13"/>
        <v>0</v>
      </c>
      <c r="DQ9" s="18"/>
      <c r="EF9" s="16">
        <f t="shared" si="14"/>
        <v>0</v>
      </c>
      <c r="EG9" s="16">
        <f t="shared" si="15"/>
        <v>0</v>
      </c>
      <c r="EH9" s="18"/>
      <c r="EW9" s="16">
        <f t="shared" si="16"/>
        <v>0</v>
      </c>
      <c r="EX9" s="16">
        <f t="shared" si="17"/>
        <v>0</v>
      </c>
      <c r="EY9" s="18"/>
      <c r="FN9" s="16">
        <f t="shared" si="18"/>
        <v>0</v>
      </c>
      <c r="FO9" s="16">
        <f t="shared" si="19"/>
        <v>0</v>
      </c>
      <c r="FP9" s="18"/>
      <c r="GE9" s="16">
        <f t="shared" si="20"/>
        <v>0</v>
      </c>
      <c r="GF9" s="16">
        <f t="shared" si="21"/>
        <v>0</v>
      </c>
      <c r="GG9" s="18"/>
      <c r="GV9" s="16">
        <f t="shared" si="22"/>
        <v>0</v>
      </c>
      <c r="GW9" s="16">
        <f t="shared" si="23"/>
        <v>0</v>
      </c>
      <c r="GX9" s="18"/>
      <c r="HM9" s="16">
        <f t="shared" si="24"/>
        <v>0</v>
      </c>
      <c r="HN9" s="16">
        <f t="shared" si="25"/>
        <v>0</v>
      </c>
      <c r="HO9" s="18"/>
      <c r="ID9" s="16">
        <f t="shared" si="26"/>
        <v>0</v>
      </c>
      <c r="IE9" s="16">
        <f t="shared" si="27"/>
        <v>0</v>
      </c>
      <c r="IF9" s="18"/>
      <c r="IU9" s="16">
        <f t="shared" si="28"/>
        <v>0</v>
      </c>
      <c r="IV9" s="16">
        <f t="shared" si="29"/>
        <v>0</v>
      </c>
    </row>
    <row r="10" spans="1:256" s="16" customFormat="1" x14ac:dyDescent="0.25">
      <c r="A10" s="15" t="s">
        <v>38</v>
      </c>
      <c r="B10" s="49"/>
      <c r="C10" s="16">
        <v>4</v>
      </c>
      <c r="E10" s="16">
        <v>1</v>
      </c>
      <c r="Q10" s="16">
        <f t="shared" si="0"/>
        <v>1</v>
      </c>
      <c r="R10" s="16">
        <f t="shared" si="1"/>
        <v>4</v>
      </c>
      <c r="S10" s="17"/>
      <c r="AH10" s="16">
        <f t="shared" si="2"/>
        <v>0</v>
      </c>
      <c r="AI10" s="16">
        <f t="shared" si="3"/>
        <v>0</v>
      </c>
      <c r="AJ10" s="18"/>
      <c r="AY10" s="16">
        <f t="shared" si="4"/>
        <v>0</v>
      </c>
      <c r="AZ10" s="16">
        <f t="shared" si="5"/>
        <v>0</v>
      </c>
      <c r="BA10" s="18"/>
      <c r="BP10" s="16">
        <f t="shared" si="6"/>
        <v>0</v>
      </c>
      <c r="BQ10" s="16">
        <f t="shared" si="7"/>
        <v>0</v>
      </c>
      <c r="BR10" s="18"/>
      <c r="CG10" s="16">
        <f t="shared" si="8"/>
        <v>0</v>
      </c>
      <c r="CH10" s="16">
        <f t="shared" si="9"/>
        <v>0</v>
      </c>
      <c r="CI10" s="18"/>
      <c r="CX10" s="16">
        <f t="shared" si="10"/>
        <v>0</v>
      </c>
      <c r="CY10" s="16">
        <f t="shared" si="11"/>
        <v>0</v>
      </c>
      <c r="CZ10" s="18"/>
      <c r="DO10" s="16">
        <f t="shared" si="12"/>
        <v>0</v>
      </c>
      <c r="DP10" s="16">
        <f t="shared" si="13"/>
        <v>0</v>
      </c>
      <c r="DQ10" s="18"/>
      <c r="EF10" s="16">
        <f t="shared" si="14"/>
        <v>0</v>
      </c>
      <c r="EG10" s="16">
        <f t="shared" si="15"/>
        <v>0</v>
      </c>
      <c r="EH10" s="18"/>
      <c r="EW10" s="16">
        <f t="shared" si="16"/>
        <v>0</v>
      </c>
      <c r="EX10" s="16">
        <f t="shared" si="17"/>
        <v>0</v>
      </c>
      <c r="EY10" s="18"/>
      <c r="FN10" s="16">
        <f t="shared" si="18"/>
        <v>0</v>
      </c>
      <c r="FO10" s="16">
        <f t="shared" si="19"/>
        <v>0</v>
      </c>
      <c r="FP10" s="18"/>
      <c r="GE10" s="16">
        <f t="shared" si="20"/>
        <v>0</v>
      </c>
      <c r="GF10" s="16">
        <f t="shared" si="21"/>
        <v>0</v>
      </c>
      <c r="GG10" s="18"/>
      <c r="GV10" s="16">
        <f t="shared" si="22"/>
        <v>0</v>
      </c>
      <c r="GW10" s="16">
        <f t="shared" si="23"/>
        <v>0</v>
      </c>
      <c r="GX10" s="18"/>
      <c r="HM10" s="16">
        <f t="shared" si="24"/>
        <v>0</v>
      </c>
      <c r="HN10" s="16">
        <f t="shared" si="25"/>
        <v>0</v>
      </c>
      <c r="HO10" s="18"/>
      <c r="ID10" s="16">
        <f t="shared" si="26"/>
        <v>0</v>
      </c>
      <c r="IE10" s="16">
        <f t="shared" si="27"/>
        <v>0</v>
      </c>
      <c r="IF10" s="18"/>
      <c r="IU10" s="16">
        <f t="shared" si="28"/>
        <v>0</v>
      </c>
      <c r="IV10" s="16">
        <f t="shared" si="29"/>
        <v>0</v>
      </c>
    </row>
    <row r="11" spans="1:256" s="16" customFormat="1" x14ac:dyDescent="0.25">
      <c r="A11" s="15" t="s">
        <v>39</v>
      </c>
      <c r="B11" s="49"/>
      <c r="D11" s="16">
        <v>1</v>
      </c>
      <c r="I11" s="16">
        <v>1</v>
      </c>
      <c r="K11" s="16">
        <v>3</v>
      </c>
      <c r="L11" s="16">
        <v>3</v>
      </c>
      <c r="Q11" s="16">
        <f t="shared" si="0"/>
        <v>0</v>
      </c>
      <c r="R11" s="16">
        <f t="shared" si="1"/>
        <v>3</v>
      </c>
      <c r="S11" s="17"/>
      <c r="AH11" s="16">
        <f t="shared" si="2"/>
        <v>0</v>
      </c>
      <c r="AI11" s="16">
        <f t="shared" si="3"/>
        <v>0</v>
      </c>
      <c r="AJ11" s="18"/>
      <c r="AY11" s="16">
        <f t="shared" si="4"/>
        <v>0</v>
      </c>
      <c r="AZ11" s="16">
        <f t="shared" si="5"/>
        <v>0</v>
      </c>
      <c r="BA11" s="18"/>
      <c r="BP11" s="16">
        <f t="shared" si="6"/>
        <v>0</v>
      </c>
      <c r="BQ11" s="16">
        <f t="shared" si="7"/>
        <v>0</v>
      </c>
      <c r="BR11" s="18"/>
      <c r="CG11" s="16">
        <f t="shared" si="8"/>
        <v>0</v>
      </c>
      <c r="CH11" s="16">
        <f t="shared" si="9"/>
        <v>0</v>
      </c>
      <c r="CI11" s="18"/>
      <c r="CX11" s="16">
        <f t="shared" si="10"/>
        <v>0</v>
      </c>
      <c r="CY11" s="16">
        <f t="shared" si="11"/>
        <v>0</v>
      </c>
      <c r="CZ11" s="18"/>
      <c r="DO11" s="16">
        <f t="shared" si="12"/>
        <v>0</v>
      </c>
      <c r="DP11" s="16">
        <f t="shared" si="13"/>
        <v>0</v>
      </c>
      <c r="DQ11" s="18"/>
      <c r="EF11" s="16">
        <f t="shared" si="14"/>
        <v>0</v>
      </c>
      <c r="EG11" s="16">
        <f t="shared" si="15"/>
        <v>0</v>
      </c>
      <c r="EH11" s="18"/>
      <c r="EW11" s="16">
        <f t="shared" si="16"/>
        <v>0</v>
      </c>
      <c r="EX11" s="16">
        <f t="shared" si="17"/>
        <v>0</v>
      </c>
      <c r="EY11" s="18"/>
      <c r="FN11" s="16">
        <f t="shared" si="18"/>
        <v>0</v>
      </c>
      <c r="FO11" s="16">
        <f t="shared" si="19"/>
        <v>0</v>
      </c>
      <c r="FP11" s="18"/>
      <c r="GE11" s="16">
        <f t="shared" si="20"/>
        <v>0</v>
      </c>
      <c r="GF11" s="16">
        <f t="shared" si="21"/>
        <v>0</v>
      </c>
      <c r="GG11" s="18"/>
      <c r="GV11" s="16">
        <f t="shared" si="22"/>
        <v>0</v>
      </c>
      <c r="GW11" s="16">
        <f t="shared" si="23"/>
        <v>0</v>
      </c>
      <c r="GX11" s="18"/>
      <c r="HM11" s="16">
        <f t="shared" si="24"/>
        <v>0</v>
      </c>
      <c r="HN11" s="16">
        <f t="shared" si="25"/>
        <v>0</v>
      </c>
      <c r="HO11" s="18"/>
      <c r="ID11" s="16">
        <f t="shared" si="26"/>
        <v>0</v>
      </c>
      <c r="IE11" s="16">
        <f t="shared" si="27"/>
        <v>0</v>
      </c>
      <c r="IF11" s="18"/>
      <c r="IU11" s="16">
        <f t="shared" si="28"/>
        <v>0</v>
      </c>
      <c r="IV11" s="16">
        <f t="shared" si="29"/>
        <v>0</v>
      </c>
    </row>
    <row r="12" spans="1:256" s="16" customFormat="1" x14ac:dyDescent="0.25">
      <c r="A12" s="15" t="s">
        <v>40</v>
      </c>
      <c r="B12" s="49"/>
      <c r="C12" s="16">
        <v>1</v>
      </c>
      <c r="Q12" s="16">
        <f t="shared" si="0"/>
        <v>0</v>
      </c>
      <c r="R12" s="16">
        <f t="shared" si="1"/>
        <v>1</v>
      </c>
      <c r="S12" s="17"/>
      <c r="AH12" s="16">
        <f t="shared" si="2"/>
        <v>0</v>
      </c>
      <c r="AI12" s="16">
        <f t="shared" si="3"/>
        <v>0</v>
      </c>
      <c r="AJ12" s="18"/>
      <c r="AY12" s="16">
        <f t="shared" si="4"/>
        <v>0</v>
      </c>
      <c r="AZ12" s="16">
        <f t="shared" si="5"/>
        <v>0</v>
      </c>
      <c r="BA12" s="18"/>
      <c r="BP12" s="16">
        <f t="shared" si="6"/>
        <v>0</v>
      </c>
      <c r="BQ12" s="16">
        <f t="shared" si="7"/>
        <v>0</v>
      </c>
      <c r="BR12" s="18"/>
      <c r="CG12" s="16">
        <f t="shared" si="8"/>
        <v>0</v>
      </c>
      <c r="CH12" s="16">
        <f t="shared" si="9"/>
        <v>0</v>
      </c>
      <c r="CI12" s="18"/>
      <c r="CX12" s="16">
        <f t="shared" si="10"/>
        <v>0</v>
      </c>
      <c r="CY12" s="16">
        <f t="shared" si="11"/>
        <v>0</v>
      </c>
      <c r="CZ12" s="18"/>
      <c r="DO12" s="16">
        <f t="shared" si="12"/>
        <v>0</v>
      </c>
      <c r="DP12" s="16">
        <f t="shared" si="13"/>
        <v>0</v>
      </c>
      <c r="DQ12" s="18"/>
      <c r="EF12" s="16">
        <f t="shared" si="14"/>
        <v>0</v>
      </c>
      <c r="EG12" s="16">
        <f t="shared" si="15"/>
        <v>0</v>
      </c>
      <c r="EH12" s="18"/>
      <c r="EW12" s="16">
        <f t="shared" si="16"/>
        <v>0</v>
      </c>
      <c r="EX12" s="16">
        <f t="shared" si="17"/>
        <v>0</v>
      </c>
      <c r="EY12" s="18"/>
      <c r="FN12" s="16">
        <f t="shared" si="18"/>
        <v>0</v>
      </c>
      <c r="FO12" s="16">
        <f t="shared" si="19"/>
        <v>0</v>
      </c>
      <c r="FP12" s="18"/>
      <c r="GE12" s="16">
        <f t="shared" si="20"/>
        <v>0</v>
      </c>
      <c r="GF12" s="16">
        <f t="shared" si="21"/>
        <v>0</v>
      </c>
      <c r="GG12" s="18"/>
      <c r="GV12" s="16">
        <f t="shared" si="22"/>
        <v>0</v>
      </c>
      <c r="GW12" s="16">
        <f t="shared" si="23"/>
        <v>0</v>
      </c>
      <c r="GX12" s="18"/>
      <c r="HM12" s="16">
        <f t="shared" si="24"/>
        <v>0</v>
      </c>
      <c r="HN12" s="16">
        <f t="shared" si="25"/>
        <v>0</v>
      </c>
      <c r="HO12" s="18"/>
      <c r="ID12" s="16">
        <f t="shared" si="26"/>
        <v>0</v>
      </c>
      <c r="IE12" s="16">
        <f t="shared" si="27"/>
        <v>0</v>
      </c>
      <c r="IF12" s="18"/>
      <c r="IU12" s="16">
        <f t="shared" si="28"/>
        <v>0</v>
      </c>
      <c r="IV12" s="16">
        <f t="shared" si="29"/>
        <v>0</v>
      </c>
    </row>
    <row r="13" spans="1:256" s="16" customFormat="1" x14ac:dyDescent="0.25">
      <c r="A13" s="15" t="s">
        <v>41</v>
      </c>
      <c r="B13" s="49"/>
      <c r="C13" s="16">
        <v>2</v>
      </c>
      <c r="J13" s="16">
        <v>1</v>
      </c>
      <c r="Q13" s="16">
        <f t="shared" si="0"/>
        <v>0</v>
      </c>
      <c r="R13" s="16">
        <f t="shared" si="1"/>
        <v>2</v>
      </c>
      <c r="S13" s="17"/>
      <c r="AH13" s="16">
        <f t="shared" si="2"/>
        <v>0</v>
      </c>
      <c r="AI13" s="16">
        <f t="shared" si="3"/>
        <v>0</v>
      </c>
      <c r="AJ13" s="18"/>
      <c r="AY13" s="16">
        <f t="shared" si="4"/>
        <v>0</v>
      </c>
      <c r="AZ13" s="16">
        <f t="shared" si="5"/>
        <v>0</v>
      </c>
      <c r="BA13" s="18"/>
      <c r="BP13" s="16">
        <f t="shared" si="6"/>
        <v>0</v>
      </c>
      <c r="BQ13" s="16">
        <f t="shared" si="7"/>
        <v>0</v>
      </c>
      <c r="BR13" s="18"/>
      <c r="CG13" s="16">
        <f t="shared" si="8"/>
        <v>0</v>
      </c>
      <c r="CH13" s="16">
        <f t="shared" si="9"/>
        <v>0</v>
      </c>
      <c r="CI13" s="18"/>
      <c r="CX13" s="16">
        <f t="shared" si="10"/>
        <v>0</v>
      </c>
      <c r="CY13" s="16">
        <f t="shared" si="11"/>
        <v>0</v>
      </c>
      <c r="CZ13" s="18"/>
      <c r="DO13" s="16">
        <f t="shared" si="12"/>
        <v>0</v>
      </c>
      <c r="DP13" s="16">
        <f t="shared" si="13"/>
        <v>0</v>
      </c>
      <c r="DQ13" s="18"/>
      <c r="EF13" s="16">
        <f t="shared" si="14"/>
        <v>0</v>
      </c>
      <c r="EG13" s="16">
        <f t="shared" si="15"/>
        <v>0</v>
      </c>
      <c r="EH13" s="18"/>
      <c r="EW13" s="16">
        <f t="shared" si="16"/>
        <v>0</v>
      </c>
      <c r="EX13" s="16">
        <f t="shared" si="17"/>
        <v>0</v>
      </c>
      <c r="EY13" s="18"/>
      <c r="FN13" s="16">
        <f t="shared" si="18"/>
        <v>0</v>
      </c>
      <c r="FO13" s="16">
        <f t="shared" si="19"/>
        <v>0</v>
      </c>
      <c r="FP13" s="18"/>
      <c r="GE13" s="16">
        <f t="shared" si="20"/>
        <v>0</v>
      </c>
      <c r="GF13" s="16">
        <f t="shared" si="21"/>
        <v>0</v>
      </c>
      <c r="GG13" s="18"/>
      <c r="GV13" s="16">
        <f t="shared" si="22"/>
        <v>0</v>
      </c>
      <c r="GW13" s="16">
        <f t="shared" si="23"/>
        <v>0</v>
      </c>
      <c r="GX13" s="18"/>
      <c r="HM13" s="16">
        <f t="shared" si="24"/>
        <v>0</v>
      </c>
      <c r="HN13" s="16">
        <f t="shared" si="25"/>
        <v>0</v>
      </c>
      <c r="HO13" s="18"/>
      <c r="ID13" s="16">
        <f t="shared" si="26"/>
        <v>0</v>
      </c>
      <c r="IE13" s="16">
        <f t="shared" si="27"/>
        <v>0</v>
      </c>
      <c r="IF13" s="18"/>
      <c r="IU13" s="16">
        <f t="shared" si="28"/>
        <v>0</v>
      </c>
      <c r="IV13" s="16">
        <f t="shared" si="29"/>
        <v>0</v>
      </c>
    </row>
    <row r="14" spans="1:256" s="16" customFormat="1" x14ac:dyDescent="0.25">
      <c r="A14" s="15" t="s">
        <v>42</v>
      </c>
      <c r="B14" s="49"/>
      <c r="C14" s="16">
        <v>3</v>
      </c>
      <c r="D14" s="16">
        <v>2</v>
      </c>
      <c r="E14" s="16">
        <v>2</v>
      </c>
      <c r="I14" s="16">
        <v>1</v>
      </c>
      <c r="J14" s="16">
        <v>1</v>
      </c>
      <c r="L14" s="16">
        <v>1</v>
      </c>
      <c r="Q14" s="16">
        <f t="shared" si="0"/>
        <v>2</v>
      </c>
      <c r="R14" s="16">
        <f t="shared" si="1"/>
        <v>3</v>
      </c>
      <c r="S14" s="17"/>
      <c r="AH14" s="16">
        <f t="shared" si="2"/>
        <v>0</v>
      </c>
      <c r="AI14" s="16">
        <f t="shared" si="3"/>
        <v>0</v>
      </c>
      <c r="AJ14" s="18"/>
      <c r="AY14" s="16">
        <f t="shared" si="4"/>
        <v>0</v>
      </c>
      <c r="AZ14" s="16">
        <f t="shared" si="5"/>
        <v>0</v>
      </c>
      <c r="BA14" s="18"/>
      <c r="BP14" s="16">
        <f t="shared" si="6"/>
        <v>0</v>
      </c>
      <c r="BQ14" s="16">
        <f t="shared" si="7"/>
        <v>0</v>
      </c>
      <c r="BR14" s="18"/>
      <c r="CG14" s="16">
        <f t="shared" si="8"/>
        <v>0</v>
      </c>
      <c r="CH14" s="16">
        <f t="shared" si="9"/>
        <v>0</v>
      </c>
      <c r="CI14" s="18"/>
      <c r="CX14" s="16">
        <f t="shared" si="10"/>
        <v>0</v>
      </c>
      <c r="CY14" s="16">
        <f t="shared" si="11"/>
        <v>0</v>
      </c>
      <c r="CZ14" s="18"/>
      <c r="DO14" s="16">
        <f t="shared" si="12"/>
        <v>0</v>
      </c>
      <c r="DP14" s="16">
        <f t="shared" si="13"/>
        <v>0</v>
      </c>
      <c r="DQ14" s="18"/>
      <c r="EF14" s="16">
        <f t="shared" si="14"/>
        <v>0</v>
      </c>
      <c r="EG14" s="16">
        <f t="shared" si="15"/>
        <v>0</v>
      </c>
      <c r="EH14" s="18"/>
      <c r="EW14" s="16">
        <f t="shared" si="16"/>
        <v>0</v>
      </c>
      <c r="EX14" s="16">
        <f t="shared" si="17"/>
        <v>0</v>
      </c>
      <c r="EY14" s="18"/>
      <c r="FN14" s="16">
        <f t="shared" si="18"/>
        <v>0</v>
      </c>
      <c r="FO14" s="16">
        <f t="shared" si="19"/>
        <v>0</v>
      </c>
      <c r="FP14" s="18"/>
      <c r="GE14" s="16">
        <f t="shared" si="20"/>
        <v>0</v>
      </c>
      <c r="GF14" s="16">
        <f t="shared" si="21"/>
        <v>0</v>
      </c>
      <c r="GG14" s="18"/>
      <c r="GV14" s="16">
        <f t="shared" si="22"/>
        <v>0</v>
      </c>
      <c r="GW14" s="16">
        <f t="shared" si="23"/>
        <v>0</v>
      </c>
      <c r="GX14" s="18"/>
      <c r="HM14" s="16">
        <f t="shared" si="24"/>
        <v>0</v>
      </c>
      <c r="HN14" s="16">
        <f t="shared" si="25"/>
        <v>0</v>
      </c>
      <c r="HO14" s="18"/>
      <c r="ID14" s="16">
        <f t="shared" si="26"/>
        <v>0</v>
      </c>
      <c r="IE14" s="16">
        <f t="shared" si="27"/>
        <v>0</v>
      </c>
      <c r="IF14" s="18"/>
      <c r="IU14" s="16">
        <f t="shared" si="28"/>
        <v>0</v>
      </c>
      <c r="IV14" s="16">
        <f t="shared" si="29"/>
        <v>0</v>
      </c>
    </row>
    <row r="15" spans="1:256" s="16" customFormat="1" x14ac:dyDescent="0.25">
      <c r="A15" s="15" t="s">
        <v>43</v>
      </c>
      <c r="B15" s="49"/>
      <c r="C15" s="16">
        <v>3</v>
      </c>
      <c r="D15" s="16">
        <v>1</v>
      </c>
      <c r="E15" s="16">
        <v>2</v>
      </c>
      <c r="G15" s="16">
        <v>1</v>
      </c>
      <c r="Q15" s="16">
        <f t="shared" si="0"/>
        <v>4</v>
      </c>
      <c r="R15" s="16">
        <f t="shared" si="1"/>
        <v>3</v>
      </c>
      <c r="S15" s="17"/>
      <c r="AH15" s="16">
        <f t="shared" si="2"/>
        <v>0</v>
      </c>
      <c r="AI15" s="16">
        <f t="shared" si="3"/>
        <v>0</v>
      </c>
      <c r="AJ15" s="18"/>
      <c r="AY15" s="16">
        <f t="shared" si="4"/>
        <v>0</v>
      </c>
      <c r="AZ15" s="16">
        <f t="shared" si="5"/>
        <v>0</v>
      </c>
      <c r="BA15" s="18"/>
      <c r="BP15" s="16">
        <f t="shared" si="6"/>
        <v>0</v>
      </c>
      <c r="BQ15" s="16">
        <f t="shared" si="7"/>
        <v>0</v>
      </c>
      <c r="BR15" s="18"/>
      <c r="CG15" s="16">
        <f t="shared" si="8"/>
        <v>0</v>
      </c>
      <c r="CH15" s="16">
        <f t="shared" si="9"/>
        <v>0</v>
      </c>
      <c r="CI15" s="18"/>
      <c r="CX15" s="16">
        <f t="shared" si="10"/>
        <v>0</v>
      </c>
      <c r="CY15" s="16">
        <f t="shared" si="11"/>
        <v>0</v>
      </c>
      <c r="CZ15" s="18"/>
      <c r="DO15" s="16">
        <f t="shared" si="12"/>
        <v>0</v>
      </c>
      <c r="DP15" s="16">
        <f t="shared" si="13"/>
        <v>0</v>
      </c>
      <c r="DQ15" s="18"/>
      <c r="EF15" s="16">
        <f t="shared" si="14"/>
        <v>0</v>
      </c>
      <c r="EG15" s="16">
        <f t="shared" si="15"/>
        <v>0</v>
      </c>
      <c r="EH15" s="18"/>
      <c r="EW15" s="16">
        <f t="shared" si="16"/>
        <v>0</v>
      </c>
      <c r="EX15" s="16">
        <f t="shared" si="17"/>
        <v>0</v>
      </c>
      <c r="EY15" s="18"/>
      <c r="FN15" s="16">
        <f t="shared" si="18"/>
        <v>0</v>
      </c>
      <c r="FO15" s="16">
        <f t="shared" si="19"/>
        <v>0</v>
      </c>
      <c r="FP15" s="18"/>
      <c r="GE15" s="16">
        <f t="shared" si="20"/>
        <v>0</v>
      </c>
      <c r="GF15" s="16">
        <f t="shared" si="21"/>
        <v>0</v>
      </c>
      <c r="GG15" s="18"/>
      <c r="GV15" s="16">
        <f t="shared" si="22"/>
        <v>0</v>
      </c>
      <c r="GW15" s="16">
        <f t="shared" si="23"/>
        <v>0</v>
      </c>
      <c r="GX15" s="18"/>
      <c r="HM15" s="16">
        <f t="shared" si="24"/>
        <v>0</v>
      </c>
      <c r="HN15" s="16">
        <f t="shared" si="25"/>
        <v>0</v>
      </c>
      <c r="HO15" s="18"/>
      <c r="ID15" s="16">
        <f t="shared" si="26"/>
        <v>0</v>
      </c>
      <c r="IE15" s="16">
        <f t="shared" si="27"/>
        <v>0</v>
      </c>
      <c r="IF15" s="18"/>
      <c r="IU15" s="16">
        <f t="shared" si="28"/>
        <v>0</v>
      </c>
      <c r="IV15" s="16">
        <f t="shared" si="29"/>
        <v>0</v>
      </c>
    </row>
    <row r="16" spans="1:256" s="16" customFormat="1" x14ac:dyDescent="0.25">
      <c r="A16" s="15" t="s">
        <v>44</v>
      </c>
      <c r="B16" s="49"/>
      <c r="C16" s="16">
        <v>3</v>
      </c>
      <c r="D16" s="16">
        <v>2</v>
      </c>
      <c r="E16" s="16">
        <v>2</v>
      </c>
      <c r="F16" s="16">
        <v>1</v>
      </c>
      <c r="I16" s="16">
        <v>2</v>
      </c>
      <c r="J16" s="16">
        <v>1</v>
      </c>
      <c r="L16" s="16">
        <v>3</v>
      </c>
      <c r="Q16" s="16">
        <f t="shared" si="0"/>
        <v>3</v>
      </c>
      <c r="R16" s="16">
        <f t="shared" si="1"/>
        <v>3</v>
      </c>
      <c r="S16" s="17"/>
      <c r="AH16" s="16">
        <f t="shared" si="2"/>
        <v>0</v>
      </c>
      <c r="AI16" s="16">
        <f t="shared" si="3"/>
        <v>0</v>
      </c>
      <c r="AJ16" s="18"/>
      <c r="AY16" s="16">
        <f t="shared" si="4"/>
        <v>0</v>
      </c>
      <c r="AZ16" s="16">
        <f t="shared" si="5"/>
        <v>0</v>
      </c>
      <c r="BA16" s="18"/>
      <c r="BP16" s="16">
        <f t="shared" si="6"/>
        <v>0</v>
      </c>
      <c r="BQ16" s="16">
        <f t="shared" si="7"/>
        <v>0</v>
      </c>
      <c r="BR16" s="18"/>
      <c r="CG16" s="16">
        <f t="shared" si="8"/>
        <v>0</v>
      </c>
      <c r="CH16" s="16">
        <f t="shared" si="9"/>
        <v>0</v>
      </c>
      <c r="CI16" s="18"/>
      <c r="CX16" s="16">
        <f t="shared" si="10"/>
        <v>0</v>
      </c>
      <c r="CY16" s="16">
        <f t="shared" si="11"/>
        <v>0</v>
      </c>
      <c r="CZ16" s="18"/>
      <c r="DO16" s="16">
        <f t="shared" si="12"/>
        <v>0</v>
      </c>
      <c r="DP16" s="16">
        <f t="shared" si="13"/>
        <v>0</v>
      </c>
      <c r="DQ16" s="18"/>
      <c r="EF16" s="16">
        <f t="shared" si="14"/>
        <v>0</v>
      </c>
      <c r="EG16" s="16">
        <f t="shared" si="15"/>
        <v>0</v>
      </c>
      <c r="EH16" s="18"/>
      <c r="EW16" s="16">
        <f t="shared" si="16"/>
        <v>0</v>
      </c>
      <c r="EX16" s="16">
        <f t="shared" si="17"/>
        <v>0</v>
      </c>
      <c r="EY16" s="18"/>
      <c r="FN16" s="16">
        <f t="shared" si="18"/>
        <v>0</v>
      </c>
      <c r="FO16" s="16">
        <f t="shared" si="19"/>
        <v>0</v>
      </c>
      <c r="FP16" s="18"/>
      <c r="GE16" s="16">
        <f t="shared" si="20"/>
        <v>0</v>
      </c>
      <c r="GF16" s="16">
        <f t="shared" si="21"/>
        <v>0</v>
      </c>
      <c r="GG16" s="18"/>
      <c r="GV16" s="16">
        <f t="shared" si="22"/>
        <v>0</v>
      </c>
      <c r="GW16" s="16">
        <f t="shared" si="23"/>
        <v>0</v>
      </c>
      <c r="GX16" s="18"/>
      <c r="HM16" s="16">
        <f t="shared" si="24"/>
        <v>0</v>
      </c>
      <c r="HN16" s="16">
        <f t="shared" si="25"/>
        <v>0</v>
      </c>
      <c r="HO16" s="18"/>
      <c r="ID16" s="16">
        <f t="shared" si="26"/>
        <v>0</v>
      </c>
      <c r="IE16" s="16">
        <f t="shared" si="27"/>
        <v>0</v>
      </c>
      <c r="IF16" s="18"/>
      <c r="IU16" s="16">
        <f t="shared" si="28"/>
        <v>0</v>
      </c>
      <c r="IV16" s="16">
        <f t="shared" si="29"/>
        <v>0</v>
      </c>
    </row>
    <row r="17" spans="1:256" s="16" customFormat="1" x14ac:dyDescent="0.25">
      <c r="A17" s="19" t="s">
        <v>45</v>
      </c>
      <c r="B17" s="49"/>
      <c r="C17" s="16">
        <v>2</v>
      </c>
      <c r="D17" s="16">
        <v>1</v>
      </c>
      <c r="J17" s="16">
        <v>1</v>
      </c>
      <c r="K17" s="16">
        <v>1</v>
      </c>
      <c r="L17" s="16">
        <v>1</v>
      </c>
      <c r="Q17" s="16">
        <f t="shared" si="0"/>
        <v>0</v>
      </c>
      <c r="R17" s="16">
        <f t="shared" si="1"/>
        <v>3</v>
      </c>
      <c r="S17" s="17"/>
      <c r="AH17" s="16">
        <f t="shared" si="2"/>
        <v>0</v>
      </c>
      <c r="AI17" s="16">
        <f t="shared" si="3"/>
        <v>0</v>
      </c>
      <c r="AJ17" s="18"/>
      <c r="AY17" s="16">
        <f t="shared" si="4"/>
        <v>0</v>
      </c>
      <c r="AZ17" s="16">
        <f t="shared" si="5"/>
        <v>0</v>
      </c>
      <c r="BA17" s="18"/>
      <c r="BP17" s="16">
        <f t="shared" si="6"/>
        <v>0</v>
      </c>
      <c r="BQ17" s="16">
        <f t="shared" si="7"/>
        <v>0</v>
      </c>
      <c r="BR17" s="18"/>
      <c r="CG17" s="16">
        <f t="shared" si="8"/>
        <v>0</v>
      </c>
      <c r="CH17" s="16">
        <f t="shared" si="9"/>
        <v>0</v>
      </c>
      <c r="CI17" s="18"/>
      <c r="CX17" s="16">
        <f t="shared" si="10"/>
        <v>0</v>
      </c>
      <c r="CY17" s="16">
        <f t="shared" si="11"/>
        <v>0</v>
      </c>
      <c r="CZ17" s="18"/>
      <c r="DO17" s="16">
        <f t="shared" si="12"/>
        <v>0</v>
      </c>
      <c r="DP17" s="16">
        <f t="shared" si="13"/>
        <v>0</v>
      </c>
      <c r="DQ17" s="18"/>
      <c r="EF17" s="16">
        <f t="shared" si="14"/>
        <v>0</v>
      </c>
      <c r="EG17" s="16">
        <f t="shared" si="15"/>
        <v>0</v>
      </c>
      <c r="EH17" s="18"/>
      <c r="EW17" s="16">
        <f t="shared" si="16"/>
        <v>0</v>
      </c>
      <c r="EX17" s="16">
        <f t="shared" si="17"/>
        <v>0</v>
      </c>
      <c r="EY17" s="18"/>
      <c r="FN17" s="16">
        <f t="shared" si="18"/>
        <v>0</v>
      </c>
      <c r="FO17" s="16">
        <f t="shared" si="19"/>
        <v>0</v>
      </c>
      <c r="FP17" s="18"/>
      <c r="GE17" s="16">
        <f t="shared" si="20"/>
        <v>0</v>
      </c>
      <c r="GF17" s="16">
        <f t="shared" si="21"/>
        <v>0</v>
      </c>
      <c r="GG17" s="18"/>
      <c r="GV17" s="16">
        <f t="shared" si="22"/>
        <v>0</v>
      </c>
      <c r="GW17" s="16">
        <f t="shared" si="23"/>
        <v>0</v>
      </c>
      <c r="GX17" s="18"/>
      <c r="HM17" s="16">
        <f t="shared" si="24"/>
        <v>0</v>
      </c>
      <c r="HN17" s="16">
        <f t="shared" si="25"/>
        <v>0</v>
      </c>
      <c r="HO17" s="18"/>
      <c r="ID17" s="16">
        <f t="shared" si="26"/>
        <v>0</v>
      </c>
      <c r="IE17" s="16">
        <f t="shared" si="27"/>
        <v>0</v>
      </c>
      <c r="IF17" s="18"/>
      <c r="IU17" s="16">
        <f t="shared" si="28"/>
        <v>0</v>
      </c>
      <c r="IV17" s="16">
        <f t="shared" si="29"/>
        <v>0</v>
      </c>
    </row>
    <row r="18" spans="1:256" s="16" customFormat="1" x14ac:dyDescent="0.25">
      <c r="A18" s="19" t="s">
        <v>46</v>
      </c>
      <c r="B18" s="49"/>
      <c r="Q18" s="16">
        <f t="shared" si="0"/>
        <v>0</v>
      </c>
      <c r="R18" s="16">
        <f t="shared" si="1"/>
        <v>0</v>
      </c>
      <c r="S18" s="17"/>
      <c r="AH18" s="16">
        <f t="shared" si="2"/>
        <v>0</v>
      </c>
      <c r="AI18" s="16">
        <f t="shared" si="3"/>
        <v>0</v>
      </c>
      <c r="AJ18" s="18"/>
      <c r="AY18" s="16">
        <f t="shared" si="4"/>
        <v>0</v>
      </c>
      <c r="AZ18" s="16">
        <f t="shared" si="5"/>
        <v>0</v>
      </c>
      <c r="BA18" s="18"/>
      <c r="BP18" s="16">
        <f t="shared" si="6"/>
        <v>0</v>
      </c>
      <c r="BQ18" s="16">
        <f t="shared" si="7"/>
        <v>0</v>
      </c>
      <c r="BR18" s="18"/>
      <c r="CG18" s="16">
        <f t="shared" si="8"/>
        <v>0</v>
      </c>
      <c r="CH18" s="16">
        <f t="shared" si="9"/>
        <v>0</v>
      </c>
      <c r="CI18" s="18"/>
      <c r="CX18" s="16">
        <f t="shared" si="10"/>
        <v>0</v>
      </c>
      <c r="CY18" s="16">
        <f t="shared" si="11"/>
        <v>0</v>
      </c>
      <c r="CZ18" s="18"/>
      <c r="DO18" s="16">
        <f t="shared" si="12"/>
        <v>0</v>
      </c>
      <c r="DP18" s="16">
        <f t="shared" si="13"/>
        <v>0</v>
      </c>
      <c r="DQ18" s="18"/>
      <c r="EF18" s="16">
        <f t="shared" si="14"/>
        <v>0</v>
      </c>
      <c r="EG18" s="16">
        <f t="shared" si="15"/>
        <v>0</v>
      </c>
      <c r="EH18" s="18"/>
      <c r="EW18" s="16">
        <f t="shared" si="16"/>
        <v>0</v>
      </c>
      <c r="EX18" s="16">
        <f t="shared" si="17"/>
        <v>0</v>
      </c>
      <c r="EY18" s="18"/>
      <c r="FN18" s="16">
        <f t="shared" si="18"/>
        <v>0</v>
      </c>
      <c r="FO18" s="16">
        <f t="shared" si="19"/>
        <v>0</v>
      </c>
      <c r="FP18" s="18"/>
      <c r="GE18" s="16">
        <f t="shared" si="20"/>
        <v>0</v>
      </c>
      <c r="GF18" s="16">
        <f t="shared" si="21"/>
        <v>0</v>
      </c>
      <c r="GG18" s="18"/>
      <c r="GV18" s="16">
        <f t="shared" si="22"/>
        <v>0</v>
      </c>
      <c r="GW18" s="16">
        <f t="shared" si="23"/>
        <v>0</v>
      </c>
      <c r="GX18" s="18"/>
      <c r="HM18" s="16">
        <f t="shared" si="24"/>
        <v>0</v>
      </c>
      <c r="HN18" s="16">
        <f t="shared" si="25"/>
        <v>0</v>
      </c>
      <c r="HO18" s="18"/>
      <c r="ID18" s="16">
        <f t="shared" si="26"/>
        <v>0</v>
      </c>
      <c r="IE18" s="16">
        <f t="shared" si="27"/>
        <v>0</v>
      </c>
      <c r="IF18" s="18"/>
      <c r="IU18" s="16">
        <f t="shared" si="28"/>
        <v>0</v>
      </c>
      <c r="IV18" s="16">
        <f t="shared" si="29"/>
        <v>0</v>
      </c>
    </row>
    <row r="19" spans="1:256" s="16" customFormat="1" x14ac:dyDescent="0.25">
      <c r="A19" s="19" t="s">
        <v>47</v>
      </c>
      <c r="B19" s="49"/>
      <c r="Q19" s="16">
        <f t="shared" si="0"/>
        <v>0</v>
      </c>
      <c r="R19" s="16">
        <f t="shared" si="1"/>
        <v>0</v>
      </c>
      <c r="S19" s="17"/>
      <c r="AH19" s="16">
        <f t="shared" si="2"/>
        <v>0</v>
      </c>
      <c r="AI19" s="16">
        <f t="shared" si="3"/>
        <v>0</v>
      </c>
      <c r="AJ19" s="18"/>
      <c r="AY19" s="16">
        <f t="shared" si="4"/>
        <v>0</v>
      </c>
      <c r="AZ19" s="16">
        <f t="shared" si="5"/>
        <v>0</v>
      </c>
      <c r="BA19" s="18"/>
      <c r="BP19" s="16">
        <f t="shared" si="6"/>
        <v>0</v>
      </c>
      <c r="BQ19" s="16">
        <f t="shared" si="7"/>
        <v>0</v>
      </c>
      <c r="BR19" s="18"/>
      <c r="CG19" s="16">
        <f t="shared" si="8"/>
        <v>0</v>
      </c>
      <c r="CH19" s="16">
        <f t="shared" si="9"/>
        <v>0</v>
      </c>
      <c r="CI19" s="18"/>
      <c r="CX19" s="16">
        <f t="shared" si="10"/>
        <v>0</v>
      </c>
      <c r="CY19" s="16">
        <f t="shared" si="11"/>
        <v>0</v>
      </c>
      <c r="CZ19" s="18"/>
      <c r="DO19" s="16">
        <f t="shared" si="12"/>
        <v>0</v>
      </c>
      <c r="DP19" s="16">
        <f t="shared" si="13"/>
        <v>0</v>
      </c>
      <c r="DQ19" s="18"/>
      <c r="EF19" s="16">
        <f t="shared" si="14"/>
        <v>0</v>
      </c>
      <c r="EG19" s="16">
        <f t="shared" si="15"/>
        <v>0</v>
      </c>
      <c r="EH19" s="18"/>
      <c r="EW19" s="16">
        <f t="shared" si="16"/>
        <v>0</v>
      </c>
      <c r="EX19" s="16">
        <f t="shared" si="17"/>
        <v>0</v>
      </c>
      <c r="EY19" s="18"/>
      <c r="FN19" s="16">
        <f t="shared" si="18"/>
        <v>0</v>
      </c>
      <c r="FO19" s="16">
        <f t="shared" si="19"/>
        <v>0</v>
      </c>
      <c r="FP19" s="18"/>
      <c r="GE19" s="16">
        <f t="shared" si="20"/>
        <v>0</v>
      </c>
      <c r="GF19" s="16">
        <f t="shared" si="21"/>
        <v>0</v>
      </c>
      <c r="GG19" s="18"/>
      <c r="GV19" s="16">
        <f t="shared" si="22"/>
        <v>0</v>
      </c>
      <c r="GW19" s="16">
        <f t="shared" si="23"/>
        <v>0</v>
      </c>
      <c r="GX19" s="18"/>
      <c r="HM19" s="16">
        <f t="shared" si="24"/>
        <v>0</v>
      </c>
      <c r="HN19" s="16">
        <f t="shared" si="25"/>
        <v>0</v>
      </c>
      <c r="HO19" s="18"/>
      <c r="ID19" s="16">
        <f t="shared" si="26"/>
        <v>0</v>
      </c>
      <c r="IE19" s="16">
        <f t="shared" si="27"/>
        <v>0</v>
      </c>
      <c r="IF19" s="18"/>
      <c r="IU19" s="16">
        <f t="shared" si="28"/>
        <v>0</v>
      </c>
      <c r="IV19" s="16">
        <f t="shared" si="29"/>
        <v>0</v>
      </c>
    </row>
    <row r="20" spans="1:256" s="16" customFormat="1" x14ac:dyDescent="0.25">
      <c r="A20" s="19"/>
      <c r="B20" s="49"/>
      <c r="Q20" s="16">
        <f t="shared" si="0"/>
        <v>0</v>
      </c>
      <c r="R20" s="16">
        <f t="shared" si="1"/>
        <v>0</v>
      </c>
      <c r="S20" s="17"/>
      <c r="AH20" s="16">
        <f t="shared" si="2"/>
        <v>0</v>
      </c>
      <c r="AI20" s="16">
        <f t="shared" si="3"/>
        <v>0</v>
      </c>
      <c r="AJ20" s="18"/>
      <c r="AY20" s="16">
        <f t="shared" si="4"/>
        <v>0</v>
      </c>
      <c r="AZ20" s="16">
        <f t="shared" si="5"/>
        <v>0</v>
      </c>
      <c r="BA20" s="18"/>
      <c r="BP20" s="16">
        <f t="shared" si="6"/>
        <v>0</v>
      </c>
      <c r="BQ20" s="16">
        <f t="shared" si="7"/>
        <v>0</v>
      </c>
      <c r="BR20" s="18"/>
      <c r="CG20" s="16">
        <f t="shared" si="8"/>
        <v>0</v>
      </c>
      <c r="CH20" s="16">
        <f t="shared" si="9"/>
        <v>0</v>
      </c>
      <c r="CI20" s="18"/>
      <c r="CX20" s="16">
        <f t="shared" si="10"/>
        <v>0</v>
      </c>
      <c r="CY20" s="16">
        <f t="shared" si="11"/>
        <v>0</v>
      </c>
      <c r="CZ20" s="18"/>
      <c r="DO20" s="16">
        <f t="shared" si="12"/>
        <v>0</v>
      </c>
      <c r="DP20" s="16">
        <f t="shared" si="13"/>
        <v>0</v>
      </c>
      <c r="DQ20" s="18"/>
      <c r="EF20" s="16">
        <f t="shared" si="14"/>
        <v>0</v>
      </c>
      <c r="EG20" s="16">
        <f t="shared" si="15"/>
        <v>0</v>
      </c>
      <c r="EH20" s="18"/>
      <c r="EW20" s="16">
        <f t="shared" si="16"/>
        <v>0</v>
      </c>
      <c r="EX20" s="16">
        <f t="shared" si="17"/>
        <v>0</v>
      </c>
      <c r="EY20" s="18"/>
      <c r="FN20" s="16">
        <f t="shared" si="18"/>
        <v>0</v>
      </c>
      <c r="FO20" s="16">
        <f t="shared" si="19"/>
        <v>0</v>
      </c>
      <c r="FP20" s="18"/>
      <c r="GE20" s="16">
        <f t="shared" si="20"/>
        <v>0</v>
      </c>
      <c r="GF20" s="16">
        <f t="shared" si="21"/>
        <v>0</v>
      </c>
      <c r="GG20" s="18"/>
      <c r="GV20" s="16">
        <f t="shared" si="22"/>
        <v>0</v>
      </c>
      <c r="GW20" s="16">
        <f t="shared" si="23"/>
        <v>0</v>
      </c>
      <c r="GX20" s="18"/>
      <c r="HM20" s="16">
        <f t="shared" si="24"/>
        <v>0</v>
      </c>
      <c r="HN20" s="16">
        <f t="shared" si="25"/>
        <v>0</v>
      </c>
      <c r="HO20" s="18"/>
      <c r="ID20" s="16">
        <f t="shared" si="26"/>
        <v>0</v>
      </c>
      <c r="IE20" s="16">
        <f t="shared" si="27"/>
        <v>0</v>
      </c>
      <c r="IF20" s="18"/>
      <c r="IU20" s="16">
        <f t="shared" si="28"/>
        <v>0</v>
      </c>
      <c r="IV20" s="16">
        <f t="shared" si="29"/>
        <v>0</v>
      </c>
    </row>
    <row r="21" spans="1:256" s="16" customFormat="1" x14ac:dyDescent="0.25">
      <c r="A21" s="19"/>
      <c r="B21" s="49"/>
      <c r="Q21" s="16">
        <f t="shared" si="0"/>
        <v>0</v>
      </c>
      <c r="R21" s="16">
        <f t="shared" si="1"/>
        <v>0</v>
      </c>
      <c r="S21" s="17"/>
      <c r="AH21" s="16">
        <f t="shared" si="2"/>
        <v>0</v>
      </c>
      <c r="AI21" s="16">
        <f t="shared" si="3"/>
        <v>0</v>
      </c>
      <c r="AJ21" s="18"/>
      <c r="AY21" s="16">
        <f t="shared" si="4"/>
        <v>0</v>
      </c>
      <c r="AZ21" s="16">
        <f t="shared" si="5"/>
        <v>0</v>
      </c>
      <c r="BA21" s="18"/>
      <c r="BP21" s="16">
        <f t="shared" si="6"/>
        <v>0</v>
      </c>
      <c r="BQ21" s="16">
        <f t="shared" si="7"/>
        <v>0</v>
      </c>
      <c r="BR21" s="18"/>
      <c r="CG21" s="16">
        <f t="shared" si="8"/>
        <v>0</v>
      </c>
      <c r="CH21" s="16">
        <f t="shared" si="9"/>
        <v>0</v>
      </c>
      <c r="CI21" s="18"/>
      <c r="CX21" s="16">
        <f t="shared" si="10"/>
        <v>0</v>
      </c>
      <c r="CY21" s="16">
        <f t="shared" si="11"/>
        <v>0</v>
      </c>
      <c r="CZ21" s="18"/>
      <c r="DO21" s="16">
        <f t="shared" si="12"/>
        <v>0</v>
      </c>
      <c r="DP21" s="16">
        <f t="shared" si="13"/>
        <v>0</v>
      </c>
      <c r="DQ21" s="18"/>
      <c r="EF21" s="16">
        <f t="shared" si="14"/>
        <v>0</v>
      </c>
      <c r="EG21" s="16">
        <f t="shared" si="15"/>
        <v>0</v>
      </c>
      <c r="EH21" s="18"/>
      <c r="EW21" s="16">
        <f t="shared" si="16"/>
        <v>0</v>
      </c>
      <c r="EX21" s="16">
        <f t="shared" si="17"/>
        <v>0</v>
      </c>
      <c r="EY21" s="18"/>
      <c r="FN21" s="16">
        <f t="shared" si="18"/>
        <v>0</v>
      </c>
      <c r="FO21" s="16">
        <f t="shared" si="19"/>
        <v>0</v>
      </c>
      <c r="FP21" s="18"/>
      <c r="GE21" s="16">
        <f t="shared" si="20"/>
        <v>0</v>
      </c>
      <c r="GF21" s="16">
        <f t="shared" si="21"/>
        <v>0</v>
      </c>
      <c r="GG21" s="18"/>
      <c r="GV21" s="16">
        <f t="shared" si="22"/>
        <v>0</v>
      </c>
      <c r="GW21" s="16">
        <f t="shared" si="23"/>
        <v>0</v>
      </c>
      <c r="GX21" s="18"/>
      <c r="HM21" s="16">
        <f t="shared" si="24"/>
        <v>0</v>
      </c>
      <c r="HN21" s="16">
        <f t="shared" si="25"/>
        <v>0</v>
      </c>
      <c r="HO21" s="18"/>
      <c r="ID21" s="16">
        <f t="shared" si="26"/>
        <v>0</v>
      </c>
      <c r="IE21" s="16">
        <f t="shared" si="27"/>
        <v>0</v>
      </c>
      <c r="IF21" s="18"/>
      <c r="IU21" s="16">
        <f t="shared" si="28"/>
        <v>0</v>
      </c>
      <c r="IV21" s="16">
        <f t="shared" si="29"/>
        <v>0</v>
      </c>
    </row>
    <row r="22" spans="1:256" s="16" customFormat="1" x14ac:dyDescent="0.25">
      <c r="A22" s="19"/>
      <c r="B22" s="49"/>
      <c r="Q22" s="16">
        <f t="shared" si="0"/>
        <v>0</v>
      </c>
      <c r="R22" s="16">
        <f t="shared" si="1"/>
        <v>0</v>
      </c>
      <c r="S22" s="17"/>
      <c r="AH22" s="16">
        <f t="shared" si="2"/>
        <v>0</v>
      </c>
      <c r="AI22" s="16">
        <f t="shared" si="3"/>
        <v>0</v>
      </c>
      <c r="AJ22" s="18"/>
      <c r="AY22" s="16">
        <f t="shared" si="4"/>
        <v>0</v>
      </c>
      <c r="AZ22" s="16">
        <f t="shared" si="5"/>
        <v>0</v>
      </c>
      <c r="BA22" s="18"/>
      <c r="BP22" s="16">
        <f t="shared" si="6"/>
        <v>0</v>
      </c>
      <c r="BQ22" s="16">
        <f t="shared" si="7"/>
        <v>0</v>
      </c>
      <c r="BR22" s="18"/>
      <c r="CG22" s="16">
        <f t="shared" si="8"/>
        <v>0</v>
      </c>
      <c r="CH22" s="16">
        <f t="shared" si="9"/>
        <v>0</v>
      </c>
      <c r="CI22" s="18"/>
      <c r="CX22" s="16">
        <f t="shared" si="10"/>
        <v>0</v>
      </c>
      <c r="CY22" s="16">
        <f t="shared" si="11"/>
        <v>0</v>
      </c>
      <c r="CZ22" s="18"/>
      <c r="DO22" s="16">
        <f t="shared" si="12"/>
        <v>0</v>
      </c>
      <c r="DP22" s="16">
        <f t="shared" si="13"/>
        <v>0</v>
      </c>
      <c r="DQ22" s="18"/>
      <c r="EF22" s="16">
        <f t="shared" si="14"/>
        <v>0</v>
      </c>
      <c r="EG22" s="16">
        <f t="shared" si="15"/>
        <v>0</v>
      </c>
      <c r="EH22" s="18"/>
      <c r="EW22" s="16">
        <f t="shared" si="16"/>
        <v>0</v>
      </c>
      <c r="EX22" s="16">
        <f t="shared" si="17"/>
        <v>0</v>
      </c>
      <c r="EY22" s="18"/>
      <c r="FN22" s="16">
        <f t="shared" si="18"/>
        <v>0</v>
      </c>
      <c r="FO22" s="16">
        <f t="shared" si="19"/>
        <v>0</v>
      </c>
      <c r="FP22" s="18"/>
      <c r="GE22" s="16">
        <f t="shared" si="20"/>
        <v>0</v>
      </c>
      <c r="GF22" s="16">
        <f t="shared" si="21"/>
        <v>0</v>
      </c>
      <c r="GG22" s="18"/>
      <c r="GV22" s="16">
        <f t="shared" si="22"/>
        <v>0</v>
      </c>
      <c r="GW22" s="16">
        <f t="shared" si="23"/>
        <v>0</v>
      </c>
      <c r="GX22" s="18"/>
      <c r="HM22" s="16">
        <f t="shared" si="24"/>
        <v>0</v>
      </c>
      <c r="HN22" s="16">
        <f t="shared" si="25"/>
        <v>0</v>
      </c>
      <c r="HO22" s="18"/>
      <c r="ID22" s="16">
        <f t="shared" si="26"/>
        <v>0</v>
      </c>
      <c r="IE22" s="16">
        <f t="shared" si="27"/>
        <v>0</v>
      </c>
      <c r="IF22" s="18"/>
      <c r="IU22" s="16">
        <f t="shared" si="28"/>
        <v>0</v>
      </c>
      <c r="IV22" s="16">
        <f t="shared" si="29"/>
        <v>0</v>
      </c>
    </row>
    <row r="23" spans="1:256" s="16" customFormat="1" x14ac:dyDescent="0.25">
      <c r="A23" s="14"/>
      <c r="B23" s="49"/>
      <c r="Q23" s="16">
        <f t="shared" si="0"/>
        <v>0</v>
      </c>
      <c r="R23" s="16">
        <f t="shared" si="1"/>
        <v>0</v>
      </c>
      <c r="S23" s="17"/>
      <c r="AH23" s="16">
        <f t="shared" si="2"/>
        <v>0</v>
      </c>
      <c r="AI23" s="16">
        <f t="shared" si="3"/>
        <v>0</v>
      </c>
      <c r="AJ23" s="18"/>
      <c r="AY23" s="16">
        <f t="shared" si="4"/>
        <v>0</v>
      </c>
      <c r="AZ23" s="16">
        <f t="shared" si="5"/>
        <v>0</v>
      </c>
      <c r="BA23" s="18"/>
      <c r="BP23" s="16">
        <f t="shared" si="6"/>
        <v>0</v>
      </c>
      <c r="BQ23" s="16">
        <f t="shared" si="7"/>
        <v>0</v>
      </c>
      <c r="BR23" s="18"/>
      <c r="CG23" s="16">
        <f t="shared" si="8"/>
        <v>0</v>
      </c>
      <c r="CH23" s="16">
        <f t="shared" si="9"/>
        <v>0</v>
      </c>
      <c r="CI23" s="18"/>
      <c r="CX23" s="16">
        <f t="shared" si="10"/>
        <v>0</v>
      </c>
      <c r="CY23" s="16">
        <f t="shared" si="11"/>
        <v>0</v>
      </c>
      <c r="CZ23" s="18"/>
      <c r="DO23" s="16">
        <f t="shared" si="12"/>
        <v>0</v>
      </c>
      <c r="DP23" s="16">
        <f t="shared" si="13"/>
        <v>0</v>
      </c>
      <c r="DQ23" s="18"/>
      <c r="EF23" s="16">
        <f t="shared" si="14"/>
        <v>0</v>
      </c>
      <c r="EG23" s="16">
        <f t="shared" si="15"/>
        <v>0</v>
      </c>
      <c r="EH23" s="18"/>
      <c r="EW23" s="16">
        <f t="shared" si="16"/>
        <v>0</v>
      </c>
      <c r="EX23" s="16">
        <f t="shared" si="17"/>
        <v>0</v>
      </c>
      <c r="EY23" s="18"/>
      <c r="FN23" s="16">
        <f t="shared" si="18"/>
        <v>0</v>
      </c>
      <c r="FO23" s="16">
        <f t="shared" si="19"/>
        <v>0</v>
      </c>
      <c r="FP23" s="18"/>
      <c r="GE23" s="16">
        <f t="shared" si="20"/>
        <v>0</v>
      </c>
      <c r="GF23" s="16">
        <f t="shared" si="21"/>
        <v>0</v>
      </c>
      <c r="GG23" s="18"/>
      <c r="GV23" s="16">
        <f t="shared" si="22"/>
        <v>0</v>
      </c>
      <c r="GW23" s="16">
        <f t="shared" si="23"/>
        <v>0</v>
      </c>
      <c r="GX23" s="18"/>
      <c r="HM23" s="16">
        <f t="shared" si="24"/>
        <v>0</v>
      </c>
      <c r="HN23" s="16">
        <f t="shared" si="25"/>
        <v>0</v>
      </c>
      <c r="HO23" s="18"/>
      <c r="ID23" s="16">
        <f t="shared" si="26"/>
        <v>0</v>
      </c>
      <c r="IE23" s="16">
        <f t="shared" si="27"/>
        <v>0</v>
      </c>
      <c r="IF23" s="18"/>
      <c r="IU23" s="16">
        <f t="shared" si="28"/>
        <v>0</v>
      </c>
      <c r="IV23" s="16">
        <f t="shared" si="29"/>
        <v>0</v>
      </c>
    </row>
    <row r="24" spans="1:256" s="16" customFormat="1" x14ac:dyDescent="0.25">
      <c r="A24" s="14"/>
      <c r="B24" s="49"/>
      <c r="Q24" s="16">
        <f t="shared" si="0"/>
        <v>0</v>
      </c>
      <c r="R24" s="16">
        <f t="shared" si="1"/>
        <v>0</v>
      </c>
      <c r="S24" s="17"/>
      <c r="AH24" s="16">
        <f t="shared" si="2"/>
        <v>0</v>
      </c>
      <c r="AI24" s="16">
        <f t="shared" si="3"/>
        <v>0</v>
      </c>
      <c r="AJ24" s="18"/>
      <c r="AY24" s="16">
        <f t="shared" si="4"/>
        <v>0</v>
      </c>
      <c r="AZ24" s="16">
        <f t="shared" si="5"/>
        <v>0</v>
      </c>
      <c r="BA24" s="18"/>
      <c r="BP24" s="16">
        <f t="shared" si="6"/>
        <v>0</v>
      </c>
      <c r="BQ24" s="16">
        <f t="shared" si="7"/>
        <v>0</v>
      </c>
      <c r="BR24" s="18"/>
      <c r="CG24" s="16">
        <f t="shared" si="8"/>
        <v>0</v>
      </c>
      <c r="CH24" s="16">
        <f t="shared" si="9"/>
        <v>0</v>
      </c>
      <c r="CI24" s="18"/>
      <c r="CX24" s="16">
        <f t="shared" si="10"/>
        <v>0</v>
      </c>
      <c r="CY24" s="16">
        <f t="shared" si="11"/>
        <v>0</v>
      </c>
      <c r="CZ24" s="18"/>
      <c r="DO24" s="16">
        <f t="shared" si="12"/>
        <v>0</v>
      </c>
      <c r="DP24" s="16">
        <f t="shared" si="13"/>
        <v>0</v>
      </c>
      <c r="DQ24" s="18"/>
      <c r="EF24" s="16">
        <f t="shared" si="14"/>
        <v>0</v>
      </c>
      <c r="EG24" s="16">
        <f t="shared" si="15"/>
        <v>0</v>
      </c>
      <c r="EH24" s="18"/>
      <c r="EW24" s="16">
        <f t="shared" si="16"/>
        <v>0</v>
      </c>
      <c r="EX24" s="16">
        <f t="shared" si="17"/>
        <v>0</v>
      </c>
      <c r="EY24" s="18"/>
      <c r="FN24" s="16">
        <f t="shared" si="18"/>
        <v>0</v>
      </c>
      <c r="FO24" s="16">
        <f t="shared" si="19"/>
        <v>0</v>
      </c>
      <c r="FP24" s="18"/>
      <c r="GE24" s="16">
        <f t="shared" si="20"/>
        <v>0</v>
      </c>
      <c r="GF24" s="16">
        <f t="shared" si="21"/>
        <v>0</v>
      </c>
      <c r="GG24" s="18"/>
      <c r="GV24" s="16">
        <f t="shared" si="22"/>
        <v>0</v>
      </c>
      <c r="GW24" s="16">
        <f t="shared" si="23"/>
        <v>0</v>
      </c>
      <c r="GX24" s="18"/>
      <c r="HM24" s="16">
        <f t="shared" si="24"/>
        <v>0</v>
      </c>
      <c r="HN24" s="16">
        <f t="shared" si="25"/>
        <v>0</v>
      </c>
      <c r="HO24" s="18"/>
      <c r="ID24" s="16">
        <f t="shared" si="26"/>
        <v>0</v>
      </c>
      <c r="IE24" s="16">
        <f t="shared" si="27"/>
        <v>0</v>
      </c>
      <c r="IF24" s="18"/>
      <c r="IU24" s="16">
        <f t="shared" si="28"/>
        <v>0</v>
      </c>
      <c r="IV24" s="16">
        <f t="shared" si="29"/>
        <v>0</v>
      </c>
    </row>
    <row r="25" spans="1:256" s="16" customFormat="1" x14ac:dyDescent="0.25">
      <c r="A25" s="14"/>
      <c r="B25" s="49"/>
      <c r="Q25" s="16">
        <f t="shared" si="0"/>
        <v>0</v>
      </c>
      <c r="R25" s="16">
        <f t="shared" si="1"/>
        <v>0</v>
      </c>
      <c r="S25" s="17"/>
      <c r="AH25" s="16">
        <f t="shared" si="2"/>
        <v>0</v>
      </c>
      <c r="AI25" s="16">
        <f t="shared" si="3"/>
        <v>0</v>
      </c>
      <c r="AJ25" s="18"/>
      <c r="AY25" s="16">
        <f t="shared" si="4"/>
        <v>0</v>
      </c>
      <c r="AZ25" s="16">
        <f t="shared" si="5"/>
        <v>0</v>
      </c>
      <c r="BA25" s="18"/>
      <c r="BP25" s="16">
        <f t="shared" si="6"/>
        <v>0</v>
      </c>
      <c r="BQ25" s="16">
        <f t="shared" si="7"/>
        <v>0</v>
      </c>
      <c r="BR25" s="18"/>
      <c r="CG25" s="16">
        <f t="shared" si="8"/>
        <v>0</v>
      </c>
      <c r="CH25" s="16">
        <f t="shared" si="9"/>
        <v>0</v>
      </c>
      <c r="CI25" s="18"/>
      <c r="CX25" s="16">
        <f t="shared" si="10"/>
        <v>0</v>
      </c>
      <c r="CY25" s="16">
        <f t="shared" si="11"/>
        <v>0</v>
      </c>
      <c r="CZ25" s="18"/>
      <c r="DO25" s="16">
        <f t="shared" si="12"/>
        <v>0</v>
      </c>
      <c r="DP25" s="16">
        <f t="shared" si="13"/>
        <v>0</v>
      </c>
      <c r="DQ25" s="18"/>
      <c r="EF25" s="16">
        <f t="shared" si="14"/>
        <v>0</v>
      </c>
      <c r="EG25" s="16">
        <f t="shared" si="15"/>
        <v>0</v>
      </c>
      <c r="EH25" s="18"/>
      <c r="EW25" s="16">
        <f t="shared" si="16"/>
        <v>0</v>
      </c>
      <c r="EX25" s="16">
        <f t="shared" si="17"/>
        <v>0</v>
      </c>
      <c r="EY25" s="18"/>
      <c r="FN25" s="16">
        <f t="shared" si="18"/>
        <v>0</v>
      </c>
      <c r="FO25" s="16">
        <f t="shared" si="19"/>
        <v>0</v>
      </c>
      <c r="FP25" s="18"/>
      <c r="GE25" s="16">
        <f t="shared" si="20"/>
        <v>0</v>
      </c>
      <c r="GF25" s="16">
        <f t="shared" si="21"/>
        <v>0</v>
      </c>
      <c r="GG25" s="18"/>
      <c r="GV25" s="16">
        <f t="shared" si="22"/>
        <v>0</v>
      </c>
      <c r="GW25" s="16">
        <f t="shared" si="23"/>
        <v>0</v>
      </c>
      <c r="GX25" s="18"/>
      <c r="HM25" s="16">
        <f t="shared" si="24"/>
        <v>0</v>
      </c>
      <c r="HN25" s="16">
        <f t="shared" si="25"/>
        <v>0</v>
      </c>
      <c r="HO25" s="18"/>
      <c r="ID25" s="16">
        <f t="shared" si="26"/>
        <v>0</v>
      </c>
      <c r="IE25" s="16">
        <f t="shared" si="27"/>
        <v>0</v>
      </c>
      <c r="IF25" s="18"/>
      <c r="IU25" s="16">
        <f t="shared" si="28"/>
        <v>0</v>
      </c>
      <c r="IV25" s="16">
        <f t="shared" si="29"/>
        <v>0</v>
      </c>
    </row>
    <row r="26" spans="1:256" s="20" customFormat="1" ht="13.8" thickBot="1" x14ac:dyDescent="0.3">
      <c r="A26" s="14"/>
      <c r="B26" s="49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>
        <f t="shared" si="0"/>
        <v>0</v>
      </c>
      <c r="R26" s="16">
        <f t="shared" si="1"/>
        <v>0</v>
      </c>
      <c r="S26" s="17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>
        <f t="shared" si="2"/>
        <v>0</v>
      </c>
      <c r="AI26" s="16">
        <f t="shared" si="3"/>
        <v>0</v>
      </c>
      <c r="AJ26" s="18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>
        <f t="shared" si="4"/>
        <v>0</v>
      </c>
      <c r="AZ26" s="16">
        <f t="shared" si="5"/>
        <v>0</v>
      </c>
      <c r="BA26" s="18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>
        <f t="shared" si="6"/>
        <v>0</v>
      </c>
      <c r="BQ26" s="16">
        <f t="shared" si="7"/>
        <v>0</v>
      </c>
      <c r="BR26" s="18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>
        <f t="shared" si="8"/>
        <v>0</v>
      </c>
      <c r="CH26" s="16">
        <f t="shared" si="9"/>
        <v>0</v>
      </c>
      <c r="CI26" s="18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>
        <f t="shared" si="10"/>
        <v>0</v>
      </c>
      <c r="CY26" s="16">
        <f t="shared" si="11"/>
        <v>0</v>
      </c>
      <c r="CZ26" s="18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>
        <f t="shared" si="12"/>
        <v>0</v>
      </c>
      <c r="DP26" s="16">
        <f t="shared" si="13"/>
        <v>0</v>
      </c>
      <c r="DQ26" s="18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>
        <f t="shared" si="14"/>
        <v>0</v>
      </c>
      <c r="EG26" s="16">
        <f t="shared" si="15"/>
        <v>0</v>
      </c>
      <c r="EH26" s="18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>
        <f t="shared" si="16"/>
        <v>0</v>
      </c>
      <c r="EX26" s="16">
        <f t="shared" si="17"/>
        <v>0</v>
      </c>
      <c r="EY26" s="18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>
        <f t="shared" si="18"/>
        <v>0</v>
      </c>
      <c r="FO26" s="16">
        <f t="shared" si="19"/>
        <v>0</v>
      </c>
      <c r="FP26" s="18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>
        <f t="shared" si="20"/>
        <v>0</v>
      </c>
      <c r="GF26" s="16">
        <f t="shared" si="21"/>
        <v>0</v>
      </c>
      <c r="GG26" s="18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>
        <f t="shared" si="22"/>
        <v>0</v>
      </c>
      <c r="GW26" s="16">
        <f t="shared" si="23"/>
        <v>0</v>
      </c>
      <c r="GX26" s="18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>
        <f t="shared" si="24"/>
        <v>0</v>
      </c>
      <c r="HN26" s="16">
        <f t="shared" si="25"/>
        <v>0</v>
      </c>
      <c r="HO26" s="18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>
        <f t="shared" si="26"/>
        <v>0</v>
      </c>
      <c r="IE26" s="16">
        <f t="shared" si="27"/>
        <v>0</v>
      </c>
      <c r="IF26" s="18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>
        <f t="shared" si="28"/>
        <v>0</v>
      </c>
      <c r="IV26" s="16">
        <f t="shared" si="29"/>
        <v>0</v>
      </c>
    </row>
    <row r="27" spans="1:256" s="22" customFormat="1" ht="13.8" thickBot="1" x14ac:dyDescent="0.3">
      <c r="A27" s="64" t="s">
        <v>48</v>
      </c>
      <c r="B27" s="64"/>
      <c r="C27" s="21">
        <f>SUM(C8:C26)</f>
        <v>25</v>
      </c>
      <c r="D27" s="21">
        <f t="shared" ref="D27:P27" si="30">SUM(D8:D26)</f>
        <v>10</v>
      </c>
      <c r="E27" s="21">
        <f t="shared" si="30"/>
        <v>9</v>
      </c>
      <c r="F27" s="21">
        <f t="shared" si="30"/>
        <v>2</v>
      </c>
      <c r="G27" s="21">
        <f t="shared" si="30"/>
        <v>1</v>
      </c>
      <c r="H27" s="21">
        <f t="shared" si="30"/>
        <v>0</v>
      </c>
      <c r="I27" s="21">
        <f t="shared" si="30"/>
        <v>4</v>
      </c>
      <c r="J27" s="21">
        <f t="shared" si="30"/>
        <v>4</v>
      </c>
      <c r="K27" s="21">
        <f t="shared" si="30"/>
        <v>5</v>
      </c>
      <c r="L27" s="21">
        <f t="shared" si="30"/>
        <v>9</v>
      </c>
      <c r="M27" s="21">
        <f t="shared" si="30"/>
        <v>0</v>
      </c>
      <c r="N27" s="21">
        <f t="shared" si="30"/>
        <v>0</v>
      </c>
      <c r="O27" s="21">
        <f t="shared" si="30"/>
        <v>0</v>
      </c>
      <c r="P27" s="21">
        <f t="shared" si="30"/>
        <v>0</v>
      </c>
      <c r="Q27" s="21">
        <f>SUM(Q8:Q26)</f>
        <v>13</v>
      </c>
      <c r="R27" s="21">
        <f>SUM(R8:R26)</f>
        <v>30</v>
      </c>
      <c r="T27" s="21">
        <f>SUM(T8:T26)</f>
        <v>0</v>
      </c>
      <c r="U27" s="21">
        <f t="shared" ref="U27:AG27" si="31">SUM(U8:U26)</f>
        <v>0</v>
      </c>
      <c r="V27" s="21">
        <f t="shared" si="31"/>
        <v>0</v>
      </c>
      <c r="W27" s="21">
        <f t="shared" si="31"/>
        <v>0</v>
      </c>
      <c r="X27" s="21">
        <f t="shared" si="31"/>
        <v>0</v>
      </c>
      <c r="Y27" s="21">
        <f t="shared" si="31"/>
        <v>0</v>
      </c>
      <c r="Z27" s="21">
        <f t="shared" si="31"/>
        <v>0</v>
      </c>
      <c r="AA27" s="21">
        <f t="shared" si="31"/>
        <v>0</v>
      </c>
      <c r="AB27" s="21">
        <f t="shared" si="31"/>
        <v>0</v>
      </c>
      <c r="AC27" s="21">
        <f t="shared" si="31"/>
        <v>0</v>
      </c>
      <c r="AD27" s="21">
        <f t="shared" si="31"/>
        <v>0</v>
      </c>
      <c r="AE27" s="21">
        <f t="shared" si="31"/>
        <v>0</v>
      </c>
      <c r="AF27" s="21">
        <f t="shared" si="31"/>
        <v>0</v>
      </c>
      <c r="AG27" s="21">
        <f t="shared" si="31"/>
        <v>0</v>
      </c>
      <c r="AH27" s="21">
        <f>SUM(AH8:AH26)</f>
        <v>0</v>
      </c>
      <c r="AI27" s="21">
        <f>SUM(AI8:AI26)</f>
        <v>0</v>
      </c>
      <c r="AK27" s="21">
        <f>SUM(AK8:AK26)</f>
        <v>0</v>
      </c>
      <c r="AL27" s="21">
        <f t="shared" ref="AL27:AX27" si="32">SUM(AL8:AL26)</f>
        <v>0</v>
      </c>
      <c r="AM27" s="21">
        <f t="shared" si="32"/>
        <v>0</v>
      </c>
      <c r="AN27" s="21">
        <f t="shared" si="32"/>
        <v>0</v>
      </c>
      <c r="AO27" s="21">
        <f t="shared" si="32"/>
        <v>0</v>
      </c>
      <c r="AP27" s="21">
        <f t="shared" si="32"/>
        <v>0</v>
      </c>
      <c r="AQ27" s="21">
        <f t="shared" si="32"/>
        <v>0</v>
      </c>
      <c r="AR27" s="21">
        <f t="shared" si="32"/>
        <v>0</v>
      </c>
      <c r="AS27" s="21">
        <f t="shared" si="32"/>
        <v>0</v>
      </c>
      <c r="AT27" s="21">
        <f t="shared" si="32"/>
        <v>0</v>
      </c>
      <c r="AU27" s="21">
        <f t="shared" si="32"/>
        <v>0</v>
      </c>
      <c r="AV27" s="21">
        <f t="shared" si="32"/>
        <v>0</v>
      </c>
      <c r="AW27" s="21">
        <f t="shared" si="32"/>
        <v>0</v>
      </c>
      <c r="AX27" s="21">
        <f t="shared" si="32"/>
        <v>0</v>
      </c>
      <c r="AY27" s="21">
        <f>SUM(AY8:AY26)</f>
        <v>0</v>
      </c>
      <c r="AZ27" s="21">
        <f>SUM(AZ8:AZ26)</f>
        <v>0</v>
      </c>
      <c r="BB27" s="21">
        <f>SUM(BB8:BB26)</f>
        <v>0</v>
      </c>
      <c r="BC27" s="21">
        <f t="shared" ref="BC27:BO27" si="33">SUM(BC8:BC26)</f>
        <v>0</v>
      </c>
      <c r="BD27" s="21">
        <f t="shared" si="33"/>
        <v>0</v>
      </c>
      <c r="BE27" s="21">
        <f t="shared" si="33"/>
        <v>0</v>
      </c>
      <c r="BF27" s="21">
        <f t="shared" si="33"/>
        <v>0</v>
      </c>
      <c r="BG27" s="21">
        <f t="shared" si="33"/>
        <v>0</v>
      </c>
      <c r="BH27" s="21">
        <f t="shared" si="33"/>
        <v>0</v>
      </c>
      <c r="BI27" s="21">
        <f t="shared" si="33"/>
        <v>0</v>
      </c>
      <c r="BJ27" s="21">
        <f t="shared" si="33"/>
        <v>0</v>
      </c>
      <c r="BK27" s="21">
        <f t="shared" si="33"/>
        <v>0</v>
      </c>
      <c r="BL27" s="21">
        <f t="shared" si="33"/>
        <v>0</v>
      </c>
      <c r="BM27" s="21">
        <f t="shared" si="33"/>
        <v>0</v>
      </c>
      <c r="BN27" s="21">
        <f t="shared" si="33"/>
        <v>0</v>
      </c>
      <c r="BO27" s="21">
        <f t="shared" si="33"/>
        <v>0</v>
      </c>
      <c r="BP27" s="21">
        <f>SUM(BP8:BP26)</f>
        <v>0</v>
      </c>
      <c r="BQ27" s="21">
        <f>SUM(BQ8:BQ26)</f>
        <v>0</v>
      </c>
      <c r="BS27" s="21">
        <f>SUM(BS8:BS26)</f>
        <v>0</v>
      </c>
      <c r="BT27" s="21">
        <f t="shared" ref="BT27:CF27" si="34">SUM(BT8:BT26)</f>
        <v>0</v>
      </c>
      <c r="BU27" s="21">
        <f t="shared" si="34"/>
        <v>0</v>
      </c>
      <c r="BV27" s="21">
        <f t="shared" si="34"/>
        <v>0</v>
      </c>
      <c r="BW27" s="21">
        <f t="shared" si="34"/>
        <v>0</v>
      </c>
      <c r="BX27" s="21">
        <f t="shared" si="34"/>
        <v>0</v>
      </c>
      <c r="BY27" s="21">
        <f t="shared" si="34"/>
        <v>0</v>
      </c>
      <c r="BZ27" s="21">
        <f t="shared" si="34"/>
        <v>0</v>
      </c>
      <c r="CA27" s="21">
        <f t="shared" si="34"/>
        <v>0</v>
      </c>
      <c r="CB27" s="21">
        <f t="shared" si="34"/>
        <v>0</v>
      </c>
      <c r="CC27" s="21">
        <f t="shared" si="34"/>
        <v>0</v>
      </c>
      <c r="CD27" s="21">
        <f t="shared" si="34"/>
        <v>0</v>
      </c>
      <c r="CE27" s="21">
        <f t="shared" si="34"/>
        <v>0</v>
      </c>
      <c r="CF27" s="21">
        <f t="shared" si="34"/>
        <v>0</v>
      </c>
      <c r="CG27" s="21">
        <f>SUM(CG8:CG26)</f>
        <v>0</v>
      </c>
      <c r="CH27" s="21">
        <f>SUM(CH8:CH26)</f>
        <v>0</v>
      </c>
      <c r="CJ27" s="21">
        <f>SUM(CJ8:CJ26)</f>
        <v>0</v>
      </c>
      <c r="CK27" s="21">
        <f t="shared" ref="CK27:CW27" si="35">SUM(CK8:CK26)</f>
        <v>0</v>
      </c>
      <c r="CL27" s="21">
        <f t="shared" si="35"/>
        <v>0</v>
      </c>
      <c r="CM27" s="21">
        <f t="shared" si="35"/>
        <v>0</v>
      </c>
      <c r="CN27" s="21">
        <f t="shared" si="35"/>
        <v>0</v>
      </c>
      <c r="CO27" s="21">
        <f t="shared" si="35"/>
        <v>0</v>
      </c>
      <c r="CP27" s="21">
        <f t="shared" si="35"/>
        <v>0</v>
      </c>
      <c r="CQ27" s="21">
        <f t="shared" si="35"/>
        <v>0</v>
      </c>
      <c r="CR27" s="21">
        <f t="shared" si="35"/>
        <v>0</v>
      </c>
      <c r="CS27" s="21">
        <f t="shared" si="35"/>
        <v>0</v>
      </c>
      <c r="CT27" s="21">
        <f t="shared" si="35"/>
        <v>0</v>
      </c>
      <c r="CU27" s="21">
        <f t="shared" si="35"/>
        <v>0</v>
      </c>
      <c r="CV27" s="21">
        <f t="shared" si="35"/>
        <v>0</v>
      </c>
      <c r="CW27" s="21">
        <f t="shared" si="35"/>
        <v>0</v>
      </c>
      <c r="CX27" s="21">
        <f>SUM(CX8:CX26)</f>
        <v>0</v>
      </c>
      <c r="CY27" s="21">
        <f>SUM(CY8:CY26)</f>
        <v>0</v>
      </c>
      <c r="DA27" s="21">
        <f>SUM(DA8:DA26)</f>
        <v>0</v>
      </c>
      <c r="DB27" s="21">
        <f t="shared" ref="DB27:DN27" si="36">SUM(DB8:DB26)</f>
        <v>0</v>
      </c>
      <c r="DC27" s="21">
        <f t="shared" si="36"/>
        <v>0</v>
      </c>
      <c r="DD27" s="21">
        <f t="shared" si="36"/>
        <v>0</v>
      </c>
      <c r="DE27" s="21">
        <f t="shared" si="36"/>
        <v>0</v>
      </c>
      <c r="DF27" s="21">
        <f t="shared" si="36"/>
        <v>0</v>
      </c>
      <c r="DG27" s="21">
        <f t="shared" si="36"/>
        <v>0</v>
      </c>
      <c r="DH27" s="21">
        <f t="shared" si="36"/>
        <v>0</v>
      </c>
      <c r="DI27" s="21">
        <f t="shared" si="36"/>
        <v>0</v>
      </c>
      <c r="DJ27" s="21">
        <f t="shared" si="36"/>
        <v>0</v>
      </c>
      <c r="DK27" s="21">
        <f t="shared" si="36"/>
        <v>0</v>
      </c>
      <c r="DL27" s="21">
        <f t="shared" si="36"/>
        <v>0</v>
      </c>
      <c r="DM27" s="21">
        <f t="shared" si="36"/>
        <v>0</v>
      </c>
      <c r="DN27" s="21">
        <f t="shared" si="36"/>
        <v>0</v>
      </c>
      <c r="DO27" s="21">
        <f>SUM(DO8:DO26)</f>
        <v>0</v>
      </c>
      <c r="DP27" s="21">
        <f>SUM(DP8:DP26)</f>
        <v>0</v>
      </c>
      <c r="DR27" s="21">
        <f>SUM(DR8:DR26)</f>
        <v>0</v>
      </c>
      <c r="DS27" s="21">
        <f t="shared" ref="DS27:EE27" si="37">SUM(DS8:DS26)</f>
        <v>0</v>
      </c>
      <c r="DT27" s="21">
        <f t="shared" si="37"/>
        <v>0</v>
      </c>
      <c r="DU27" s="21">
        <f t="shared" si="37"/>
        <v>0</v>
      </c>
      <c r="DV27" s="21">
        <f t="shared" si="37"/>
        <v>0</v>
      </c>
      <c r="DW27" s="21">
        <f t="shared" si="37"/>
        <v>0</v>
      </c>
      <c r="DX27" s="21">
        <f t="shared" si="37"/>
        <v>0</v>
      </c>
      <c r="DY27" s="21">
        <f t="shared" si="37"/>
        <v>0</v>
      </c>
      <c r="DZ27" s="21">
        <f t="shared" si="37"/>
        <v>0</v>
      </c>
      <c r="EA27" s="21">
        <f t="shared" si="37"/>
        <v>0</v>
      </c>
      <c r="EB27" s="21">
        <f t="shared" si="37"/>
        <v>0</v>
      </c>
      <c r="EC27" s="21">
        <f t="shared" si="37"/>
        <v>0</v>
      </c>
      <c r="ED27" s="21">
        <f t="shared" si="37"/>
        <v>0</v>
      </c>
      <c r="EE27" s="21">
        <f t="shared" si="37"/>
        <v>0</v>
      </c>
      <c r="EF27" s="21">
        <f>SUM(EF8:EF26)</f>
        <v>0</v>
      </c>
      <c r="EG27" s="21">
        <f>SUM(EG8:EG26)</f>
        <v>0</v>
      </c>
      <c r="EI27" s="21">
        <f>SUM(EI8:EI26)</f>
        <v>0</v>
      </c>
      <c r="EJ27" s="21">
        <f t="shared" ref="EJ27:EV27" si="38">SUM(EJ8:EJ26)</f>
        <v>0</v>
      </c>
      <c r="EK27" s="21">
        <f t="shared" si="38"/>
        <v>0</v>
      </c>
      <c r="EL27" s="21">
        <f t="shared" si="38"/>
        <v>0</v>
      </c>
      <c r="EM27" s="21">
        <f t="shared" si="38"/>
        <v>0</v>
      </c>
      <c r="EN27" s="21">
        <f t="shared" si="38"/>
        <v>0</v>
      </c>
      <c r="EO27" s="21">
        <f t="shared" si="38"/>
        <v>0</v>
      </c>
      <c r="EP27" s="21">
        <f t="shared" si="38"/>
        <v>0</v>
      </c>
      <c r="EQ27" s="21">
        <f t="shared" si="38"/>
        <v>0</v>
      </c>
      <c r="ER27" s="21">
        <f t="shared" si="38"/>
        <v>0</v>
      </c>
      <c r="ES27" s="21">
        <f t="shared" si="38"/>
        <v>0</v>
      </c>
      <c r="ET27" s="21">
        <f t="shared" si="38"/>
        <v>0</v>
      </c>
      <c r="EU27" s="21">
        <f t="shared" si="38"/>
        <v>0</v>
      </c>
      <c r="EV27" s="21">
        <f t="shared" si="38"/>
        <v>0</v>
      </c>
      <c r="EW27" s="21">
        <f>SUM(EW8:EW26)</f>
        <v>0</v>
      </c>
      <c r="EX27" s="21">
        <f>SUM(EX8:EX26)</f>
        <v>0</v>
      </c>
      <c r="EZ27" s="21">
        <f>SUM(EZ8:EZ26)</f>
        <v>0</v>
      </c>
      <c r="FA27" s="21">
        <f t="shared" ref="FA27:FM27" si="39">SUM(FA8:FA26)</f>
        <v>0</v>
      </c>
      <c r="FB27" s="21">
        <f t="shared" si="39"/>
        <v>0</v>
      </c>
      <c r="FC27" s="21">
        <f t="shared" si="39"/>
        <v>0</v>
      </c>
      <c r="FD27" s="21">
        <f t="shared" si="39"/>
        <v>0</v>
      </c>
      <c r="FE27" s="21">
        <f t="shared" si="39"/>
        <v>0</v>
      </c>
      <c r="FF27" s="21">
        <f t="shared" si="39"/>
        <v>0</v>
      </c>
      <c r="FG27" s="21">
        <f t="shared" si="39"/>
        <v>0</v>
      </c>
      <c r="FH27" s="21">
        <f t="shared" si="39"/>
        <v>0</v>
      </c>
      <c r="FI27" s="21">
        <f t="shared" si="39"/>
        <v>0</v>
      </c>
      <c r="FJ27" s="21">
        <f t="shared" si="39"/>
        <v>0</v>
      </c>
      <c r="FK27" s="21">
        <f t="shared" si="39"/>
        <v>0</v>
      </c>
      <c r="FL27" s="21">
        <f t="shared" si="39"/>
        <v>0</v>
      </c>
      <c r="FM27" s="21">
        <f t="shared" si="39"/>
        <v>0</v>
      </c>
      <c r="FN27" s="21">
        <f>SUM(FN8:FN26)</f>
        <v>0</v>
      </c>
      <c r="FO27" s="21">
        <f>SUM(FO8:FO26)</f>
        <v>0</v>
      </c>
      <c r="FQ27" s="21">
        <f>SUM(FQ8:FQ26)</f>
        <v>0</v>
      </c>
      <c r="FR27" s="21">
        <f t="shared" ref="FR27:GD27" si="40">SUM(FR8:FR26)</f>
        <v>0</v>
      </c>
      <c r="FS27" s="21">
        <f t="shared" si="40"/>
        <v>0</v>
      </c>
      <c r="FT27" s="21">
        <f t="shared" si="40"/>
        <v>0</v>
      </c>
      <c r="FU27" s="21">
        <f t="shared" si="40"/>
        <v>0</v>
      </c>
      <c r="FV27" s="21">
        <f t="shared" si="40"/>
        <v>0</v>
      </c>
      <c r="FW27" s="21">
        <f t="shared" si="40"/>
        <v>0</v>
      </c>
      <c r="FX27" s="21">
        <f t="shared" si="40"/>
        <v>0</v>
      </c>
      <c r="FY27" s="21">
        <f t="shared" si="40"/>
        <v>0</v>
      </c>
      <c r="FZ27" s="21">
        <f t="shared" si="40"/>
        <v>0</v>
      </c>
      <c r="GA27" s="21">
        <f t="shared" si="40"/>
        <v>0</v>
      </c>
      <c r="GB27" s="21">
        <f t="shared" si="40"/>
        <v>0</v>
      </c>
      <c r="GC27" s="21">
        <f t="shared" si="40"/>
        <v>0</v>
      </c>
      <c r="GD27" s="21">
        <f t="shared" si="40"/>
        <v>0</v>
      </c>
      <c r="GE27" s="21">
        <f>SUM(GE8:GE26)</f>
        <v>0</v>
      </c>
      <c r="GF27" s="21">
        <f>SUM(GF8:GF26)</f>
        <v>0</v>
      </c>
      <c r="GH27" s="21">
        <f>SUM(GH8:GH26)</f>
        <v>0</v>
      </c>
      <c r="GI27" s="21">
        <f t="shared" ref="GI27:GU27" si="41">SUM(GI8:GI26)</f>
        <v>0</v>
      </c>
      <c r="GJ27" s="21">
        <f t="shared" si="41"/>
        <v>0</v>
      </c>
      <c r="GK27" s="21">
        <f t="shared" si="41"/>
        <v>0</v>
      </c>
      <c r="GL27" s="21">
        <f t="shared" si="41"/>
        <v>0</v>
      </c>
      <c r="GM27" s="21">
        <f t="shared" si="41"/>
        <v>0</v>
      </c>
      <c r="GN27" s="21">
        <f t="shared" si="41"/>
        <v>0</v>
      </c>
      <c r="GO27" s="21">
        <f t="shared" si="41"/>
        <v>0</v>
      </c>
      <c r="GP27" s="21">
        <f t="shared" si="41"/>
        <v>0</v>
      </c>
      <c r="GQ27" s="21">
        <f t="shared" si="41"/>
        <v>0</v>
      </c>
      <c r="GR27" s="21">
        <f t="shared" si="41"/>
        <v>0</v>
      </c>
      <c r="GS27" s="21">
        <f t="shared" si="41"/>
        <v>0</v>
      </c>
      <c r="GT27" s="21">
        <f t="shared" si="41"/>
        <v>0</v>
      </c>
      <c r="GU27" s="21">
        <f t="shared" si="41"/>
        <v>0</v>
      </c>
      <c r="GV27" s="21">
        <f>SUM(GV8:GV26)</f>
        <v>0</v>
      </c>
      <c r="GW27" s="21">
        <f>SUM(GW8:GW26)</f>
        <v>0</v>
      </c>
      <c r="GY27" s="21">
        <f>SUM(GY8:GY26)</f>
        <v>0</v>
      </c>
      <c r="GZ27" s="21">
        <f t="shared" ref="GZ27:HL27" si="42">SUM(GZ8:GZ26)</f>
        <v>0</v>
      </c>
      <c r="HA27" s="21">
        <f t="shared" si="42"/>
        <v>0</v>
      </c>
      <c r="HB27" s="21">
        <f t="shared" si="42"/>
        <v>0</v>
      </c>
      <c r="HC27" s="21">
        <f t="shared" si="42"/>
        <v>0</v>
      </c>
      <c r="HD27" s="21">
        <f t="shared" si="42"/>
        <v>0</v>
      </c>
      <c r="HE27" s="21">
        <f t="shared" si="42"/>
        <v>0</v>
      </c>
      <c r="HF27" s="21">
        <f t="shared" si="42"/>
        <v>0</v>
      </c>
      <c r="HG27" s="21">
        <f t="shared" si="42"/>
        <v>0</v>
      </c>
      <c r="HH27" s="21">
        <f t="shared" si="42"/>
        <v>0</v>
      </c>
      <c r="HI27" s="21">
        <f t="shared" si="42"/>
        <v>0</v>
      </c>
      <c r="HJ27" s="21">
        <f t="shared" si="42"/>
        <v>0</v>
      </c>
      <c r="HK27" s="21">
        <f t="shared" si="42"/>
        <v>0</v>
      </c>
      <c r="HL27" s="21">
        <f t="shared" si="42"/>
        <v>0</v>
      </c>
      <c r="HM27" s="21">
        <f>SUM(HM8:HM26)</f>
        <v>0</v>
      </c>
      <c r="HN27" s="21">
        <f>SUM(HN8:HN26)</f>
        <v>0</v>
      </c>
      <c r="HP27" s="21">
        <f>SUM(HP8:HP26)</f>
        <v>0</v>
      </c>
      <c r="HQ27" s="21">
        <f t="shared" ref="HQ27:IC27" si="43">SUM(HQ8:HQ26)</f>
        <v>0</v>
      </c>
      <c r="HR27" s="21">
        <f t="shared" si="43"/>
        <v>0</v>
      </c>
      <c r="HS27" s="21">
        <f t="shared" si="43"/>
        <v>0</v>
      </c>
      <c r="HT27" s="21">
        <f t="shared" si="43"/>
        <v>0</v>
      </c>
      <c r="HU27" s="21">
        <f t="shared" si="43"/>
        <v>0</v>
      </c>
      <c r="HV27" s="21">
        <f t="shared" si="43"/>
        <v>0</v>
      </c>
      <c r="HW27" s="21">
        <f t="shared" si="43"/>
        <v>0</v>
      </c>
      <c r="HX27" s="21">
        <f t="shared" si="43"/>
        <v>0</v>
      </c>
      <c r="HY27" s="21">
        <f t="shared" si="43"/>
        <v>0</v>
      </c>
      <c r="HZ27" s="21">
        <f t="shared" si="43"/>
        <v>0</v>
      </c>
      <c r="IA27" s="21">
        <f t="shared" si="43"/>
        <v>0</v>
      </c>
      <c r="IB27" s="21">
        <f t="shared" si="43"/>
        <v>0</v>
      </c>
      <c r="IC27" s="21">
        <f t="shared" si="43"/>
        <v>0</v>
      </c>
      <c r="ID27" s="21">
        <f>SUM(ID8:ID26)</f>
        <v>0</v>
      </c>
      <c r="IE27" s="21">
        <f>SUM(IE8:IE26)</f>
        <v>0</v>
      </c>
      <c r="IG27" s="21">
        <f>SUM(IG8:IG26)</f>
        <v>0</v>
      </c>
      <c r="IH27" s="21">
        <f t="shared" ref="IH27:IT27" si="44">SUM(IH8:IH26)</f>
        <v>0</v>
      </c>
      <c r="II27" s="21">
        <f t="shared" si="44"/>
        <v>0</v>
      </c>
      <c r="IJ27" s="21">
        <f t="shared" si="44"/>
        <v>0</v>
      </c>
      <c r="IK27" s="21">
        <f t="shared" si="44"/>
        <v>0</v>
      </c>
      <c r="IL27" s="21">
        <f t="shared" si="44"/>
        <v>0</v>
      </c>
      <c r="IM27" s="21">
        <f t="shared" si="44"/>
        <v>0</v>
      </c>
      <c r="IN27" s="21">
        <f t="shared" si="44"/>
        <v>0</v>
      </c>
      <c r="IO27" s="21">
        <f t="shared" si="44"/>
        <v>0</v>
      </c>
      <c r="IP27" s="21">
        <f t="shared" si="44"/>
        <v>0</v>
      </c>
      <c r="IQ27" s="21">
        <f t="shared" si="44"/>
        <v>0</v>
      </c>
      <c r="IR27" s="21">
        <f t="shared" si="44"/>
        <v>0</v>
      </c>
      <c r="IS27" s="21">
        <f t="shared" si="44"/>
        <v>0</v>
      </c>
      <c r="IT27" s="21">
        <f t="shared" si="44"/>
        <v>0</v>
      </c>
      <c r="IU27" s="21">
        <f>SUM(IU8:IU26)</f>
        <v>0</v>
      </c>
      <c r="IV27" s="21">
        <f>SUM(IV8:IV26)</f>
        <v>0</v>
      </c>
    </row>
    <row r="28" spans="1:256" s="23" customFormat="1" ht="10.199999999999999" x14ac:dyDescent="0.2">
      <c r="B28" s="46"/>
      <c r="S28" s="24"/>
      <c r="AJ28" s="24"/>
      <c r="BA28" s="24"/>
      <c r="BR28" s="24"/>
      <c r="CI28" s="24"/>
      <c r="CZ28" s="24"/>
      <c r="DQ28" s="24"/>
      <c r="EH28" s="24"/>
      <c r="EY28" s="24"/>
      <c r="FP28" s="24"/>
      <c r="GG28" s="24"/>
      <c r="GX28" s="24"/>
      <c r="HO28" s="24"/>
      <c r="IF28" s="24"/>
    </row>
    <row r="29" spans="1:256" s="23" customFormat="1" ht="10.199999999999999" x14ac:dyDescent="0.2">
      <c r="B29" s="46"/>
      <c r="S29" s="24"/>
      <c r="AJ29" s="24"/>
      <c r="BA29" s="24"/>
      <c r="BR29" s="24"/>
      <c r="CI29" s="24"/>
      <c r="CZ29" s="24"/>
      <c r="DQ29" s="24"/>
      <c r="EH29" s="24"/>
      <c r="EY29" s="24"/>
      <c r="FP29" s="24"/>
      <c r="GG29" s="24"/>
      <c r="GX29" s="24"/>
      <c r="HO29" s="24"/>
      <c r="IF29" s="24"/>
    </row>
    <row r="30" spans="1:256" s="23" customFormat="1" x14ac:dyDescent="0.25">
      <c r="A30" s="65" t="s">
        <v>49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AJ30" s="24"/>
      <c r="BA30" s="24"/>
      <c r="BR30" s="24"/>
      <c r="CI30" s="24"/>
      <c r="CZ30" s="24"/>
      <c r="DQ30" s="24"/>
      <c r="EH30" s="24"/>
      <c r="EY30" s="24"/>
      <c r="FP30" s="24"/>
      <c r="GG30" s="24"/>
      <c r="GX30" s="24"/>
      <c r="HO30" s="24"/>
      <c r="IF30" s="24"/>
    </row>
    <row r="31" spans="1:256" s="23" customFormat="1" x14ac:dyDescent="0.25">
      <c r="A31" s="25" t="s">
        <v>18</v>
      </c>
      <c r="B31" s="58" t="s">
        <v>19</v>
      </c>
      <c r="C31" s="13" t="s">
        <v>20</v>
      </c>
      <c r="D31" s="11" t="s">
        <v>21</v>
      </c>
      <c r="E31" s="11" t="s">
        <v>22</v>
      </c>
      <c r="F31" s="11" t="s">
        <v>23</v>
      </c>
      <c r="G31" s="11" t="s">
        <v>24</v>
      </c>
      <c r="H31" s="11" t="s">
        <v>25</v>
      </c>
      <c r="I31" s="11" t="s">
        <v>26</v>
      </c>
      <c r="J31" s="11" t="s">
        <v>27</v>
      </c>
      <c r="K31" s="11" t="s">
        <v>28</v>
      </c>
      <c r="L31" s="11" t="s">
        <v>29</v>
      </c>
      <c r="M31" s="11" t="s">
        <v>30</v>
      </c>
      <c r="N31" s="11" t="s">
        <v>31</v>
      </c>
      <c r="O31" s="11" t="s">
        <v>32</v>
      </c>
      <c r="P31" s="12" t="s">
        <v>33</v>
      </c>
      <c r="Q31" s="11" t="s">
        <v>34</v>
      </c>
      <c r="R31" s="27" t="s">
        <v>35</v>
      </c>
      <c r="S31" s="24"/>
      <c r="T31" s="28" t="s">
        <v>50</v>
      </c>
      <c r="U31" s="29" t="s">
        <v>51</v>
      </c>
      <c r="AJ31" s="24"/>
      <c r="BA31" s="24"/>
      <c r="BR31" s="24"/>
      <c r="CI31" s="24"/>
      <c r="CZ31" s="24"/>
      <c r="DQ31" s="24"/>
      <c r="EH31" s="24"/>
      <c r="EY31" s="24"/>
      <c r="FP31" s="24"/>
      <c r="GG31" s="24"/>
      <c r="GX31" s="24"/>
      <c r="HO31" s="24"/>
      <c r="IF31" s="24"/>
    </row>
    <row r="32" spans="1:256" s="23" customFormat="1" x14ac:dyDescent="0.25">
      <c r="A32" s="30" t="str">
        <f t="shared" ref="A32:B50" si="45">IF(A8="","",A8)</f>
        <v>JESUS  ALFONZO EQUIPO5</v>
      </c>
      <c r="B32" s="47">
        <f t="shared" si="45"/>
        <v>2</v>
      </c>
      <c r="C32" s="16">
        <f t="shared" ref="C32:C50" si="46">+C8+T8+AK8+BB8+BS8+CJ8+DA8+DR8+EI8+EZ8+FQ8+GH8+GY8+HP8+IG8</f>
        <v>4</v>
      </c>
      <c r="D32" s="16">
        <f t="shared" ref="D32:D50" si="47">+D8+U8+AL8+BC8+BT8+CK8+DB8+DS8+EJ8+FA8+FR8+GI8+GZ8+HQ8+IH8</f>
        <v>2</v>
      </c>
      <c r="E32" s="16">
        <f t="shared" ref="E32:E50" si="48">+E8+V8+AM8+BD8+BU8+CL8+DC8+DT8+EK8+FB8+FS8+GJ8+HA8+HR8+II8</f>
        <v>1</v>
      </c>
      <c r="F32" s="16">
        <f t="shared" ref="F32:F50" si="49">+F8+W8+AN8+BE8+BV8+CM8+DD8+DU8+EL8+FC8+FT8+GK8+HB8+HS8+IJ8</f>
        <v>0</v>
      </c>
      <c r="G32" s="16">
        <f t="shared" ref="G32:G50" si="50">+G8+X8+AO8+BF8+BW8+CN8+DE8+DV8+EM8+FD8+FU8+GL8+HC8+HT8+IK8</f>
        <v>0</v>
      </c>
      <c r="H32" s="16">
        <f t="shared" ref="H32:H50" si="51">+H8+Y8+AP8+BG8+BX8+CO8+DF8+DW8+EN8+FE8+FV8+GM8+HD8+HU8+IL8</f>
        <v>0</v>
      </c>
      <c r="I32" s="16">
        <f t="shared" ref="I32:I50" si="52">+I8+Z8+AQ8+BH8+BY8+CP8+DG8+DX8+EO8+FF8+FW8+GN8+HE8+HV8+IM8</f>
        <v>0</v>
      </c>
      <c r="J32" s="16">
        <f t="shared" ref="J32:J50" si="53">+J8+AA8+AR8+BI8+BZ8+CQ8+DH8+DY8+EP8+FG8+FX8+GO8+HF8+HW8+IN8</f>
        <v>0</v>
      </c>
      <c r="K32" s="16">
        <f t="shared" ref="K32:K50" si="54">+K8+AB8+AS8+BJ8+CA8+CR8+DI8+DZ8+EQ8+FH8+FY8+GP8+HG8+HX8+IO8</f>
        <v>0</v>
      </c>
      <c r="L32" s="16">
        <f t="shared" ref="L32:L50" si="55">+L8+AC8+AT8+BK8+CB8+CS8+DJ8+EA8+ER8+FI8+FZ8+GQ8+HH8+HY8+IP8</f>
        <v>1</v>
      </c>
      <c r="M32" s="16">
        <f t="shared" ref="M32:M50" si="56">+M8+AD8+AU8+BL8+CC8+CT8+DK8+EB8+ES8+FJ8+GA8+GR8+HI8+HZ8+IQ8</f>
        <v>0</v>
      </c>
      <c r="N32" s="16">
        <f t="shared" ref="N32:N50" si="57">+N8+AE8+AV8+BM8+CD8+CU8+DL8+EC8+ET8+FK8+GB8+GS8+HJ8+IA8+IR8</f>
        <v>0</v>
      </c>
      <c r="O32" s="16">
        <f t="shared" ref="O32:O50" si="58">+O8+AF8+AW8+BN8+CE8+CV8+DM8+ED8+EU8+FL8+GC8+GT8+HK8+IB8+IS8</f>
        <v>0</v>
      </c>
      <c r="P32" s="16">
        <f t="shared" ref="P32:P50" si="59">+P8+AG8+AX8+BO8+CF8+CW8+DN8+EE8+EV8+FM8+GD8+GU8+HL8+IC8+IT8</f>
        <v>0</v>
      </c>
      <c r="Q32" s="16">
        <f t="shared" ref="Q32:Q50" si="60">+Q8+AH8+AY8+BP8+CG8+CX8+DO8+EF8+EW8+FN8+GE8+GV8+HM8+ID8+IU8</f>
        <v>1</v>
      </c>
      <c r="R32" s="16">
        <f t="shared" ref="R32:R50" si="61">+R8+AI8+AZ8+BQ8+CH8+CY8+DP8+EG8+EX8+FO8+GF8+GW8+HN8+IE8+IV8</f>
        <v>4</v>
      </c>
      <c r="S32" s="24"/>
      <c r="T32" s="31">
        <f t="shared" ref="T32:T51" si="62">IF(C32=0,0,E32*1000/C32)</f>
        <v>250</v>
      </c>
      <c r="U32" s="31">
        <f t="shared" ref="U32:U51" si="63">IF(C32=0,0,Q32*1000/C32)</f>
        <v>250</v>
      </c>
      <c r="AJ32" s="24"/>
      <c r="BA32" s="24"/>
      <c r="BR32" s="24"/>
      <c r="CI32" s="24"/>
      <c r="CZ32" s="24"/>
      <c r="DQ32" s="24"/>
      <c r="EH32" s="24"/>
      <c r="EY32" s="24"/>
      <c r="FP32" s="24"/>
      <c r="GG32" s="24"/>
      <c r="GX32" s="24"/>
      <c r="HO32" s="24"/>
      <c r="IF32" s="24"/>
    </row>
    <row r="33" spans="1:240" s="23" customFormat="1" x14ac:dyDescent="0.25">
      <c r="A33" s="30" t="str">
        <f t="shared" si="45"/>
        <v>JOSEPH MENDOZA</v>
      </c>
      <c r="B33" s="47">
        <f t="shared" si="45"/>
        <v>1</v>
      </c>
      <c r="C33" s="16">
        <f t="shared" si="46"/>
        <v>3</v>
      </c>
      <c r="D33" s="16">
        <f t="shared" si="47"/>
        <v>1</v>
      </c>
      <c r="E33" s="16">
        <f t="shared" si="48"/>
        <v>1</v>
      </c>
      <c r="F33" s="16">
        <f t="shared" si="49"/>
        <v>1</v>
      </c>
      <c r="G33" s="16">
        <f t="shared" si="50"/>
        <v>0</v>
      </c>
      <c r="H33" s="16">
        <f t="shared" si="51"/>
        <v>0</v>
      </c>
      <c r="I33" s="16">
        <f t="shared" si="52"/>
        <v>0</v>
      </c>
      <c r="J33" s="16">
        <f t="shared" si="53"/>
        <v>0</v>
      </c>
      <c r="K33" s="16">
        <f t="shared" si="54"/>
        <v>1</v>
      </c>
      <c r="L33" s="16">
        <f t="shared" si="55"/>
        <v>0</v>
      </c>
      <c r="M33" s="16">
        <f t="shared" si="56"/>
        <v>0</v>
      </c>
      <c r="N33" s="16">
        <f t="shared" si="57"/>
        <v>0</v>
      </c>
      <c r="O33" s="16">
        <f t="shared" si="58"/>
        <v>0</v>
      </c>
      <c r="P33" s="16">
        <f t="shared" si="59"/>
        <v>0</v>
      </c>
      <c r="Q33" s="16">
        <f t="shared" si="60"/>
        <v>2</v>
      </c>
      <c r="R33" s="16">
        <f t="shared" si="61"/>
        <v>4</v>
      </c>
      <c r="S33" s="24"/>
      <c r="T33" s="31">
        <f t="shared" si="62"/>
        <v>333.33333333333331</v>
      </c>
      <c r="U33" s="31">
        <f t="shared" si="63"/>
        <v>666.66666666666663</v>
      </c>
      <c r="AJ33" s="24"/>
      <c r="BA33" s="24"/>
      <c r="BR33" s="24"/>
      <c r="CI33" s="24"/>
      <c r="CZ33" s="24"/>
      <c r="DQ33" s="24"/>
      <c r="EH33" s="24"/>
      <c r="EY33" s="24"/>
      <c r="FP33" s="24"/>
      <c r="GG33" s="24"/>
      <c r="GX33" s="24"/>
      <c r="HO33" s="24"/>
      <c r="IF33" s="24"/>
    </row>
    <row r="34" spans="1:240" s="23" customFormat="1" x14ac:dyDescent="0.25">
      <c r="A34" s="30" t="str">
        <f t="shared" si="45"/>
        <v>ABRAHAN RODRIGUZ</v>
      </c>
      <c r="B34" s="47" t="str">
        <f t="shared" si="45"/>
        <v/>
      </c>
      <c r="C34" s="16">
        <f t="shared" si="46"/>
        <v>4</v>
      </c>
      <c r="D34" s="16">
        <f t="shared" si="47"/>
        <v>0</v>
      </c>
      <c r="E34" s="16">
        <f t="shared" si="48"/>
        <v>1</v>
      </c>
      <c r="F34" s="16">
        <f t="shared" si="49"/>
        <v>0</v>
      </c>
      <c r="G34" s="16">
        <f t="shared" si="50"/>
        <v>0</v>
      </c>
      <c r="H34" s="16">
        <f t="shared" si="51"/>
        <v>0</v>
      </c>
      <c r="I34" s="16">
        <f t="shared" si="52"/>
        <v>0</v>
      </c>
      <c r="J34" s="16">
        <f t="shared" si="53"/>
        <v>0</v>
      </c>
      <c r="K34" s="16">
        <f t="shared" si="54"/>
        <v>0</v>
      </c>
      <c r="L34" s="16">
        <f t="shared" si="55"/>
        <v>0</v>
      </c>
      <c r="M34" s="16">
        <f t="shared" si="56"/>
        <v>0</v>
      </c>
      <c r="N34" s="16">
        <f t="shared" si="57"/>
        <v>0</v>
      </c>
      <c r="O34" s="16">
        <f t="shared" si="58"/>
        <v>0</v>
      </c>
      <c r="P34" s="16">
        <f t="shared" si="59"/>
        <v>0</v>
      </c>
      <c r="Q34" s="16">
        <f t="shared" si="60"/>
        <v>1</v>
      </c>
      <c r="R34" s="16">
        <f t="shared" si="61"/>
        <v>4</v>
      </c>
      <c r="S34" s="24"/>
      <c r="T34" s="31">
        <f t="shared" si="62"/>
        <v>250</v>
      </c>
      <c r="U34" s="31">
        <f t="shared" si="63"/>
        <v>250</v>
      </c>
      <c r="AJ34" s="24"/>
      <c r="BA34" s="24"/>
      <c r="BR34" s="24"/>
      <c r="CI34" s="24"/>
      <c r="CZ34" s="24"/>
      <c r="DQ34" s="24"/>
      <c r="EH34" s="24"/>
      <c r="EY34" s="24"/>
      <c r="FP34" s="24"/>
      <c r="GG34" s="24"/>
      <c r="GX34" s="24"/>
      <c r="HO34" s="24"/>
      <c r="IF34" s="24"/>
    </row>
    <row r="35" spans="1:240" s="23" customFormat="1" x14ac:dyDescent="0.25">
      <c r="A35" s="30" t="str">
        <f t="shared" si="45"/>
        <v>ALEXANDER HERNANDEZ</v>
      </c>
      <c r="B35" s="47" t="str">
        <f t="shared" si="45"/>
        <v/>
      </c>
      <c r="C35" s="16">
        <f t="shared" si="46"/>
        <v>0</v>
      </c>
      <c r="D35" s="16">
        <f t="shared" si="47"/>
        <v>1</v>
      </c>
      <c r="E35" s="16">
        <f t="shared" si="48"/>
        <v>0</v>
      </c>
      <c r="F35" s="16">
        <f t="shared" si="49"/>
        <v>0</v>
      </c>
      <c r="G35" s="16">
        <f t="shared" si="50"/>
        <v>0</v>
      </c>
      <c r="H35" s="16">
        <f t="shared" si="51"/>
        <v>0</v>
      </c>
      <c r="I35" s="16">
        <f t="shared" si="52"/>
        <v>1</v>
      </c>
      <c r="J35" s="16">
        <f t="shared" si="53"/>
        <v>0</v>
      </c>
      <c r="K35" s="16">
        <f t="shared" si="54"/>
        <v>3</v>
      </c>
      <c r="L35" s="16">
        <f t="shared" si="55"/>
        <v>3</v>
      </c>
      <c r="M35" s="16">
        <f t="shared" si="56"/>
        <v>0</v>
      </c>
      <c r="N35" s="16">
        <f t="shared" si="57"/>
        <v>0</v>
      </c>
      <c r="O35" s="16">
        <f t="shared" si="58"/>
        <v>0</v>
      </c>
      <c r="P35" s="16">
        <f t="shared" si="59"/>
        <v>0</v>
      </c>
      <c r="Q35" s="16">
        <f t="shared" si="60"/>
        <v>0</v>
      </c>
      <c r="R35" s="16">
        <f t="shared" si="61"/>
        <v>3</v>
      </c>
      <c r="S35" s="24"/>
      <c r="T35" s="31">
        <f t="shared" si="62"/>
        <v>0</v>
      </c>
      <c r="U35" s="31">
        <f t="shared" si="63"/>
        <v>0</v>
      </c>
      <c r="AJ35" s="24"/>
      <c r="BA35" s="24"/>
      <c r="BR35" s="24"/>
      <c r="CI35" s="24"/>
      <c r="CZ35" s="24"/>
      <c r="DQ35" s="24"/>
      <c r="EH35" s="24"/>
      <c r="EY35" s="24"/>
      <c r="FP35" s="24"/>
      <c r="GG35" s="24"/>
      <c r="GX35" s="24"/>
      <c r="HO35" s="24"/>
      <c r="IF35" s="24"/>
    </row>
    <row r="36" spans="1:240" s="23" customFormat="1" x14ac:dyDescent="0.25">
      <c r="A36" s="30" t="str">
        <f t="shared" si="45"/>
        <v>DANIEL LIENDO</v>
      </c>
      <c r="B36" s="47" t="str">
        <f t="shared" si="45"/>
        <v/>
      </c>
      <c r="C36" s="16">
        <f t="shared" si="46"/>
        <v>1</v>
      </c>
      <c r="D36" s="16">
        <f t="shared" si="47"/>
        <v>0</v>
      </c>
      <c r="E36" s="16">
        <f t="shared" si="48"/>
        <v>0</v>
      </c>
      <c r="F36" s="16">
        <f t="shared" si="49"/>
        <v>0</v>
      </c>
      <c r="G36" s="16">
        <f t="shared" si="50"/>
        <v>0</v>
      </c>
      <c r="H36" s="16">
        <f t="shared" si="51"/>
        <v>0</v>
      </c>
      <c r="I36" s="16">
        <f t="shared" si="52"/>
        <v>0</v>
      </c>
      <c r="J36" s="16">
        <f t="shared" si="53"/>
        <v>0</v>
      </c>
      <c r="K36" s="16">
        <f t="shared" si="54"/>
        <v>0</v>
      </c>
      <c r="L36" s="16">
        <f t="shared" si="55"/>
        <v>0</v>
      </c>
      <c r="M36" s="16">
        <f t="shared" si="56"/>
        <v>0</v>
      </c>
      <c r="N36" s="16">
        <f t="shared" si="57"/>
        <v>0</v>
      </c>
      <c r="O36" s="16">
        <f t="shared" si="58"/>
        <v>0</v>
      </c>
      <c r="P36" s="16">
        <f t="shared" si="59"/>
        <v>0</v>
      </c>
      <c r="Q36" s="16">
        <f t="shared" si="60"/>
        <v>0</v>
      </c>
      <c r="R36" s="16">
        <f t="shared" si="61"/>
        <v>1</v>
      </c>
      <c r="S36" s="24"/>
      <c r="T36" s="31">
        <f t="shared" si="62"/>
        <v>0</v>
      </c>
      <c r="U36" s="31">
        <f t="shared" si="63"/>
        <v>0</v>
      </c>
      <c r="AJ36" s="24"/>
      <c r="BA36" s="24"/>
      <c r="BR36" s="24"/>
      <c r="CI36" s="24"/>
      <c r="CZ36" s="24"/>
      <c r="DQ36" s="24"/>
      <c r="EH36" s="24"/>
      <c r="EY36" s="24"/>
      <c r="FP36" s="24"/>
      <c r="GG36" s="24"/>
      <c r="GX36" s="24"/>
      <c r="HO36" s="24"/>
      <c r="IF36" s="24"/>
    </row>
    <row r="37" spans="1:240" s="23" customFormat="1" x14ac:dyDescent="0.25">
      <c r="A37" s="30" t="str">
        <f t="shared" si="45"/>
        <v>SEBASTIAN MUJICA</v>
      </c>
      <c r="B37" s="47" t="str">
        <f t="shared" si="45"/>
        <v/>
      </c>
      <c r="C37" s="16">
        <f t="shared" si="46"/>
        <v>2</v>
      </c>
      <c r="D37" s="16">
        <f t="shared" si="47"/>
        <v>0</v>
      </c>
      <c r="E37" s="16">
        <f t="shared" si="48"/>
        <v>0</v>
      </c>
      <c r="F37" s="16">
        <f t="shared" si="49"/>
        <v>0</v>
      </c>
      <c r="G37" s="16">
        <f t="shared" si="50"/>
        <v>0</v>
      </c>
      <c r="H37" s="16">
        <f t="shared" si="51"/>
        <v>0</v>
      </c>
      <c r="I37" s="16">
        <f t="shared" si="52"/>
        <v>0</v>
      </c>
      <c r="J37" s="16">
        <f t="shared" si="53"/>
        <v>1</v>
      </c>
      <c r="K37" s="16">
        <f t="shared" si="54"/>
        <v>0</v>
      </c>
      <c r="L37" s="16">
        <f t="shared" si="55"/>
        <v>0</v>
      </c>
      <c r="M37" s="16">
        <f t="shared" si="56"/>
        <v>0</v>
      </c>
      <c r="N37" s="16">
        <f t="shared" si="57"/>
        <v>0</v>
      </c>
      <c r="O37" s="16">
        <f t="shared" si="58"/>
        <v>0</v>
      </c>
      <c r="P37" s="16">
        <f t="shared" si="59"/>
        <v>0</v>
      </c>
      <c r="Q37" s="16">
        <f t="shared" si="60"/>
        <v>0</v>
      </c>
      <c r="R37" s="16">
        <f t="shared" si="61"/>
        <v>2</v>
      </c>
      <c r="S37" s="24"/>
      <c r="T37" s="31">
        <f t="shared" si="62"/>
        <v>0</v>
      </c>
      <c r="U37" s="31">
        <f t="shared" si="63"/>
        <v>0</v>
      </c>
      <c r="AJ37" s="24"/>
      <c r="BA37" s="24"/>
      <c r="BR37" s="24"/>
      <c r="CI37" s="24"/>
      <c r="CZ37" s="24"/>
      <c r="DQ37" s="24"/>
      <c r="EH37" s="24"/>
      <c r="EY37" s="24"/>
      <c r="FP37" s="24"/>
      <c r="GG37" s="24"/>
      <c r="GX37" s="24"/>
      <c r="HO37" s="24"/>
      <c r="IF37" s="24"/>
    </row>
    <row r="38" spans="1:240" s="23" customFormat="1" x14ac:dyDescent="0.25">
      <c r="A38" s="30" t="str">
        <f t="shared" si="45"/>
        <v>ANGEL RODRIGUEZ</v>
      </c>
      <c r="B38" s="47" t="str">
        <f t="shared" si="45"/>
        <v/>
      </c>
      <c r="C38" s="16">
        <f t="shared" si="46"/>
        <v>3</v>
      </c>
      <c r="D38" s="16">
        <f t="shared" si="47"/>
        <v>2</v>
      </c>
      <c r="E38" s="16">
        <f t="shared" si="48"/>
        <v>2</v>
      </c>
      <c r="F38" s="16">
        <f t="shared" si="49"/>
        <v>0</v>
      </c>
      <c r="G38" s="16">
        <f t="shared" si="50"/>
        <v>0</v>
      </c>
      <c r="H38" s="16">
        <f t="shared" si="51"/>
        <v>0</v>
      </c>
      <c r="I38" s="16">
        <f t="shared" si="52"/>
        <v>1</v>
      </c>
      <c r="J38" s="16">
        <f t="shared" si="53"/>
        <v>1</v>
      </c>
      <c r="K38" s="16">
        <f t="shared" si="54"/>
        <v>0</v>
      </c>
      <c r="L38" s="16">
        <f t="shared" si="55"/>
        <v>1</v>
      </c>
      <c r="M38" s="16">
        <f t="shared" si="56"/>
        <v>0</v>
      </c>
      <c r="N38" s="16">
        <f t="shared" si="57"/>
        <v>0</v>
      </c>
      <c r="O38" s="16">
        <f t="shared" si="58"/>
        <v>0</v>
      </c>
      <c r="P38" s="16">
        <f t="shared" si="59"/>
        <v>0</v>
      </c>
      <c r="Q38" s="16">
        <f t="shared" si="60"/>
        <v>2</v>
      </c>
      <c r="R38" s="16">
        <f t="shared" si="61"/>
        <v>3</v>
      </c>
      <c r="S38" s="24"/>
      <c r="T38" s="31">
        <f t="shared" si="62"/>
        <v>666.66666666666663</v>
      </c>
      <c r="U38" s="31">
        <f t="shared" si="63"/>
        <v>666.66666666666663</v>
      </c>
      <c r="AJ38" s="24"/>
      <c r="BA38" s="24"/>
      <c r="BR38" s="24"/>
      <c r="CI38" s="24"/>
      <c r="CZ38" s="24"/>
      <c r="DQ38" s="24"/>
      <c r="EH38" s="24"/>
      <c r="EY38" s="24"/>
      <c r="FP38" s="24"/>
      <c r="GG38" s="24"/>
      <c r="GX38" s="24"/>
      <c r="HO38" s="24"/>
      <c r="IF38" s="24"/>
    </row>
    <row r="39" spans="1:240" s="23" customFormat="1" x14ac:dyDescent="0.25">
      <c r="A39" s="30" t="str">
        <f t="shared" si="45"/>
        <v>FRANCISCO MONASTERIO</v>
      </c>
      <c r="B39" s="47" t="str">
        <f t="shared" si="45"/>
        <v/>
      </c>
      <c r="C39" s="16">
        <f t="shared" si="46"/>
        <v>3</v>
      </c>
      <c r="D39" s="16">
        <f t="shared" si="47"/>
        <v>1</v>
      </c>
      <c r="E39" s="16">
        <f t="shared" si="48"/>
        <v>2</v>
      </c>
      <c r="F39" s="16">
        <f t="shared" si="49"/>
        <v>0</v>
      </c>
      <c r="G39" s="16">
        <f t="shared" si="50"/>
        <v>1</v>
      </c>
      <c r="H39" s="16">
        <f t="shared" si="51"/>
        <v>0</v>
      </c>
      <c r="I39" s="16">
        <f t="shared" si="52"/>
        <v>0</v>
      </c>
      <c r="J39" s="16">
        <f t="shared" si="53"/>
        <v>0</v>
      </c>
      <c r="K39" s="16">
        <f t="shared" si="54"/>
        <v>0</v>
      </c>
      <c r="L39" s="16">
        <f t="shared" si="55"/>
        <v>0</v>
      </c>
      <c r="M39" s="16">
        <f t="shared" si="56"/>
        <v>0</v>
      </c>
      <c r="N39" s="16">
        <f t="shared" si="57"/>
        <v>0</v>
      </c>
      <c r="O39" s="16">
        <f t="shared" si="58"/>
        <v>0</v>
      </c>
      <c r="P39" s="16">
        <f t="shared" si="59"/>
        <v>0</v>
      </c>
      <c r="Q39" s="16">
        <f t="shared" si="60"/>
        <v>4</v>
      </c>
      <c r="R39" s="16">
        <f t="shared" si="61"/>
        <v>3</v>
      </c>
      <c r="S39" s="24"/>
      <c r="T39" s="31">
        <f t="shared" si="62"/>
        <v>666.66666666666663</v>
      </c>
      <c r="U39" s="31">
        <f t="shared" si="63"/>
        <v>1333.3333333333333</v>
      </c>
      <c r="AJ39" s="24"/>
      <c r="BA39" s="24"/>
      <c r="BR39" s="24"/>
      <c r="CI39" s="24"/>
      <c r="CZ39" s="24"/>
      <c r="DQ39" s="24"/>
      <c r="EH39" s="24"/>
      <c r="EY39" s="24"/>
      <c r="FP39" s="24"/>
      <c r="GG39" s="24"/>
      <c r="GX39" s="24"/>
      <c r="HO39" s="24"/>
      <c r="IF39" s="24"/>
    </row>
    <row r="40" spans="1:240" s="23" customFormat="1" x14ac:dyDescent="0.25">
      <c r="A40" s="30" t="str">
        <f t="shared" si="45"/>
        <v>MARCOS MORALES</v>
      </c>
      <c r="B40" s="47" t="str">
        <f t="shared" si="45"/>
        <v/>
      </c>
      <c r="C40" s="16">
        <f t="shared" si="46"/>
        <v>3</v>
      </c>
      <c r="D40" s="16">
        <f t="shared" si="47"/>
        <v>2</v>
      </c>
      <c r="E40" s="16">
        <f t="shared" si="48"/>
        <v>2</v>
      </c>
      <c r="F40" s="16">
        <f t="shared" si="49"/>
        <v>1</v>
      </c>
      <c r="G40" s="16">
        <f t="shared" si="50"/>
        <v>0</v>
      </c>
      <c r="H40" s="16">
        <f t="shared" si="51"/>
        <v>0</v>
      </c>
      <c r="I40" s="16">
        <f t="shared" si="52"/>
        <v>2</v>
      </c>
      <c r="J40" s="16">
        <f t="shared" si="53"/>
        <v>1</v>
      </c>
      <c r="K40" s="16">
        <f t="shared" si="54"/>
        <v>0</v>
      </c>
      <c r="L40" s="16">
        <f t="shared" si="55"/>
        <v>3</v>
      </c>
      <c r="M40" s="16">
        <f t="shared" si="56"/>
        <v>0</v>
      </c>
      <c r="N40" s="16">
        <f t="shared" si="57"/>
        <v>0</v>
      </c>
      <c r="O40" s="16">
        <f t="shared" si="58"/>
        <v>0</v>
      </c>
      <c r="P40" s="16">
        <f t="shared" si="59"/>
        <v>0</v>
      </c>
      <c r="Q40" s="16">
        <f t="shared" si="60"/>
        <v>3</v>
      </c>
      <c r="R40" s="16">
        <f t="shared" si="61"/>
        <v>3</v>
      </c>
      <c r="S40" s="24"/>
      <c r="T40" s="31">
        <f t="shared" si="62"/>
        <v>666.66666666666663</v>
      </c>
      <c r="U40" s="31">
        <f t="shared" si="63"/>
        <v>1000</v>
      </c>
      <c r="AJ40" s="24"/>
      <c r="BA40" s="24"/>
      <c r="BR40" s="24"/>
      <c r="CI40" s="24"/>
      <c r="CZ40" s="24"/>
      <c r="DQ40" s="24"/>
      <c r="EH40" s="24"/>
      <c r="EY40" s="24"/>
      <c r="FP40" s="24"/>
      <c r="GG40" s="24"/>
      <c r="GX40" s="24"/>
      <c r="HO40" s="24"/>
      <c r="IF40" s="24"/>
    </row>
    <row r="41" spans="1:240" s="23" customFormat="1" x14ac:dyDescent="0.25">
      <c r="A41" s="30" t="str">
        <f t="shared" si="45"/>
        <v>ADRIAN MURILLO</v>
      </c>
      <c r="B41" s="47" t="str">
        <f t="shared" si="45"/>
        <v/>
      </c>
      <c r="C41" s="16">
        <f t="shared" si="46"/>
        <v>2</v>
      </c>
      <c r="D41" s="16">
        <f t="shared" si="47"/>
        <v>1</v>
      </c>
      <c r="E41" s="16">
        <f t="shared" si="48"/>
        <v>0</v>
      </c>
      <c r="F41" s="16">
        <f t="shared" si="49"/>
        <v>0</v>
      </c>
      <c r="G41" s="16">
        <f t="shared" si="50"/>
        <v>0</v>
      </c>
      <c r="H41" s="16">
        <f t="shared" si="51"/>
        <v>0</v>
      </c>
      <c r="I41" s="16">
        <f t="shared" si="52"/>
        <v>0</v>
      </c>
      <c r="J41" s="16">
        <f t="shared" si="53"/>
        <v>1</v>
      </c>
      <c r="K41" s="16">
        <f t="shared" si="54"/>
        <v>1</v>
      </c>
      <c r="L41" s="16">
        <f t="shared" si="55"/>
        <v>1</v>
      </c>
      <c r="M41" s="16">
        <f t="shared" si="56"/>
        <v>0</v>
      </c>
      <c r="N41" s="16">
        <f t="shared" si="57"/>
        <v>0</v>
      </c>
      <c r="O41" s="16">
        <f t="shared" si="58"/>
        <v>0</v>
      </c>
      <c r="P41" s="16">
        <f t="shared" si="59"/>
        <v>0</v>
      </c>
      <c r="Q41" s="16">
        <f t="shared" si="60"/>
        <v>0</v>
      </c>
      <c r="R41" s="16">
        <f t="shared" si="61"/>
        <v>3</v>
      </c>
      <c r="S41" s="24"/>
      <c r="T41" s="31">
        <f t="shared" si="62"/>
        <v>0</v>
      </c>
      <c r="U41" s="31">
        <f t="shared" si="63"/>
        <v>0</v>
      </c>
      <c r="AJ41" s="24"/>
      <c r="BA41" s="24"/>
      <c r="BR41" s="24"/>
      <c r="CI41" s="24"/>
      <c r="CZ41" s="24"/>
      <c r="DQ41" s="24"/>
      <c r="EH41" s="24"/>
      <c r="EY41" s="24"/>
      <c r="FP41" s="24"/>
      <c r="GG41" s="24"/>
      <c r="GX41" s="24"/>
      <c r="HO41" s="24"/>
      <c r="IF41" s="24"/>
    </row>
    <row r="42" spans="1:240" s="23" customFormat="1" x14ac:dyDescent="0.25">
      <c r="A42" s="30" t="str">
        <f t="shared" si="45"/>
        <v>DARGREYBER RODRIGUEZ</v>
      </c>
      <c r="B42" s="47" t="str">
        <f t="shared" si="45"/>
        <v/>
      </c>
      <c r="C42" s="16">
        <f t="shared" si="46"/>
        <v>0</v>
      </c>
      <c r="D42" s="16">
        <f t="shared" si="47"/>
        <v>0</v>
      </c>
      <c r="E42" s="16">
        <f t="shared" si="48"/>
        <v>0</v>
      </c>
      <c r="F42" s="16">
        <f t="shared" si="49"/>
        <v>0</v>
      </c>
      <c r="G42" s="16">
        <f t="shared" si="50"/>
        <v>0</v>
      </c>
      <c r="H42" s="16">
        <f t="shared" si="51"/>
        <v>0</v>
      </c>
      <c r="I42" s="16">
        <f t="shared" si="52"/>
        <v>0</v>
      </c>
      <c r="J42" s="16">
        <f t="shared" si="53"/>
        <v>0</v>
      </c>
      <c r="K42" s="16">
        <f t="shared" si="54"/>
        <v>0</v>
      </c>
      <c r="L42" s="16">
        <f t="shared" si="55"/>
        <v>0</v>
      </c>
      <c r="M42" s="16">
        <f t="shared" si="56"/>
        <v>0</v>
      </c>
      <c r="N42" s="16">
        <f t="shared" si="57"/>
        <v>0</v>
      </c>
      <c r="O42" s="16">
        <f t="shared" si="58"/>
        <v>0</v>
      </c>
      <c r="P42" s="16">
        <f t="shared" si="59"/>
        <v>0</v>
      </c>
      <c r="Q42" s="16">
        <f t="shared" si="60"/>
        <v>0</v>
      </c>
      <c r="R42" s="16">
        <f t="shared" si="61"/>
        <v>0</v>
      </c>
      <c r="S42" s="24"/>
      <c r="T42" s="31">
        <f t="shared" si="62"/>
        <v>0</v>
      </c>
      <c r="U42" s="31">
        <f t="shared" si="63"/>
        <v>0</v>
      </c>
      <c r="AJ42" s="24"/>
      <c r="BA42" s="24"/>
      <c r="BR42" s="24"/>
      <c r="CI42" s="24"/>
      <c r="CZ42" s="24"/>
      <c r="DQ42" s="24"/>
      <c r="EH42" s="24"/>
      <c r="EY42" s="24"/>
      <c r="FP42" s="24"/>
      <c r="GG42" s="24"/>
      <c r="GX42" s="24"/>
      <c r="HO42" s="24"/>
      <c r="IF42" s="24"/>
    </row>
    <row r="43" spans="1:240" s="23" customFormat="1" x14ac:dyDescent="0.25">
      <c r="A43" s="30" t="str">
        <f t="shared" si="45"/>
        <v>JENSE FLORES</v>
      </c>
      <c r="B43" s="47" t="str">
        <f t="shared" si="45"/>
        <v/>
      </c>
      <c r="C43" s="16">
        <f t="shared" si="46"/>
        <v>0</v>
      </c>
      <c r="D43" s="16">
        <f t="shared" si="47"/>
        <v>0</v>
      </c>
      <c r="E43" s="16">
        <f t="shared" si="48"/>
        <v>0</v>
      </c>
      <c r="F43" s="16">
        <f t="shared" si="49"/>
        <v>0</v>
      </c>
      <c r="G43" s="16">
        <f t="shared" si="50"/>
        <v>0</v>
      </c>
      <c r="H43" s="16">
        <f t="shared" si="51"/>
        <v>0</v>
      </c>
      <c r="I43" s="16">
        <f t="shared" si="52"/>
        <v>0</v>
      </c>
      <c r="J43" s="16">
        <f t="shared" si="53"/>
        <v>0</v>
      </c>
      <c r="K43" s="16">
        <f t="shared" si="54"/>
        <v>0</v>
      </c>
      <c r="L43" s="16">
        <f t="shared" si="55"/>
        <v>0</v>
      </c>
      <c r="M43" s="16">
        <f t="shared" si="56"/>
        <v>0</v>
      </c>
      <c r="N43" s="16">
        <f t="shared" si="57"/>
        <v>0</v>
      </c>
      <c r="O43" s="16">
        <f t="shared" si="58"/>
        <v>0</v>
      </c>
      <c r="P43" s="16">
        <f t="shared" si="59"/>
        <v>0</v>
      </c>
      <c r="Q43" s="16">
        <f t="shared" si="60"/>
        <v>0</v>
      </c>
      <c r="R43" s="16">
        <f t="shared" si="61"/>
        <v>0</v>
      </c>
      <c r="S43" s="24"/>
      <c r="T43" s="31">
        <f t="shared" si="62"/>
        <v>0</v>
      </c>
      <c r="U43" s="31">
        <f t="shared" si="63"/>
        <v>0</v>
      </c>
      <c r="AJ43" s="24"/>
      <c r="BA43" s="24"/>
      <c r="BR43" s="24"/>
      <c r="CI43" s="24"/>
      <c r="CZ43" s="24"/>
      <c r="DQ43" s="24"/>
      <c r="EH43" s="24"/>
      <c r="EY43" s="24"/>
      <c r="FP43" s="24"/>
      <c r="GG43" s="24"/>
      <c r="GX43" s="24"/>
      <c r="HO43" s="24"/>
      <c r="IF43" s="24"/>
    </row>
    <row r="44" spans="1:240" s="23" customFormat="1" x14ac:dyDescent="0.25">
      <c r="A44" s="30" t="str">
        <f t="shared" si="45"/>
        <v/>
      </c>
      <c r="B44" s="47" t="str">
        <f t="shared" si="45"/>
        <v/>
      </c>
      <c r="C44" s="16">
        <f t="shared" si="46"/>
        <v>0</v>
      </c>
      <c r="D44" s="16">
        <f t="shared" si="47"/>
        <v>0</v>
      </c>
      <c r="E44" s="16">
        <f t="shared" si="48"/>
        <v>0</v>
      </c>
      <c r="F44" s="16">
        <f t="shared" si="49"/>
        <v>0</v>
      </c>
      <c r="G44" s="16">
        <f t="shared" si="50"/>
        <v>0</v>
      </c>
      <c r="H44" s="16">
        <f t="shared" si="51"/>
        <v>0</v>
      </c>
      <c r="I44" s="16">
        <f t="shared" si="52"/>
        <v>0</v>
      </c>
      <c r="J44" s="16">
        <f t="shared" si="53"/>
        <v>0</v>
      </c>
      <c r="K44" s="16">
        <f t="shared" si="54"/>
        <v>0</v>
      </c>
      <c r="L44" s="16">
        <f t="shared" si="55"/>
        <v>0</v>
      </c>
      <c r="M44" s="16">
        <f t="shared" si="56"/>
        <v>0</v>
      </c>
      <c r="N44" s="16">
        <f t="shared" si="57"/>
        <v>0</v>
      </c>
      <c r="O44" s="16">
        <f t="shared" si="58"/>
        <v>0</v>
      </c>
      <c r="P44" s="16">
        <f t="shared" si="59"/>
        <v>0</v>
      </c>
      <c r="Q44" s="16">
        <f t="shared" si="60"/>
        <v>0</v>
      </c>
      <c r="R44" s="16">
        <f t="shared" si="61"/>
        <v>0</v>
      </c>
      <c r="S44" s="24"/>
      <c r="T44" s="31">
        <f t="shared" si="62"/>
        <v>0</v>
      </c>
      <c r="U44" s="31">
        <f t="shared" si="63"/>
        <v>0</v>
      </c>
      <c r="AJ44" s="24"/>
      <c r="BA44" s="24"/>
      <c r="BR44" s="24"/>
      <c r="CI44" s="24"/>
      <c r="CZ44" s="24"/>
      <c r="DQ44" s="24"/>
      <c r="EH44" s="24"/>
      <c r="EY44" s="24"/>
      <c r="FP44" s="24"/>
      <c r="GG44" s="24"/>
      <c r="GX44" s="24"/>
      <c r="HO44" s="24"/>
      <c r="IF44" s="24"/>
    </row>
    <row r="45" spans="1:240" s="23" customFormat="1" x14ac:dyDescent="0.25">
      <c r="A45" s="30" t="str">
        <f t="shared" si="45"/>
        <v/>
      </c>
      <c r="B45" s="47" t="str">
        <f t="shared" si="45"/>
        <v/>
      </c>
      <c r="C45" s="16">
        <f t="shared" si="46"/>
        <v>0</v>
      </c>
      <c r="D45" s="16">
        <f t="shared" si="47"/>
        <v>0</v>
      </c>
      <c r="E45" s="16">
        <f t="shared" si="48"/>
        <v>0</v>
      </c>
      <c r="F45" s="16">
        <f t="shared" si="49"/>
        <v>0</v>
      </c>
      <c r="G45" s="16">
        <f t="shared" si="50"/>
        <v>0</v>
      </c>
      <c r="H45" s="16">
        <f t="shared" si="51"/>
        <v>0</v>
      </c>
      <c r="I45" s="16">
        <f t="shared" si="52"/>
        <v>0</v>
      </c>
      <c r="J45" s="16">
        <f t="shared" si="53"/>
        <v>0</v>
      </c>
      <c r="K45" s="16">
        <f t="shared" si="54"/>
        <v>0</v>
      </c>
      <c r="L45" s="16">
        <f t="shared" si="55"/>
        <v>0</v>
      </c>
      <c r="M45" s="16">
        <f t="shared" si="56"/>
        <v>0</v>
      </c>
      <c r="N45" s="16">
        <f t="shared" si="57"/>
        <v>0</v>
      </c>
      <c r="O45" s="16">
        <f t="shared" si="58"/>
        <v>0</v>
      </c>
      <c r="P45" s="16">
        <f t="shared" si="59"/>
        <v>0</v>
      </c>
      <c r="Q45" s="16">
        <f t="shared" si="60"/>
        <v>0</v>
      </c>
      <c r="R45" s="16">
        <f t="shared" si="61"/>
        <v>0</v>
      </c>
      <c r="S45" s="24"/>
      <c r="T45" s="31">
        <f t="shared" si="62"/>
        <v>0</v>
      </c>
      <c r="U45" s="31">
        <f t="shared" si="63"/>
        <v>0</v>
      </c>
      <c r="AJ45" s="24"/>
      <c r="BA45" s="24"/>
      <c r="BR45" s="24"/>
      <c r="CI45" s="24"/>
      <c r="CZ45" s="24"/>
      <c r="DQ45" s="24"/>
      <c r="EH45" s="24"/>
      <c r="EY45" s="24"/>
      <c r="FP45" s="24"/>
      <c r="GG45" s="24"/>
      <c r="GX45" s="24"/>
      <c r="HO45" s="24"/>
      <c r="IF45" s="24"/>
    </row>
    <row r="46" spans="1:240" s="23" customFormat="1" x14ac:dyDescent="0.25">
      <c r="A46" s="30" t="str">
        <f t="shared" si="45"/>
        <v/>
      </c>
      <c r="B46" s="47" t="str">
        <f t="shared" si="45"/>
        <v/>
      </c>
      <c r="C46" s="16">
        <f t="shared" si="46"/>
        <v>0</v>
      </c>
      <c r="D46" s="16">
        <f t="shared" si="47"/>
        <v>0</v>
      </c>
      <c r="E46" s="16">
        <f t="shared" si="48"/>
        <v>0</v>
      </c>
      <c r="F46" s="16">
        <f t="shared" si="49"/>
        <v>0</v>
      </c>
      <c r="G46" s="16">
        <f t="shared" si="50"/>
        <v>0</v>
      </c>
      <c r="H46" s="16">
        <f t="shared" si="51"/>
        <v>0</v>
      </c>
      <c r="I46" s="16">
        <f t="shared" si="52"/>
        <v>0</v>
      </c>
      <c r="J46" s="16">
        <f t="shared" si="53"/>
        <v>0</v>
      </c>
      <c r="K46" s="16">
        <f t="shared" si="54"/>
        <v>0</v>
      </c>
      <c r="L46" s="16">
        <f t="shared" si="55"/>
        <v>0</v>
      </c>
      <c r="M46" s="16">
        <f t="shared" si="56"/>
        <v>0</v>
      </c>
      <c r="N46" s="16">
        <f t="shared" si="57"/>
        <v>0</v>
      </c>
      <c r="O46" s="16">
        <f t="shared" si="58"/>
        <v>0</v>
      </c>
      <c r="P46" s="16">
        <f t="shared" si="59"/>
        <v>0</v>
      </c>
      <c r="Q46" s="16">
        <f t="shared" si="60"/>
        <v>0</v>
      </c>
      <c r="R46" s="16">
        <f t="shared" si="61"/>
        <v>0</v>
      </c>
      <c r="S46" s="24"/>
      <c r="T46" s="31">
        <f t="shared" si="62"/>
        <v>0</v>
      </c>
      <c r="U46" s="31">
        <f t="shared" si="63"/>
        <v>0</v>
      </c>
      <c r="AJ46" s="24"/>
      <c r="BA46" s="24"/>
      <c r="BR46" s="24"/>
      <c r="CI46" s="24"/>
      <c r="CZ46" s="24"/>
      <c r="DQ46" s="24"/>
      <c r="EH46" s="24"/>
      <c r="EY46" s="24"/>
      <c r="FP46" s="24"/>
      <c r="GG46" s="24"/>
      <c r="GX46" s="24"/>
      <c r="HO46" s="24"/>
      <c r="IF46" s="24"/>
    </row>
    <row r="47" spans="1:240" x14ac:dyDescent="0.25">
      <c r="A47" s="30" t="str">
        <f t="shared" si="45"/>
        <v/>
      </c>
      <c r="B47" s="47" t="str">
        <f t="shared" si="45"/>
        <v/>
      </c>
      <c r="C47" s="16">
        <f t="shared" si="46"/>
        <v>0</v>
      </c>
      <c r="D47" s="16">
        <f t="shared" si="47"/>
        <v>0</v>
      </c>
      <c r="E47" s="16">
        <f t="shared" si="48"/>
        <v>0</v>
      </c>
      <c r="F47" s="16">
        <f t="shared" si="49"/>
        <v>0</v>
      </c>
      <c r="G47" s="16">
        <f t="shared" si="50"/>
        <v>0</v>
      </c>
      <c r="H47" s="16">
        <f t="shared" si="51"/>
        <v>0</v>
      </c>
      <c r="I47" s="16">
        <f t="shared" si="52"/>
        <v>0</v>
      </c>
      <c r="J47" s="16">
        <f t="shared" si="53"/>
        <v>0</v>
      </c>
      <c r="K47" s="16">
        <f t="shared" si="54"/>
        <v>0</v>
      </c>
      <c r="L47" s="16">
        <f t="shared" si="55"/>
        <v>0</v>
      </c>
      <c r="M47" s="16">
        <f t="shared" si="56"/>
        <v>0</v>
      </c>
      <c r="N47" s="16">
        <f t="shared" si="57"/>
        <v>0</v>
      </c>
      <c r="O47" s="16">
        <f t="shared" si="58"/>
        <v>0</v>
      </c>
      <c r="P47" s="16">
        <f t="shared" si="59"/>
        <v>0</v>
      </c>
      <c r="Q47" s="16">
        <f t="shared" si="60"/>
        <v>0</v>
      </c>
      <c r="R47" s="16">
        <f t="shared" si="61"/>
        <v>0</v>
      </c>
      <c r="S47" s="2"/>
      <c r="T47" s="31">
        <f t="shared" si="62"/>
        <v>0</v>
      </c>
      <c r="U47" s="31">
        <f t="shared" si="63"/>
        <v>0</v>
      </c>
      <c r="AJ47" s="2"/>
      <c r="BA47" s="2"/>
      <c r="BR47" s="2"/>
      <c r="CI47" s="2"/>
      <c r="CZ47" s="2"/>
      <c r="DQ47" s="2"/>
      <c r="EH47" s="2"/>
      <c r="EY47" s="2"/>
      <c r="FP47" s="2"/>
      <c r="GG47" s="2"/>
      <c r="GX47" s="2"/>
      <c r="HO47" s="2"/>
      <c r="IF47" s="2"/>
    </row>
    <row r="48" spans="1:240" x14ac:dyDescent="0.25">
      <c r="A48" s="30" t="str">
        <f t="shared" si="45"/>
        <v/>
      </c>
      <c r="B48" s="47" t="str">
        <f t="shared" si="45"/>
        <v/>
      </c>
      <c r="C48" s="16">
        <f t="shared" si="46"/>
        <v>0</v>
      </c>
      <c r="D48" s="16">
        <f t="shared" si="47"/>
        <v>0</v>
      </c>
      <c r="E48" s="16">
        <f t="shared" si="48"/>
        <v>0</v>
      </c>
      <c r="F48" s="16">
        <f t="shared" si="49"/>
        <v>0</v>
      </c>
      <c r="G48" s="16">
        <f t="shared" si="50"/>
        <v>0</v>
      </c>
      <c r="H48" s="16">
        <f t="shared" si="51"/>
        <v>0</v>
      </c>
      <c r="I48" s="16">
        <f t="shared" si="52"/>
        <v>0</v>
      </c>
      <c r="J48" s="16">
        <f t="shared" si="53"/>
        <v>0</v>
      </c>
      <c r="K48" s="16">
        <f t="shared" si="54"/>
        <v>0</v>
      </c>
      <c r="L48" s="16">
        <f t="shared" si="55"/>
        <v>0</v>
      </c>
      <c r="M48" s="16">
        <f t="shared" si="56"/>
        <v>0</v>
      </c>
      <c r="N48" s="16">
        <f t="shared" si="57"/>
        <v>0</v>
      </c>
      <c r="O48" s="16">
        <f t="shared" si="58"/>
        <v>0</v>
      </c>
      <c r="P48" s="16">
        <f t="shared" si="59"/>
        <v>0</v>
      </c>
      <c r="Q48" s="16">
        <f t="shared" si="60"/>
        <v>0</v>
      </c>
      <c r="R48" s="16">
        <f t="shared" si="61"/>
        <v>0</v>
      </c>
      <c r="S48" s="2"/>
      <c r="T48" s="31">
        <f t="shared" si="62"/>
        <v>0</v>
      </c>
      <c r="U48" s="31">
        <f t="shared" si="63"/>
        <v>0</v>
      </c>
      <c r="AJ48" s="2"/>
      <c r="BA48" s="2"/>
      <c r="BR48" s="2"/>
      <c r="CI48" s="2"/>
      <c r="CZ48" s="2"/>
      <c r="DQ48" s="2"/>
      <c r="EH48" s="2"/>
      <c r="EY48" s="2"/>
      <c r="FP48" s="2"/>
      <c r="GG48" s="2"/>
      <c r="GX48" s="2"/>
      <c r="HO48" s="2"/>
      <c r="IF48" s="2"/>
    </row>
    <row r="49" spans="1:240" x14ac:dyDescent="0.25">
      <c r="A49" s="30" t="str">
        <f t="shared" si="45"/>
        <v/>
      </c>
      <c r="B49" s="47" t="str">
        <f t="shared" si="45"/>
        <v/>
      </c>
      <c r="C49" s="16">
        <f t="shared" si="46"/>
        <v>0</v>
      </c>
      <c r="D49" s="16">
        <f t="shared" si="47"/>
        <v>0</v>
      </c>
      <c r="E49" s="16">
        <f t="shared" si="48"/>
        <v>0</v>
      </c>
      <c r="F49" s="16">
        <f t="shared" si="49"/>
        <v>0</v>
      </c>
      <c r="G49" s="16">
        <f t="shared" si="50"/>
        <v>0</v>
      </c>
      <c r="H49" s="16">
        <f t="shared" si="51"/>
        <v>0</v>
      </c>
      <c r="I49" s="16">
        <f t="shared" si="52"/>
        <v>0</v>
      </c>
      <c r="J49" s="16">
        <f t="shared" si="53"/>
        <v>0</v>
      </c>
      <c r="K49" s="16">
        <f t="shared" si="54"/>
        <v>0</v>
      </c>
      <c r="L49" s="16">
        <f t="shared" si="55"/>
        <v>0</v>
      </c>
      <c r="M49" s="16">
        <f t="shared" si="56"/>
        <v>0</v>
      </c>
      <c r="N49" s="16">
        <f t="shared" si="57"/>
        <v>0</v>
      </c>
      <c r="O49" s="16">
        <f t="shared" si="58"/>
        <v>0</v>
      </c>
      <c r="P49" s="16">
        <f t="shared" si="59"/>
        <v>0</v>
      </c>
      <c r="Q49" s="16">
        <f t="shared" si="60"/>
        <v>0</v>
      </c>
      <c r="R49" s="16">
        <f t="shared" si="61"/>
        <v>0</v>
      </c>
      <c r="S49" s="2"/>
      <c r="T49" s="31">
        <f t="shared" si="62"/>
        <v>0</v>
      </c>
      <c r="U49" s="31">
        <f t="shared" si="63"/>
        <v>0</v>
      </c>
      <c r="AJ49" s="2"/>
      <c r="BA49" s="2"/>
      <c r="BR49" s="2"/>
      <c r="CI49" s="2"/>
      <c r="CZ49" s="2"/>
      <c r="DQ49" s="2"/>
      <c r="EH49" s="2"/>
      <c r="EY49" s="2"/>
      <c r="FP49" s="2"/>
      <c r="GG49" s="2"/>
      <c r="GX49" s="2"/>
      <c r="HO49" s="2"/>
      <c r="IF49" s="2"/>
    </row>
    <row r="50" spans="1:240" ht="13.8" thickBot="1" x14ac:dyDescent="0.3">
      <c r="A50" s="30" t="str">
        <f t="shared" si="45"/>
        <v/>
      </c>
      <c r="B50" s="47" t="str">
        <f t="shared" si="45"/>
        <v/>
      </c>
      <c r="C50" s="16">
        <f t="shared" si="46"/>
        <v>0</v>
      </c>
      <c r="D50" s="16">
        <f t="shared" si="47"/>
        <v>0</v>
      </c>
      <c r="E50" s="16">
        <f t="shared" si="48"/>
        <v>0</v>
      </c>
      <c r="F50" s="16">
        <f t="shared" si="49"/>
        <v>0</v>
      </c>
      <c r="G50" s="16">
        <f t="shared" si="50"/>
        <v>0</v>
      </c>
      <c r="H50" s="16">
        <f t="shared" si="51"/>
        <v>0</v>
      </c>
      <c r="I50" s="16">
        <f t="shared" si="52"/>
        <v>0</v>
      </c>
      <c r="J50" s="16">
        <f t="shared" si="53"/>
        <v>0</v>
      </c>
      <c r="K50" s="16">
        <f t="shared" si="54"/>
        <v>0</v>
      </c>
      <c r="L50" s="16">
        <f t="shared" si="55"/>
        <v>0</v>
      </c>
      <c r="M50" s="16">
        <f t="shared" si="56"/>
        <v>0</v>
      </c>
      <c r="N50" s="16">
        <f t="shared" si="57"/>
        <v>0</v>
      </c>
      <c r="O50" s="16">
        <f t="shared" si="58"/>
        <v>0</v>
      </c>
      <c r="P50" s="16">
        <f t="shared" si="59"/>
        <v>0</v>
      </c>
      <c r="Q50" s="16">
        <f t="shared" si="60"/>
        <v>0</v>
      </c>
      <c r="R50" s="16">
        <f t="shared" si="61"/>
        <v>0</v>
      </c>
      <c r="S50" s="2"/>
      <c r="T50" s="31">
        <f t="shared" si="62"/>
        <v>0</v>
      </c>
      <c r="U50" s="31">
        <f t="shared" si="63"/>
        <v>0</v>
      </c>
      <c r="AJ50" s="2"/>
      <c r="BA50" s="2"/>
      <c r="BR50" s="2"/>
      <c r="CI50" s="2"/>
      <c r="CZ50" s="2"/>
      <c r="DQ50" s="2"/>
      <c r="EH50" s="2"/>
      <c r="EY50" s="2"/>
      <c r="FP50" s="2"/>
      <c r="GG50" s="2"/>
      <c r="GX50" s="2"/>
      <c r="HO50" s="2"/>
      <c r="IF50" s="2"/>
    </row>
    <row r="51" spans="1:240" ht="13.8" thickBot="1" x14ac:dyDescent="0.3">
      <c r="A51" s="62" t="s">
        <v>48</v>
      </c>
      <c r="B51" s="63"/>
      <c r="C51" s="32">
        <f>SUM(C32:C50)</f>
        <v>25</v>
      </c>
      <c r="D51" s="32">
        <f t="shared" ref="D51:P51" si="64">SUM(D32:D50)</f>
        <v>10</v>
      </c>
      <c r="E51" s="32">
        <f t="shared" si="64"/>
        <v>9</v>
      </c>
      <c r="F51" s="32">
        <f t="shared" si="64"/>
        <v>2</v>
      </c>
      <c r="G51" s="32">
        <f t="shared" si="64"/>
        <v>1</v>
      </c>
      <c r="H51" s="32">
        <f t="shared" si="64"/>
        <v>0</v>
      </c>
      <c r="I51" s="32">
        <f t="shared" si="64"/>
        <v>4</v>
      </c>
      <c r="J51" s="32">
        <f t="shared" si="64"/>
        <v>4</v>
      </c>
      <c r="K51" s="32">
        <f t="shared" si="64"/>
        <v>5</v>
      </c>
      <c r="L51" s="32">
        <f t="shared" si="64"/>
        <v>9</v>
      </c>
      <c r="M51" s="32">
        <f t="shared" si="64"/>
        <v>0</v>
      </c>
      <c r="N51" s="32">
        <f t="shared" si="64"/>
        <v>0</v>
      </c>
      <c r="O51" s="32">
        <f t="shared" si="64"/>
        <v>0</v>
      </c>
      <c r="P51" s="32">
        <f t="shared" si="64"/>
        <v>0</v>
      </c>
      <c r="Q51" s="32">
        <f>SUM(Q32:Q50)</f>
        <v>13</v>
      </c>
      <c r="R51" s="32">
        <f>SUM(R32:R50)</f>
        <v>30</v>
      </c>
      <c r="S51" s="33"/>
      <c r="T51" s="34">
        <f t="shared" si="62"/>
        <v>360</v>
      </c>
      <c r="U51" s="35">
        <f t="shared" si="63"/>
        <v>520</v>
      </c>
      <c r="AJ51" s="2"/>
      <c r="BA51" s="2"/>
      <c r="BR51" s="2"/>
      <c r="CI51" s="2"/>
      <c r="CZ51" s="2"/>
      <c r="DQ51" s="2"/>
      <c r="EH51" s="2"/>
      <c r="EY51" s="2"/>
      <c r="FP51" s="2"/>
      <c r="GG51" s="2"/>
      <c r="GX51" s="2"/>
      <c r="HO51" s="2"/>
      <c r="IF51" s="2"/>
    </row>
    <row r="52" spans="1:240" x14ac:dyDescent="0.25">
      <c r="S52" s="2"/>
      <c r="AJ52" s="2"/>
      <c r="BA52" s="2"/>
      <c r="BR52" s="2"/>
      <c r="CI52" s="2"/>
      <c r="CZ52" s="2"/>
      <c r="DQ52" s="2"/>
      <c r="EH52" s="2"/>
      <c r="EY52" s="2"/>
      <c r="FP52" s="2"/>
      <c r="GG52" s="2"/>
      <c r="GX52" s="2"/>
      <c r="HO52" s="2"/>
      <c r="IF52" s="2"/>
    </row>
    <row r="53" spans="1:240" x14ac:dyDescent="0.25">
      <c r="S53" s="2"/>
      <c r="AJ53" s="2"/>
      <c r="BA53" s="2"/>
      <c r="BR53" s="2"/>
      <c r="CI53" s="2"/>
      <c r="CZ53" s="2"/>
      <c r="DQ53" s="2"/>
      <c r="EH53" s="2"/>
      <c r="EY53" s="2"/>
      <c r="FP53" s="2"/>
      <c r="GG53" s="2"/>
      <c r="GX53" s="2"/>
      <c r="HO53" s="2"/>
      <c r="IF53" s="2"/>
    </row>
  </sheetData>
  <sheetProtection selectLockedCells="1" selectUnlockedCells="1"/>
  <mergeCells count="18">
    <mergeCell ref="GH6:GW6"/>
    <mergeCell ref="GY6:HN6"/>
    <mergeCell ref="HP6:IE6"/>
    <mergeCell ref="A27:B27"/>
    <mergeCell ref="A30:U30"/>
    <mergeCell ref="A51:B51"/>
    <mergeCell ref="CJ6:CY6"/>
    <mergeCell ref="DA6:DP6"/>
    <mergeCell ref="DR6:EG6"/>
    <mergeCell ref="EI6:EX6"/>
    <mergeCell ref="EZ6:FO6"/>
    <mergeCell ref="FQ6:GF6"/>
    <mergeCell ref="A6:B6"/>
    <mergeCell ref="C6:R6"/>
    <mergeCell ref="T6:AI6"/>
    <mergeCell ref="AK6:AZ6"/>
    <mergeCell ref="BB6:BQ6"/>
    <mergeCell ref="BS6:CH6"/>
  </mergeCell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 alignWithMargins="0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41D41-F216-4A58-9D72-6F21AE3CB431}">
  <dimension ref="A1:IV53"/>
  <sheetViews>
    <sheetView topLeftCell="A31" zoomScale="180" zoomScaleNormal="180" workbookViewId="0">
      <pane xSplit="1" topLeftCell="B1" activePane="topRight" state="frozen"/>
      <selection activeCell="A5" sqref="A5"/>
      <selection pane="topRight" activeCell="C7" sqref="C7"/>
    </sheetView>
  </sheetViews>
  <sheetFormatPr baseColWidth="10" defaultColWidth="4.33203125" defaultRowHeight="13.2" x14ac:dyDescent="0.25"/>
  <cols>
    <col min="1" max="1" width="28.44140625" customWidth="1"/>
    <col min="2" max="2" width="3.5546875" style="46" customWidth="1"/>
    <col min="19" max="19" width="1" customWidth="1"/>
    <col min="36" max="36" width="1.5546875" customWidth="1"/>
    <col min="53" max="53" width="1.33203125" customWidth="1"/>
    <col min="70" max="70" width="1.33203125" customWidth="1"/>
    <col min="87" max="87" width="1.109375" customWidth="1"/>
    <col min="104" max="104" width="1.44140625" customWidth="1"/>
    <col min="121" max="121" width="1.5546875" customWidth="1"/>
    <col min="138" max="138" width="1.44140625" customWidth="1"/>
    <col min="155" max="155" width="1.33203125" customWidth="1"/>
    <col min="172" max="172" width="1.33203125" customWidth="1"/>
    <col min="189" max="189" width="1.33203125" customWidth="1"/>
    <col min="206" max="206" width="1.109375" customWidth="1"/>
    <col min="223" max="223" width="1.33203125" customWidth="1"/>
    <col min="240" max="240" width="1.44140625" customWidth="1"/>
  </cols>
  <sheetData>
    <row r="1" spans="1:256" x14ac:dyDescent="0.25">
      <c r="A1" s="1" t="s">
        <v>0</v>
      </c>
      <c r="B1" s="56"/>
      <c r="C1" s="1"/>
      <c r="D1" s="1"/>
      <c r="E1" s="1"/>
      <c r="F1" s="1"/>
      <c r="G1" s="1"/>
      <c r="S1" s="2"/>
      <c r="AJ1" s="2"/>
      <c r="BA1" s="2"/>
      <c r="BR1" s="2"/>
      <c r="CI1" s="2"/>
      <c r="CZ1" s="2"/>
      <c r="DQ1" s="2"/>
      <c r="EH1" s="2"/>
      <c r="EY1" s="2"/>
      <c r="FP1" s="2"/>
      <c r="GG1" s="2"/>
      <c r="GX1" s="2"/>
      <c r="HO1" s="2"/>
      <c r="IF1" s="2"/>
    </row>
    <row r="2" spans="1:256" x14ac:dyDescent="0.25">
      <c r="A2" s="1" t="s">
        <v>1</v>
      </c>
      <c r="B2" s="56"/>
      <c r="C2" s="1"/>
      <c r="D2" s="1"/>
      <c r="E2" s="1"/>
      <c r="F2" s="1"/>
      <c r="G2" s="1"/>
      <c r="S2" s="2"/>
      <c r="AJ2" s="2"/>
      <c r="BA2" s="2"/>
      <c r="BR2" s="2"/>
      <c r="CI2" s="2"/>
      <c r="CZ2" s="2"/>
      <c r="DQ2" s="2"/>
      <c r="EH2" s="2"/>
      <c r="EY2" s="2"/>
      <c r="FP2" s="2"/>
      <c r="GG2" s="2"/>
      <c r="GX2" s="2"/>
      <c r="HO2" s="2"/>
      <c r="IF2" s="2"/>
    </row>
    <row r="3" spans="1:256" x14ac:dyDescent="0.25">
      <c r="B3" s="57" t="s">
        <v>2</v>
      </c>
      <c r="C3" s="3"/>
      <c r="D3" s="3"/>
      <c r="E3" s="3"/>
      <c r="F3" s="3"/>
      <c r="G3" s="3"/>
      <c r="S3" s="2"/>
      <c r="AJ3" s="2"/>
      <c r="BA3" s="2"/>
      <c r="BR3" s="2"/>
      <c r="CI3" s="2"/>
      <c r="CZ3" s="2"/>
      <c r="DQ3" s="2"/>
      <c r="EH3" s="2"/>
      <c r="EY3" s="2"/>
      <c r="FP3" s="2"/>
      <c r="GG3" s="2"/>
      <c r="GX3" s="2"/>
      <c r="HO3" s="2"/>
      <c r="IF3" s="2"/>
    </row>
    <row r="4" spans="1:256" x14ac:dyDescent="0.25">
      <c r="B4" s="46" t="s">
        <v>3</v>
      </c>
      <c r="S4" s="2"/>
      <c r="AJ4" s="2"/>
      <c r="BA4" s="2"/>
      <c r="BR4" s="2"/>
      <c r="CI4" s="2"/>
      <c r="CZ4" s="2"/>
      <c r="DQ4" s="2"/>
      <c r="EH4" s="2"/>
      <c r="EY4" s="2"/>
      <c r="FP4" s="2"/>
      <c r="GG4" s="2"/>
      <c r="GX4" s="2"/>
      <c r="HO4" s="2"/>
      <c r="IF4" s="2"/>
    </row>
    <row r="5" spans="1:256" ht="13.8" thickBot="1" x14ac:dyDescent="0.3">
      <c r="C5" t="s">
        <v>4</v>
      </c>
      <c r="F5" t="s">
        <v>5</v>
      </c>
      <c r="S5" s="2"/>
      <c r="U5" s="4" t="s">
        <v>6</v>
      </c>
      <c r="Y5" s="4" t="s">
        <v>7</v>
      </c>
      <c r="AC5">
        <v>2</v>
      </c>
      <c r="AJ5" s="2"/>
      <c r="AL5" s="4" t="s">
        <v>6</v>
      </c>
      <c r="AP5" t="s">
        <v>8</v>
      </c>
      <c r="AT5">
        <v>3</v>
      </c>
      <c r="BA5" s="2"/>
      <c r="BC5" s="4" t="s">
        <v>6</v>
      </c>
      <c r="BG5" t="s">
        <v>9</v>
      </c>
      <c r="BK5">
        <v>4</v>
      </c>
      <c r="BR5" s="2"/>
      <c r="BT5" s="4" t="s">
        <v>6</v>
      </c>
      <c r="BY5" t="s">
        <v>10</v>
      </c>
      <c r="CB5">
        <v>5</v>
      </c>
      <c r="CI5" s="2"/>
      <c r="CK5" s="4" t="s">
        <v>6</v>
      </c>
      <c r="CO5" t="s">
        <v>11</v>
      </c>
      <c r="CS5">
        <v>6</v>
      </c>
      <c r="CZ5" s="2"/>
      <c r="DB5" s="4" t="s">
        <v>6</v>
      </c>
      <c r="DF5" t="s">
        <v>12</v>
      </c>
      <c r="DJ5">
        <v>7</v>
      </c>
      <c r="DQ5" s="2"/>
      <c r="DS5" s="4" t="s">
        <v>6</v>
      </c>
      <c r="DW5" t="s">
        <v>13</v>
      </c>
      <c r="EA5">
        <v>8</v>
      </c>
      <c r="EH5" s="2"/>
      <c r="EJ5" s="4" t="s">
        <v>6</v>
      </c>
      <c r="EN5" t="s">
        <v>14</v>
      </c>
      <c r="ER5">
        <v>9</v>
      </c>
      <c r="EY5" s="2"/>
      <c r="FA5" s="4" t="s">
        <v>6</v>
      </c>
      <c r="FE5" t="s">
        <v>15</v>
      </c>
      <c r="FI5">
        <v>10</v>
      </c>
      <c r="FP5" s="2"/>
      <c r="FR5" s="4" t="s">
        <v>6</v>
      </c>
      <c r="FV5" t="s">
        <v>15</v>
      </c>
      <c r="FZ5">
        <v>11</v>
      </c>
      <c r="GG5" s="2"/>
      <c r="GI5" s="4" t="s">
        <v>6</v>
      </c>
      <c r="GM5" t="s">
        <v>16</v>
      </c>
      <c r="GQ5">
        <v>12</v>
      </c>
      <c r="GX5" s="2"/>
      <c r="GZ5" s="4" t="s">
        <v>6</v>
      </c>
      <c r="HH5">
        <v>13</v>
      </c>
      <c r="HO5" s="2"/>
      <c r="HQ5" s="4" t="s">
        <v>6</v>
      </c>
      <c r="HY5">
        <v>14</v>
      </c>
      <c r="IF5" s="2"/>
      <c r="IH5" s="4" t="s">
        <v>6</v>
      </c>
      <c r="IP5">
        <v>15</v>
      </c>
    </row>
    <row r="6" spans="1:256" s="5" customFormat="1" x14ac:dyDescent="0.25">
      <c r="A6" s="60" t="s">
        <v>58</v>
      </c>
      <c r="B6" s="60"/>
      <c r="C6" s="61" t="s">
        <v>17</v>
      </c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2"/>
      <c r="T6" s="59" t="s">
        <v>17</v>
      </c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2"/>
      <c r="AK6" s="59" t="s">
        <v>17</v>
      </c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2"/>
      <c r="BB6" s="59" t="s">
        <v>17</v>
      </c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59"/>
      <c r="BN6" s="59"/>
      <c r="BO6" s="59"/>
      <c r="BP6" s="59"/>
      <c r="BQ6" s="59"/>
      <c r="BR6" s="2"/>
      <c r="BS6" s="59" t="s">
        <v>17</v>
      </c>
      <c r="BT6" s="59"/>
      <c r="BU6" s="59"/>
      <c r="BV6" s="59"/>
      <c r="BW6" s="59"/>
      <c r="BX6" s="59"/>
      <c r="BY6" s="59"/>
      <c r="BZ6" s="59"/>
      <c r="CA6" s="59"/>
      <c r="CB6" s="59"/>
      <c r="CC6" s="59"/>
      <c r="CD6" s="59"/>
      <c r="CE6" s="59"/>
      <c r="CF6" s="59"/>
      <c r="CG6" s="59"/>
      <c r="CH6" s="59"/>
      <c r="CI6" s="2"/>
      <c r="CJ6" s="59" t="s">
        <v>17</v>
      </c>
      <c r="CK6" s="59"/>
      <c r="CL6" s="59"/>
      <c r="CM6" s="59"/>
      <c r="CN6" s="59"/>
      <c r="CO6" s="59"/>
      <c r="CP6" s="59"/>
      <c r="CQ6" s="59"/>
      <c r="CR6" s="59"/>
      <c r="CS6" s="59"/>
      <c r="CT6" s="59"/>
      <c r="CU6" s="59"/>
      <c r="CV6" s="59"/>
      <c r="CW6" s="59"/>
      <c r="CX6" s="59"/>
      <c r="CY6" s="59"/>
      <c r="CZ6" s="2"/>
      <c r="DA6" s="59" t="s">
        <v>17</v>
      </c>
      <c r="DB6" s="59"/>
      <c r="DC6" s="59"/>
      <c r="DD6" s="59"/>
      <c r="DE6" s="59"/>
      <c r="DF6" s="59"/>
      <c r="DG6" s="59"/>
      <c r="DH6" s="59"/>
      <c r="DI6" s="59"/>
      <c r="DJ6" s="59"/>
      <c r="DK6" s="59"/>
      <c r="DL6" s="59"/>
      <c r="DM6" s="59"/>
      <c r="DN6" s="59"/>
      <c r="DO6" s="59"/>
      <c r="DP6" s="59"/>
      <c r="DQ6" s="2"/>
      <c r="DR6" s="59" t="s">
        <v>17</v>
      </c>
      <c r="DS6" s="59"/>
      <c r="DT6" s="59"/>
      <c r="DU6" s="59"/>
      <c r="DV6" s="59"/>
      <c r="DW6" s="59"/>
      <c r="DX6" s="59"/>
      <c r="DY6" s="59"/>
      <c r="DZ6" s="59"/>
      <c r="EA6" s="59"/>
      <c r="EB6" s="59"/>
      <c r="EC6" s="59"/>
      <c r="ED6" s="59"/>
      <c r="EE6" s="59"/>
      <c r="EF6" s="59"/>
      <c r="EG6" s="59"/>
      <c r="EH6" s="2"/>
      <c r="EI6" s="59" t="s">
        <v>17</v>
      </c>
      <c r="EJ6" s="59"/>
      <c r="EK6" s="59"/>
      <c r="EL6" s="59"/>
      <c r="EM6" s="59"/>
      <c r="EN6" s="59"/>
      <c r="EO6" s="59"/>
      <c r="EP6" s="59"/>
      <c r="EQ6" s="59"/>
      <c r="ER6" s="59"/>
      <c r="ES6" s="59"/>
      <c r="ET6" s="59"/>
      <c r="EU6" s="59"/>
      <c r="EV6" s="59"/>
      <c r="EW6" s="59"/>
      <c r="EX6" s="59"/>
      <c r="EY6" s="2"/>
      <c r="EZ6" s="59" t="s">
        <v>17</v>
      </c>
      <c r="FA6" s="59"/>
      <c r="FB6" s="59"/>
      <c r="FC6" s="59"/>
      <c r="FD6" s="59"/>
      <c r="FE6" s="59"/>
      <c r="FF6" s="59"/>
      <c r="FG6" s="59"/>
      <c r="FH6" s="59"/>
      <c r="FI6" s="59"/>
      <c r="FJ6" s="59"/>
      <c r="FK6" s="59"/>
      <c r="FL6" s="59"/>
      <c r="FM6" s="59"/>
      <c r="FN6" s="59"/>
      <c r="FO6" s="59"/>
      <c r="FP6" s="2"/>
      <c r="FQ6" s="59" t="s">
        <v>17</v>
      </c>
      <c r="FR6" s="59"/>
      <c r="FS6" s="59"/>
      <c r="FT6" s="59"/>
      <c r="FU6" s="59"/>
      <c r="FV6" s="59"/>
      <c r="FW6" s="59"/>
      <c r="FX6" s="59"/>
      <c r="FY6" s="59"/>
      <c r="FZ6" s="59"/>
      <c r="GA6" s="59"/>
      <c r="GB6" s="59"/>
      <c r="GC6" s="59"/>
      <c r="GD6" s="59"/>
      <c r="GE6" s="59"/>
      <c r="GF6" s="59"/>
      <c r="GG6" s="2"/>
      <c r="GH6" s="59" t="s">
        <v>17</v>
      </c>
      <c r="GI6" s="59"/>
      <c r="GJ6" s="59"/>
      <c r="GK6" s="59"/>
      <c r="GL6" s="59"/>
      <c r="GM6" s="59"/>
      <c r="GN6" s="59"/>
      <c r="GO6" s="59"/>
      <c r="GP6" s="59"/>
      <c r="GQ6" s="59"/>
      <c r="GR6" s="59"/>
      <c r="GS6" s="59"/>
      <c r="GT6" s="59"/>
      <c r="GU6" s="59"/>
      <c r="GV6" s="59"/>
      <c r="GW6" s="59"/>
      <c r="GX6" s="2"/>
      <c r="GY6" s="59" t="s">
        <v>17</v>
      </c>
      <c r="GZ6" s="59"/>
      <c r="HA6" s="59"/>
      <c r="HB6" s="59"/>
      <c r="HC6" s="59"/>
      <c r="HD6" s="59"/>
      <c r="HE6" s="59"/>
      <c r="HF6" s="59"/>
      <c r="HG6" s="59"/>
      <c r="HH6" s="59"/>
      <c r="HI6" s="59"/>
      <c r="HJ6" s="59"/>
      <c r="HK6" s="59"/>
      <c r="HL6" s="59"/>
      <c r="HM6" s="59"/>
      <c r="HN6" s="59"/>
      <c r="HO6" s="2"/>
      <c r="HP6" s="59" t="s">
        <v>17</v>
      </c>
      <c r="HQ6" s="59"/>
      <c r="HR6" s="59"/>
      <c r="HS6" s="59"/>
      <c r="HT6" s="59"/>
      <c r="HU6" s="59"/>
      <c r="HV6" s="59"/>
      <c r="HW6" s="59"/>
      <c r="HX6" s="59"/>
      <c r="HY6" s="59"/>
      <c r="HZ6" s="59"/>
      <c r="IA6" s="59"/>
      <c r="IB6" s="59"/>
      <c r="IC6" s="59"/>
      <c r="ID6" s="59"/>
      <c r="IE6" s="59"/>
      <c r="IF6" s="2"/>
      <c r="IG6" s="6" t="s">
        <v>17</v>
      </c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</row>
    <row r="7" spans="1:256" s="2" customFormat="1" x14ac:dyDescent="0.25">
      <c r="A7" s="8" t="s">
        <v>19</v>
      </c>
      <c r="B7" s="48" t="s">
        <v>18</v>
      </c>
      <c r="C7" s="9" t="s">
        <v>20</v>
      </c>
      <c r="D7" s="9" t="s">
        <v>21</v>
      </c>
      <c r="E7" s="9" t="s">
        <v>22</v>
      </c>
      <c r="F7" s="9" t="s">
        <v>23</v>
      </c>
      <c r="G7" s="9" t="s">
        <v>24</v>
      </c>
      <c r="H7" s="9" t="s">
        <v>25</v>
      </c>
      <c r="I7" s="9" t="s">
        <v>26</v>
      </c>
      <c r="J7" s="9" t="s">
        <v>27</v>
      </c>
      <c r="K7" s="9" t="s">
        <v>28</v>
      </c>
      <c r="L7" s="9" t="s">
        <v>29</v>
      </c>
      <c r="M7" s="9" t="s">
        <v>30</v>
      </c>
      <c r="N7" s="9" t="s">
        <v>31</v>
      </c>
      <c r="O7" s="9" t="s">
        <v>32</v>
      </c>
      <c r="P7" s="9" t="s">
        <v>33</v>
      </c>
      <c r="Q7" s="9" t="s">
        <v>34</v>
      </c>
      <c r="R7" s="9" t="s">
        <v>35</v>
      </c>
      <c r="S7" s="10"/>
      <c r="T7" s="9" t="s">
        <v>20</v>
      </c>
      <c r="U7" s="9" t="s">
        <v>21</v>
      </c>
      <c r="V7" s="9" t="s">
        <v>22</v>
      </c>
      <c r="W7" s="9" t="s">
        <v>23</v>
      </c>
      <c r="X7" s="9" t="s">
        <v>24</v>
      </c>
      <c r="Y7" s="9" t="s">
        <v>25</v>
      </c>
      <c r="Z7" s="9" t="s">
        <v>26</v>
      </c>
      <c r="AA7" s="9" t="s">
        <v>27</v>
      </c>
      <c r="AB7" s="9" t="s">
        <v>28</v>
      </c>
      <c r="AC7" s="9" t="s">
        <v>29</v>
      </c>
      <c r="AD7" s="9" t="s">
        <v>30</v>
      </c>
      <c r="AE7" s="9" t="s">
        <v>31</v>
      </c>
      <c r="AF7" s="9" t="s">
        <v>32</v>
      </c>
      <c r="AG7" s="9" t="s">
        <v>33</v>
      </c>
      <c r="AH7" s="9" t="s">
        <v>34</v>
      </c>
      <c r="AI7" s="9" t="s">
        <v>35</v>
      </c>
      <c r="AK7" s="9" t="s">
        <v>20</v>
      </c>
      <c r="AL7" s="9" t="s">
        <v>21</v>
      </c>
      <c r="AM7" s="9" t="s">
        <v>22</v>
      </c>
      <c r="AN7" s="9" t="s">
        <v>23</v>
      </c>
      <c r="AO7" s="9" t="s">
        <v>24</v>
      </c>
      <c r="AP7" s="9" t="s">
        <v>25</v>
      </c>
      <c r="AQ7" s="9" t="s">
        <v>26</v>
      </c>
      <c r="AR7" s="9" t="s">
        <v>27</v>
      </c>
      <c r="AS7" s="9" t="s">
        <v>28</v>
      </c>
      <c r="AT7" s="9" t="s">
        <v>29</v>
      </c>
      <c r="AU7" s="9" t="s">
        <v>30</v>
      </c>
      <c r="AV7" s="9" t="s">
        <v>31</v>
      </c>
      <c r="AW7" s="9" t="s">
        <v>32</v>
      </c>
      <c r="AX7" s="9" t="s">
        <v>33</v>
      </c>
      <c r="AY7" s="9" t="s">
        <v>34</v>
      </c>
      <c r="AZ7" s="9" t="s">
        <v>35</v>
      </c>
      <c r="BB7" s="9" t="s">
        <v>20</v>
      </c>
      <c r="BC7" s="9" t="s">
        <v>21</v>
      </c>
      <c r="BD7" s="9" t="s">
        <v>22</v>
      </c>
      <c r="BE7" s="9" t="s">
        <v>23</v>
      </c>
      <c r="BF7" s="9" t="s">
        <v>24</v>
      </c>
      <c r="BG7" s="9" t="s">
        <v>25</v>
      </c>
      <c r="BH7" s="9" t="s">
        <v>26</v>
      </c>
      <c r="BI7" s="9" t="s">
        <v>27</v>
      </c>
      <c r="BJ7" s="9" t="s">
        <v>28</v>
      </c>
      <c r="BK7" s="9" t="s">
        <v>29</v>
      </c>
      <c r="BL7" s="9" t="s">
        <v>30</v>
      </c>
      <c r="BM7" s="9" t="s">
        <v>31</v>
      </c>
      <c r="BN7" s="9" t="s">
        <v>32</v>
      </c>
      <c r="BO7" s="9" t="s">
        <v>33</v>
      </c>
      <c r="BP7" s="9" t="s">
        <v>34</v>
      </c>
      <c r="BQ7" s="9" t="s">
        <v>35</v>
      </c>
      <c r="BS7" s="9" t="s">
        <v>20</v>
      </c>
      <c r="BT7" s="9" t="s">
        <v>21</v>
      </c>
      <c r="BU7" s="9" t="s">
        <v>22</v>
      </c>
      <c r="BV7" s="9" t="s">
        <v>23</v>
      </c>
      <c r="BW7" s="9" t="s">
        <v>24</v>
      </c>
      <c r="BX7" s="9" t="s">
        <v>25</v>
      </c>
      <c r="BY7" s="9" t="s">
        <v>26</v>
      </c>
      <c r="BZ7" s="9" t="s">
        <v>27</v>
      </c>
      <c r="CA7" s="9" t="s">
        <v>28</v>
      </c>
      <c r="CB7" s="9" t="s">
        <v>29</v>
      </c>
      <c r="CC7" s="9" t="s">
        <v>30</v>
      </c>
      <c r="CD7" s="9" t="s">
        <v>31</v>
      </c>
      <c r="CE7" s="9" t="s">
        <v>32</v>
      </c>
      <c r="CF7" s="9" t="s">
        <v>33</v>
      </c>
      <c r="CG7" s="9" t="s">
        <v>34</v>
      </c>
      <c r="CH7" s="9" t="s">
        <v>35</v>
      </c>
      <c r="CJ7" s="9" t="s">
        <v>20</v>
      </c>
      <c r="CK7" s="9" t="s">
        <v>21</v>
      </c>
      <c r="CL7" s="9" t="s">
        <v>22</v>
      </c>
      <c r="CM7" s="9" t="s">
        <v>23</v>
      </c>
      <c r="CN7" s="9" t="s">
        <v>24</v>
      </c>
      <c r="CO7" s="9" t="s">
        <v>25</v>
      </c>
      <c r="CP7" s="9" t="s">
        <v>26</v>
      </c>
      <c r="CQ7" s="9" t="s">
        <v>27</v>
      </c>
      <c r="CR7" s="9" t="s">
        <v>28</v>
      </c>
      <c r="CS7" s="9" t="s">
        <v>29</v>
      </c>
      <c r="CT7" s="9" t="s">
        <v>30</v>
      </c>
      <c r="CU7" s="9" t="s">
        <v>31</v>
      </c>
      <c r="CV7" s="9" t="s">
        <v>32</v>
      </c>
      <c r="CW7" s="9" t="s">
        <v>33</v>
      </c>
      <c r="CX7" s="9" t="s">
        <v>34</v>
      </c>
      <c r="CY7" s="9" t="s">
        <v>35</v>
      </c>
      <c r="DA7" s="9" t="s">
        <v>20</v>
      </c>
      <c r="DB7" s="9" t="s">
        <v>21</v>
      </c>
      <c r="DC7" s="9" t="s">
        <v>22</v>
      </c>
      <c r="DD7" s="9" t="s">
        <v>23</v>
      </c>
      <c r="DE7" s="9" t="s">
        <v>24</v>
      </c>
      <c r="DF7" s="9" t="s">
        <v>25</v>
      </c>
      <c r="DG7" s="9" t="s">
        <v>26</v>
      </c>
      <c r="DH7" s="9" t="s">
        <v>27</v>
      </c>
      <c r="DI7" s="9" t="s">
        <v>28</v>
      </c>
      <c r="DJ7" s="9" t="s">
        <v>29</v>
      </c>
      <c r="DK7" s="9" t="s">
        <v>30</v>
      </c>
      <c r="DL7" s="9" t="s">
        <v>31</v>
      </c>
      <c r="DM7" s="9" t="s">
        <v>32</v>
      </c>
      <c r="DN7" s="9" t="s">
        <v>33</v>
      </c>
      <c r="DO7" s="9" t="s">
        <v>34</v>
      </c>
      <c r="DP7" s="9" t="s">
        <v>35</v>
      </c>
      <c r="DR7" s="9" t="s">
        <v>20</v>
      </c>
      <c r="DS7" s="9" t="s">
        <v>21</v>
      </c>
      <c r="DT7" s="9" t="s">
        <v>22</v>
      </c>
      <c r="DU7" s="9" t="s">
        <v>23</v>
      </c>
      <c r="DV7" s="9" t="s">
        <v>24</v>
      </c>
      <c r="DW7" s="9" t="s">
        <v>25</v>
      </c>
      <c r="DX7" s="9" t="s">
        <v>26</v>
      </c>
      <c r="DY7" s="9" t="s">
        <v>27</v>
      </c>
      <c r="DZ7" s="9" t="s">
        <v>28</v>
      </c>
      <c r="EA7" s="9" t="s">
        <v>29</v>
      </c>
      <c r="EB7" s="9" t="s">
        <v>30</v>
      </c>
      <c r="EC7" s="9" t="s">
        <v>31</v>
      </c>
      <c r="ED7" s="9" t="s">
        <v>32</v>
      </c>
      <c r="EE7" s="9" t="s">
        <v>33</v>
      </c>
      <c r="EF7" s="9" t="s">
        <v>34</v>
      </c>
      <c r="EG7" s="9" t="s">
        <v>35</v>
      </c>
      <c r="EI7" s="9" t="s">
        <v>20</v>
      </c>
      <c r="EJ7" s="9" t="s">
        <v>21</v>
      </c>
      <c r="EK7" s="9" t="s">
        <v>22</v>
      </c>
      <c r="EL7" s="9" t="s">
        <v>23</v>
      </c>
      <c r="EM7" s="9" t="s">
        <v>24</v>
      </c>
      <c r="EN7" s="9" t="s">
        <v>25</v>
      </c>
      <c r="EO7" s="9" t="s">
        <v>26</v>
      </c>
      <c r="EP7" s="9" t="s">
        <v>27</v>
      </c>
      <c r="EQ7" s="9" t="s">
        <v>28</v>
      </c>
      <c r="ER7" s="9" t="s">
        <v>29</v>
      </c>
      <c r="ES7" s="9" t="s">
        <v>30</v>
      </c>
      <c r="ET7" s="9" t="s">
        <v>31</v>
      </c>
      <c r="EU7" s="9" t="s">
        <v>32</v>
      </c>
      <c r="EV7" s="9" t="s">
        <v>33</v>
      </c>
      <c r="EW7" s="9" t="s">
        <v>34</v>
      </c>
      <c r="EX7" s="9" t="s">
        <v>35</v>
      </c>
      <c r="EZ7" s="9" t="s">
        <v>20</v>
      </c>
      <c r="FA7" s="9" t="s">
        <v>21</v>
      </c>
      <c r="FB7" s="9" t="s">
        <v>22</v>
      </c>
      <c r="FC7" s="9" t="s">
        <v>23</v>
      </c>
      <c r="FD7" s="9" t="s">
        <v>24</v>
      </c>
      <c r="FE7" s="9" t="s">
        <v>25</v>
      </c>
      <c r="FF7" s="9" t="s">
        <v>26</v>
      </c>
      <c r="FG7" s="9" t="s">
        <v>27</v>
      </c>
      <c r="FH7" s="9" t="s">
        <v>28</v>
      </c>
      <c r="FI7" s="9" t="s">
        <v>29</v>
      </c>
      <c r="FJ7" s="9" t="s">
        <v>30</v>
      </c>
      <c r="FK7" s="9" t="s">
        <v>31</v>
      </c>
      <c r="FL7" s="9" t="s">
        <v>32</v>
      </c>
      <c r="FM7" s="9" t="s">
        <v>33</v>
      </c>
      <c r="FN7" s="9" t="s">
        <v>34</v>
      </c>
      <c r="FO7" s="9" t="s">
        <v>35</v>
      </c>
      <c r="FQ7" s="9" t="s">
        <v>20</v>
      </c>
      <c r="FR7" s="9" t="s">
        <v>21</v>
      </c>
      <c r="FS7" s="9" t="s">
        <v>22</v>
      </c>
      <c r="FT7" s="9" t="s">
        <v>23</v>
      </c>
      <c r="FU7" s="9" t="s">
        <v>24</v>
      </c>
      <c r="FV7" s="9" t="s">
        <v>25</v>
      </c>
      <c r="FW7" s="9" t="s">
        <v>26</v>
      </c>
      <c r="FX7" s="9" t="s">
        <v>27</v>
      </c>
      <c r="FY7" s="9" t="s">
        <v>28</v>
      </c>
      <c r="FZ7" s="9" t="s">
        <v>29</v>
      </c>
      <c r="GA7" s="9" t="s">
        <v>30</v>
      </c>
      <c r="GB7" s="9" t="s">
        <v>31</v>
      </c>
      <c r="GC7" s="9" t="s">
        <v>32</v>
      </c>
      <c r="GD7" s="9" t="s">
        <v>33</v>
      </c>
      <c r="GE7" s="9" t="s">
        <v>34</v>
      </c>
      <c r="GF7" s="9" t="s">
        <v>35</v>
      </c>
      <c r="GH7" s="9" t="s">
        <v>20</v>
      </c>
      <c r="GI7" s="9" t="s">
        <v>21</v>
      </c>
      <c r="GJ7" s="9" t="s">
        <v>22</v>
      </c>
      <c r="GK7" s="9" t="s">
        <v>23</v>
      </c>
      <c r="GL7" s="9" t="s">
        <v>24</v>
      </c>
      <c r="GM7" s="9" t="s">
        <v>25</v>
      </c>
      <c r="GN7" s="9" t="s">
        <v>26</v>
      </c>
      <c r="GO7" s="9" t="s">
        <v>27</v>
      </c>
      <c r="GP7" s="9" t="s">
        <v>28</v>
      </c>
      <c r="GQ7" s="9" t="s">
        <v>29</v>
      </c>
      <c r="GR7" s="9" t="s">
        <v>30</v>
      </c>
      <c r="GS7" s="9" t="s">
        <v>31</v>
      </c>
      <c r="GT7" s="9" t="s">
        <v>32</v>
      </c>
      <c r="GU7" s="9" t="s">
        <v>33</v>
      </c>
      <c r="GV7" s="9" t="s">
        <v>34</v>
      </c>
      <c r="GW7" s="9" t="s">
        <v>35</v>
      </c>
      <c r="GY7" s="9" t="s">
        <v>20</v>
      </c>
      <c r="GZ7" s="9" t="s">
        <v>21</v>
      </c>
      <c r="HA7" s="9" t="s">
        <v>22</v>
      </c>
      <c r="HB7" s="9" t="s">
        <v>23</v>
      </c>
      <c r="HC7" s="9" t="s">
        <v>24</v>
      </c>
      <c r="HD7" s="9" t="s">
        <v>25</v>
      </c>
      <c r="HE7" s="9" t="s">
        <v>26</v>
      </c>
      <c r="HF7" s="9" t="s">
        <v>27</v>
      </c>
      <c r="HG7" s="9" t="s">
        <v>28</v>
      </c>
      <c r="HH7" s="9" t="s">
        <v>29</v>
      </c>
      <c r="HI7" s="9" t="s">
        <v>30</v>
      </c>
      <c r="HJ7" s="9" t="s">
        <v>31</v>
      </c>
      <c r="HK7" s="9" t="s">
        <v>32</v>
      </c>
      <c r="HL7" s="9" t="s">
        <v>33</v>
      </c>
      <c r="HM7" s="9" t="s">
        <v>34</v>
      </c>
      <c r="HN7" s="9" t="s">
        <v>35</v>
      </c>
      <c r="HP7" s="9" t="s">
        <v>20</v>
      </c>
      <c r="HQ7" s="9" t="s">
        <v>21</v>
      </c>
      <c r="HR7" s="9" t="s">
        <v>22</v>
      </c>
      <c r="HS7" s="9" t="s">
        <v>23</v>
      </c>
      <c r="HT7" s="9" t="s">
        <v>24</v>
      </c>
      <c r="HU7" s="9" t="s">
        <v>25</v>
      </c>
      <c r="HV7" s="9" t="s">
        <v>26</v>
      </c>
      <c r="HW7" s="9" t="s">
        <v>27</v>
      </c>
      <c r="HX7" s="9" t="s">
        <v>28</v>
      </c>
      <c r="HY7" s="9" t="s">
        <v>29</v>
      </c>
      <c r="HZ7" s="9" t="s">
        <v>30</v>
      </c>
      <c r="IA7" s="9" t="s">
        <v>31</v>
      </c>
      <c r="IB7" s="9" t="s">
        <v>32</v>
      </c>
      <c r="IC7" s="9" t="s">
        <v>33</v>
      </c>
      <c r="ID7" s="9" t="s">
        <v>34</v>
      </c>
      <c r="IE7" s="9" t="s">
        <v>35</v>
      </c>
      <c r="IG7" s="9" t="s">
        <v>20</v>
      </c>
      <c r="IH7" s="9" t="s">
        <v>21</v>
      </c>
      <c r="II7" s="9" t="s">
        <v>22</v>
      </c>
      <c r="IJ7" s="9" t="s">
        <v>23</v>
      </c>
      <c r="IK7" s="9" t="s">
        <v>24</v>
      </c>
      <c r="IL7" s="9" t="s">
        <v>25</v>
      </c>
      <c r="IM7" s="9" t="s">
        <v>26</v>
      </c>
      <c r="IN7" s="9" t="s">
        <v>27</v>
      </c>
      <c r="IO7" s="9" t="s">
        <v>28</v>
      </c>
      <c r="IP7" s="9" t="s">
        <v>29</v>
      </c>
      <c r="IQ7" s="9" t="s">
        <v>30</v>
      </c>
      <c r="IR7" s="9" t="s">
        <v>31</v>
      </c>
      <c r="IS7" s="9" t="s">
        <v>32</v>
      </c>
      <c r="IT7" s="9" t="s">
        <v>33</v>
      </c>
      <c r="IU7" s="9" t="s">
        <v>34</v>
      </c>
      <c r="IV7" s="9" t="s">
        <v>35</v>
      </c>
    </row>
    <row r="8" spans="1:256" s="16" customFormat="1" x14ac:dyDescent="0.25">
      <c r="A8" s="15" t="s">
        <v>67</v>
      </c>
      <c r="B8" s="49">
        <v>5</v>
      </c>
      <c r="C8" s="16">
        <v>4</v>
      </c>
      <c r="D8" s="16">
        <v>2</v>
      </c>
      <c r="E8" s="16">
        <v>1</v>
      </c>
      <c r="L8" s="16">
        <v>1</v>
      </c>
      <c r="Q8" s="16">
        <f t="shared" ref="Q8:Q26" si="0">(E8-(F8+G8+H8))+(F8*2)+(G8*3)+(H8*4)</f>
        <v>1</v>
      </c>
      <c r="R8" s="16">
        <f t="shared" ref="R8:R26" si="1">+C8+K8+M8+N8+O8+P8</f>
        <v>4</v>
      </c>
      <c r="S8" s="17"/>
      <c r="AH8" s="16">
        <f t="shared" ref="AH8:AH26" si="2">(V8-(W8+X8+Y8))+(W8*2)+(X8*3)+(Y8*4)</f>
        <v>0</v>
      </c>
      <c r="AI8" s="16">
        <f t="shared" ref="AI8:AI26" si="3">+T8+AB8+AD8+AE8+AF8+AG8</f>
        <v>0</v>
      </c>
      <c r="AJ8" s="18"/>
      <c r="AY8" s="16">
        <f t="shared" ref="AY8:AY26" si="4">(AM8-(AN8+AO8+AP8))+(AN8*2)+(AO8*3)+(AP8*4)</f>
        <v>0</v>
      </c>
      <c r="AZ8" s="16">
        <f t="shared" ref="AZ8:AZ26" si="5">+AK8+AS8+AU8+AV8+AW8+AX8</f>
        <v>0</v>
      </c>
      <c r="BA8" s="18"/>
      <c r="BP8" s="16">
        <f t="shared" ref="BP8:BP26" si="6">(BD8-(BE8+BF8+BG8))+(BE8*2)+(BF8*3)+(BG8*4)</f>
        <v>0</v>
      </c>
      <c r="BQ8" s="16">
        <f t="shared" ref="BQ8:BQ26" si="7">+BB8+BJ8+BL8+BM8+BN8+BO8</f>
        <v>0</v>
      </c>
      <c r="BR8" s="18"/>
      <c r="CG8" s="16">
        <f t="shared" ref="CG8:CG26" si="8">(BU8-(BV8+BW8+BX8))+(BV8*2)+(BW8*3)+(BX8*4)</f>
        <v>0</v>
      </c>
      <c r="CH8" s="16">
        <f t="shared" ref="CH8:CH26" si="9">+BS8+CA8+CC8+CD8+CE8+CF8</f>
        <v>0</v>
      </c>
      <c r="CI8" s="18"/>
      <c r="CX8" s="16">
        <f t="shared" ref="CX8:CX26" si="10">(CL8-(CM8+CN8+CO8))+(CM8*2)+(CN8*3)+(CO8*4)</f>
        <v>0</v>
      </c>
      <c r="CY8" s="16">
        <f t="shared" ref="CY8:CY26" si="11">+CJ8+CR8+CT8+CU8+CV8+CW8</f>
        <v>0</v>
      </c>
      <c r="CZ8" s="18"/>
      <c r="DO8" s="16">
        <f t="shared" ref="DO8:DO26" si="12">(DC8-(DD8+DE8+DF8))+(DD8*2)+(DE8*3)+(DF8*4)</f>
        <v>0</v>
      </c>
      <c r="DP8" s="16">
        <f t="shared" ref="DP8:DP26" si="13">+DA8+DI8+DK8+DL8+DM8+DN8</f>
        <v>0</v>
      </c>
      <c r="DQ8" s="18"/>
      <c r="EF8" s="16">
        <f t="shared" ref="EF8:EF26" si="14">(DT8-(DU8+DV8+DW8))+(DU8*2)+(DV8*3)+(DW8*4)</f>
        <v>0</v>
      </c>
      <c r="EG8" s="16">
        <f t="shared" ref="EG8:EG26" si="15">+DR8+DZ8+EB8+EC8+ED8+EE8</f>
        <v>0</v>
      </c>
      <c r="EH8" s="18"/>
      <c r="EW8" s="16">
        <f t="shared" ref="EW8:EW26" si="16">(EK8-(EL8+EM8+EN8))+(EL8*2)+(EM8*3)+(EN8*4)</f>
        <v>0</v>
      </c>
      <c r="EX8" s="16">
        <f t="shared" ref="EX8:EX26" si="17">+EI8+EQ8+ES8+ET8+EU8+EV8</f>
        <v>0</v>
      </c>
      <c r="EY8" s="18"/>
      <c r="FN8" s="16">
        <f t="shared" ref="FN8:FN26" si="18">(FB8-(FC8+FD8+FE8))+(FC8*2)+(FD8*3)+(FE8*4)</f>
        <v>0</v>
      </c>
      <c r="FO8" s="16">
        <f t="shared" ref="FO8:FO26" si="19">+EZ8+FH8+FJ8+FK8+FL8+FM8</f>
        <v>0</v>
      </c>
      <c r="FP8" s="18"/>
      <c r="GE8" s="16">
        <f t="shared" ref="GE8:GE26" si="20">(FS8-(FT8+FU8+FV8))+(FT8*2)+(FU8*3)+(FV8*4)</f>
        <v>0</v>
      </c>
      <c r="GF8" s="16">
        <f t="shared" ref="GF8:GF26" si="21">+FQ8+FY8+GA8+GB8+GC8+GD8</f>
        <v>0</v>
      </c>
      <c r="GG8" s="18"/>
      <c r="GV8" s="16">
        <f t="shared" ref="GV8:GV26" si="22">(GJ8-(GK8+GL8+GM8))+(GK8*2)+(GL8*3)+(GM8*4)</f>
        <v>0</v>
      </c>
      <c r="GW8" s="16">
        <f t="shared" ref="GW8:GW26" si="23">+GH8+GP8+GR8+GS8+GT8+GU8</f>
        <v>0</v>
      </c>
      <c r="GX8" s="18"/>
      <c r="HM8" s="16">
        <f t="shared" ref="HM8:HM26" si="24">(HA8-(HB8+HC8+HD8))+(HB8*2)+(HC8*3)+(HD8*4)</f>
        <v>0</v>
      </c>
      <c r="HN8" s="16">
        <f t="shared" ref="HN8:HN26" si="25">+GY8+HG8+HI8+HJ8+HK8+HL8</f>
        <v>0</v>
      </c>
      <c r="HO8" s="18"/>
      <c r="ID8" s="16">
        <f t="shared" ref="ID8:ID26" si="26">(HR8-(HS8+HT8+HU8))+(HS8*2)+(HT8*3)+(HU8*4)</f>
        <v>0</v>
      </c>
      <c r="IE8" s="16">
        <f t="shared" ref="IE8:IE26" si="27">+HP8+HX8+HZ8+IA8+IB8+IC8</f>
        <v>0</v>
      </c>
      <c r="IF8" s="18"/>
      <c r="IU8" s="16">
        <f t="shared" ref="IU8:IU26" si="28">(II8-(IJ8+IK8+IL8))+(IJ8*2)+(IK8*3)+(IL8*4)</f>
        <v>0</v>
      </c>
      <c r="IV8" s="16">
        <f t="shared" ref="IV8:IV26" si="29">+IG8+IO8+IQ8+IR8+IS8+IT8</f>
        <v>0</v>
      </c>
    </row>
    <row r="9" spans="1:256" s="16" customFormat="1" x14ac:dyDescent="0.25">
      <c r="A9" s="15" t="s">
        <v>37</v>
      </c>
      <c r="B9" s="49">
        <v>6</v>
      </c>
      <c r="C9" s="16">
        <v>3</v>
      </c>
      <c r="D9" s="16">
        <v>1</v>
      </c>
      <c r="E9" s="16">
        <v>1</v>
      </c>
      <c r="F9" s="16">
        <v>1</v>
      </c>
      <c r="K9" s="16">
        <v>1</v>
      </c>
      <c r="Q9" s="16">
        <f t="shared" si="0"/>
        <v>2</v>
      </c>
      <c r="R9" s="16">
        <f t="shared" si="1"/>
        <v>4</v>
      </c>
      <c r="S9" s="17"/>
      <c r="AH9" s="16">
        <f t="shared" si="2"/>
        <v>0</v>
      </c>
      <c r="AI9" s="16">
        <f t="shared" si="3"/>
        <v>0</v>
      </c>
      <c r="AJ9" s="18"/>
      <c r="AY9" s="16">
        <f t="shared" si="4"/>
        <v>0</v>
      </c>
      <c r="AZ9" s="16">
        <f t="shared" si="5"/>
        <v>0</v>
      </c>
      <c r="BA9" s="18"/>
      <c r="BP9" s="16">
        <f t="shared" si="6"/>
        <v>0</v>
      </c>
      <c r="BQ9" s="16">
        <f t="shared" si="7"/>
        <v>0</v>
      </c>
      <c r="BR9" s="18"/>
      <c r="CG9" s="16">
        <f t="shared" si="8"/>
        <v>0</v>
      </c>
      <c r="CH9" s="16">
        <f t="shared" si="9"/>
        <v>0</v>
      </c>
      <c r="CI9" s="18"/>
      <c r="CX9" s="16">
        <f t="shared" si="10"/>
        <v>0</v>
      </c>
      <c r="CY9" s="16">
        <f t="shared" si="11"/>
        <v>0</v>
      </c>
      <c r="CZ9" s="18"/>
      <c r="DO9" s="16">
        <f t="shared" si="12"/>
        <v>0</v>
      </c>
      <c r="DP9" s="16">
        <f t="shared" si="13"/>
        <v>0</v>
      </c>
      <c r="DQ9" s="18"/>
      <c r="EF9" s="16">
        <f t="shared" si="14"/>
        <v>0</v>
      </c>
      <c r="EG9" s="16">
        <f t="shared" si="15"/>
        <v>0</v>
      </c>
      <c r="EH9" s="18"/>
      <c r="EW9" s="16">
        <f t="shared" si="16"/>
        <v>0</v>
      </c>
      <c r="EX9" s="16">
        <f t="shared" si="17"/>
        <v>0</v>
      </c>
      <c r="EY9" s="18"/>
      <c r="FN9" s="16">
        <f t="shared" si="18"/>
        <v>0</v>
      </c>
      <c r="FO9" s="16">
        <f t="shared" si="19"/>
        <v>0</v>
      </c>
      <c r="FP9" s="18"/>
      <c r="GE9" s="16">
        <f t="shared" si="20"/>
        <v>0</v>
      </c>
      <c r="GF9" s="16">
        <f t="shared" si="21"/>
        <v>0</v>
      </c>
      <c r="GG9" s="18"/>
      <c r="GV9" s="16">
        <f t="shared" si="22"/>
        <v>0</v>
      </c>
      <c r="GW9" s="16">
        <f t="shared" si="23"/>
        <v>0</v>
      </c>
      <c r="GX9" s="18"/>
      <c r="HM9" s="16">
        <f t="shared" si="24"/>
        <v>0</v>
      </c>
      <c r="HN9" s="16">
        <f t="shared" si="25"/>
        <v>0</v>
      </c>
      <c r="HO9" s="18"/>
      <c r="ID9" s="16">
        <f t="shared" si="26"/>
        <v>0</v>
      </c>
      <c r="IE9" s="16">
        <f t="shared" si="27"/>
        <v>0</v>
      </c>
      <c r="IF9" s="18"/>
      <c r="IU9" s="16">
        <f t="shared" si="28"/>
        <v>0</v>
      </c>
      <c r="IV9" s="16">
        <f t="shared" si="29"/>
        <v>0</v>
      </c>
    </row>
    <row r="10" spans="1:256" s="16" customFormat="1" x14ac:dyDescent="0.25">
      <c r="A10" s="15" t="s">
        <v>38</v>
      </c>
      <c r="B10" s="49"/>
      <c r="C10" s="16">
        <v>4</v>
      </c>
      <c r="E10" s="16">
        <v>1</v>
      </c>
      <c r="Q10" s="16">
        <f t="shared" si="0"/>
        <v>1</v>
      </c>
      <c r="R10" s="16">
        <f t="shared" si="1"/>
        <v>4</v>
      </c>
      <c r="S10" s="17"/>
      <c r="AH10" s="16">
        <f t="shared" si="2"/>
        <v>0</v>
      </c>
      <c r="AI10" s="16">
        <f t="shared" si="3"/>
        <v>0</v>
      </c>
      <c r="AJ10" s="18"/>
      <c r="AY10" s="16">
        <f t="shared" si="4"/>
        <v>0</v>
      </c>
      <c r="AZ10" s="16">
        <f t="shared" si="5"/>
        <v>0</v>
      </c>
      <c r="BA10" s="18"/>
      <c r="BP10" s="16">
        <f t="shared" si="6"/>
        <v>0</v>
      </c>
      <c r="BQ10" s="16">
        <f t="shared" si="7"/>
        <v>0</v>
      </c>
      <c r="BR10" s="18"/>
      <c r="CG10" s="16">
        <f t="shared" si="8"/>
        <v>0</v>
      </c>
      <c r="CH10" s="16">
        <f t="shared" si="9"/>
        <v>0</v>
      </c>
      <c r="CI10" s="18"/>
      <c r="CX10" s="16">
        <f t="shared" si="10"/>
        <v>0</v>
      </c>
      <c r="CY10" s="16">
        <f t="shared" si="11"/>
        <v>0</v>
      </c>
      <c r="CZ10" s="18"/>
      <c r="DO10" s="16">
        <f t="shared" si="12"/>
        <v>0</v>
      </c>
      <c r="DP10" s="16">
        <f t="shared" si="13"/>
        <v>0</v>
      </c>
      <c r="DQ10" s="18"/>
      <c r="EF10" s="16">
        <f t="shared" si="14"/>
        <v>0</v>
      </c>
      <c r="EG10" s="16">
        <f t="shared" si="15"/>
        <v>0</v>
      </c>
      <c r="EH10" s="18"/>
      <c r="EW10" s="16">
        <f t="shared" si="16"/>
        <v>0</v>
      </c>
      <c r="EX10" s="16">
        <f t="shared" si="17"/>
        <v>0</v>
      </c>
      <c r="EY10" s="18"/>
      <c r="FN10" s="16">
        <f t="shared" si="18"/>
        <v>0</v>
      </c>
      <c r="FO10" s="16">
        <f t="shared" si="19"/>
        <v>0</v>
      </c>
      <c r="FP10" s="18"/>
      <c r="GE10" s="16">
        <f t="shared" si="20"/>
        <v>0</v>
      </c>
      <c r="GF10" s="16">
        <f t="shared" si="21"/>
        <v>0</v>
      </c>
      <c r="GG10" s="18"/>
      <c r="GV10" s="16">
        <f t="shared" si="22"/>
        <v>0</v>
      </c>
      <c r="GW10" s="16">
        <f t="shared" si="23"/>
        <v>0</v>
      </c>
      <c r="GX10" s="18"/>
      <c r="HM10" s="16">
        <f t="shared" si="24"/>
        <v>0</v>
      </c>
      <c r="HN10" s="16">
        <f t="shared" si="25"/>
        <v>0</v>
      </c>
      <c r="HO10" s="18"/>
      <c r="ID10" s="16">
        <f t="shared" si="26"/>
        <v>0</v>
      </c>
      <c r="IE10" s="16">
        <f t="shared" si="27"/>
        <v>0</v>
      </c>
      <c r="IF10" s="18"/>
      <c r="IU10" s="16">
        <f t="shared" si="28"/>
        <v>0</v>
      </c>
      <c r="IV10" s="16">
        <f t="shared" si="29"/>
        <v>0</v>
      </c>
    </row>
    <row r="11" spans="1:256" s="16" customFormat="1" x14ac:dyDescent="0.25">
      <c r="A11" s="15" t="s">
        <v>39</v>
      </c>
      <c r="B11" s="49"/>
      <c r="D11" s="16">
        <v>1</v>
      </c>
      <c r="I11" s="16">
        <v>1</v>
      </c>
      <c r="K11" s="16">
        <v>3</v>
      </c>
      <c r="L11" s="16">
        <v>3</v>
      </c>
      <c r="Q11" s="16">
        <f t="shared" si="0"/>
        <v>0</v>
      </c>
      <c r="R11" s="16">
        <f t="shared" si="1"/>
        <v>3</v>
      </c>
      <c r="S11" s="17"/>
      <c r="AH11" s="16">
        <f t="shared" si="2"/>
        <v>0</v>
      </c>
      <c r="AI11" s="16">
        <f t="shared" si="3"/>
        <v>0</v>
      </c>
      <c r="AJ11" s="18"/>
      <c r="AY11" s="16">
        <f t="shared" si="4"/>
        <v>0</v>
      </c>
      <c r="AZ11" s="16">
        <f t="shared" si="5"/>
        <v>0</v>
      </c>
      <c r="BA11" s="18"/>
      <c r="BP11" s="16">
        <f t="shared" si="6"/>
        <v>0</v>
      </c>
      <c r="BQ11" s="16">
        <f t="shared" si="7"/>
        <v>0</v>
      </c>
      <c r="BR11" s="18"/>
      <c r="CG11" s="16">
        <f t="shared" si="8"/>
        <v>0</v>
      </c>
      <c r="CH11" s="16">
        <f t="shared" si="9"/>
        <v>0</v>
      </c>
      <c r="CI11" s="18"/>
      <c r="CX11" s="16">
        <f t="shared" si="10"/>
        <v>0</v>
      </c>
      <c r="CY11" s="16">
        <f t="shared" si="11"/>
        <v>0</v>
      </c>
      <c r="CZ11" s="18"/>
      <c r="DO11" s="16">
        <f t="shared" si="12"/>
        <v>0</v>
      </c>
      <c r="DP11" s="16">
        <f t="shared" si="13"/>
        <v>0</v>
      </c>
      <c r="DQ11" s="18"/>
      <c r="EF11" s="16">
        <f t="shared" si="14"/>
        <v>0</v>
      </c>
      <c r="EG11" s="16">
        <f t="shared" si="15"/>
        <v>0</v>
      </c>
      <c r="EH11" s="18"/>
      <c r="EW11" s="16">
        <f t="shared" si="16"/>
        <v>0</v>
      </c>
      <c r="EX11" s="16">
        <f t="shared" si="17"/>
        <v>0</v>
      </c>
      <c r="EY11" s="18"/>
      <c r="FN11" s="16">
        <f t="shared" si="18"/>
        <v>0</v>
      </c>
      <c r="FO11" s="16">
        <f t="shared" si="19"/>
        <v>0</v>
      </c>
      <c r="FP11" s="18"/>
      <c r="GE11" s="16">
        <f t="shared" si="20"/>
        <v>0</v>
      </c>
      <c r="GF11" s="16">
        <f t="shared" si="21"/>
        <v>0</v>
      </c>
      <c r="GG11" s="18"/>
      <c r="GV11" s="16">
        <f t="shared" si="22"/>
        <v>0</v>
      </c>
      <c r="GW11" s="16">
        <f t="shared" si="23"/>
        <v>0</v>
      </c>
      <c r="GX11" s="18"/>
      <c r="HM11" s="16">
        <f t="shared" si="24"/>
        <v>0</v>
      </c>
      <c r="HN11" s="16">
        <f t="shared" si="25"/>
        <v>0</v>
      </c>
      <c r="HO11" s="18"/>
      <c r="ID11" s="16">
        <f t="shared" si="26"/>
        <v>0</v>
      </c>
      <c r="IE11" s="16">
        <f t="shared" si="27"/>
        <v>0</v>
      </c>
      <c r="IF11" s="18"/>
      <c r="IU11" s="16">
        <f t="shared" si="28"/>
        <v>0</v>
      </c>
      <c r="IV11" s="16">
        <f t="shared" si="29"/>
        <v>0</v>
      </c>
    </row>
    <row r="12" spans="1:256" s="16" customFormat="1" x14ac:dyDescent="0.25">
      <c r="A12" s="15" t="s">
        <v>40</v>
      </c>
      <c r="B12" s="49"/>
      <c r="C12" s="16">
        <v>1</v>
      </c>
      <c r="Q12" s="16">
        <f t="shared" si="0"/>
        <v>0</v>
      </c>
      <c r="R12" s="16">
        <f t="shared" si="1"/>
        <v>1</v>
      </c>
      <c r="S12" s="17"/>
      <c r="AH12" s="16">
        <f t="shared" si="2"/>
        <v>0</v>
      </c>
      <c r="AI12" s="16">
        <f t="shared" si="3"/>
        <v>0</v>
      </c>
      <c r="AJ12" s="18"/>
      <c r="AY12" s="16">
        <f t="shared" si="4"/>
        <v>0</v>
      </c>
      <c r="AZ12" s="16">
        <f t="shared" si="5"/>
        <v>0</v>
      </c>
      <c r="BA12" s="18"/>
      <c r="BP12" s="16">
        <f t="shared" si="6"/>
        <v>0</v>
      </c>
      <c r="BQ12" s="16">
        <f t="shared" si="7"/>
        <v>0</v>
      </c>
      <c r="BR12" s="18"/>
      <c r="CG12" s="16">
        <f t="shared" si="8"/>
        <v>0</v>
      </c>
      <c r="CH12" s="16">
        <f t="shared" si="9"/>
        <v>0</v>
      </c>
      <c r="CI12" s="18"/>
      <c r="CX12" s="16">
        <f t="shared" si="10"/>
        <v>0</v>
      </c>
      <c r="CY12" s="16">
        <f t="shared" si="11"/>
        <v>0</v>
      </c>
      <c r="CZ12" s="18"/>
      <c r="DO12" s="16">
        <f t="shared" si="12"/>
        <v>0</v>
      </c>
      <c r="DP12" s="16">
        <f t="shared" si="13"/>
        <v>0</v>
      </c>
      <c r="DQ12" s="18"/>
      <c r="EF12" s="16">
        <f t="shared" si="14"/>
        <v>0</v>
      </c>
      <c r="EG12" s="16">
        <f t="shared" si="15"/>
        <v>0</v>
      </c>
      <c r="EH12" s="18"/>
      <c r="EW12" s="16">
        <f t="shared" si="16"/>
        <v>0</v>
      </c>
      <c r="EX12" s="16">
        <f t="shared" si="17"/>
        <v>0</v>
      </c>
      <c r="EY12" s="18"/>
      <c r="FN12" s="16">
        <f t="shared" si="18"/>
        <v>0</v>
      </c>
      <c r="FO12" s="16">
        <f t="shared" si="19"/>
        <v>0</v>
      </c>
      <c r="FP12" s="18"/>
      <c r="GE12" s="16">
        <f t="shared" si="20"/>
        <v>0</v>
      </c>
      <c r="GF12" s="16">
        <f t="shared" si="21"/>
        <v>0</v>
      </c>
      <c r="GG12" s="18"/>
      <c r="GV12" s="16">
        <f t="shared" si="22"/>
        <v>0</v>
      </c>
      <c r="GW12" s="16">
        <f t="shared" si="23"/>
        <v>0</v>
      </c>
      <c r="GX12" s="18"/>
      <c r="HM12" s="16">
        <f t="shared" si="24"/>
        <v>0</v>
      </c>
      <c r="HN12" s="16">
        <f t="shared" si="25"/>
        <v>0</v>
      </c>
      <c r="HO12" s="18"/>
      <c r="ID12" s="16">
        <f t="shared" si="26"/>
        <v>0</v>
      </c>
      <c r="IE12" s="16">
        <f t="shared" si="27"/>
        <v>0</v>
      </c>
      <c r="IF12" s="18"/>
      <c r="IU12" s="16">
        <f t="shared" si="28"/>
        <v>0</v>
      </c>
      <c r="IV12" s="16">
        <f t="shared" si="29"/>
        <v>0</v>
      </c>
    </row>
    <row r="13" spans="1:256" s="16" customFormat="1" x14ac:dyDescent="0.25">
      <c r="A13" s="15" t="s">
        <v>41</v>
      </c>
      <c r="B13" s="49"/>
      <c r="C13" s="16">
        <v>2</v>
      </c>
      <c r="J13" s="16">
        <v>1</v>
      </c>
      <c r="Q13" s="16">
        <f t="shared" si="0"/>
        <v>0</v>
      </c>
      <c r="R13" s="16">
        <f t="shared" si="1"/>
        <v>2</v>
      </c>
      <c r="S13" s="17"/>
      <c r="AH13" s="16">
        <f t="shared" si="2"/>
        <v>0</v>
      </c>
      <c r="AI13" s="16">
        <f t="shared" si="3"/>
        <v>0</v>
      </c>
      <c r="AJ13" s="18"/>
      <c r="AY13" s="16">
        <f t="shared" si="4"/>
        <v>0</v>
      </c>
      <c r="AZ13" s="16">
        <f t="shared" si="5"/>
        <v>0</v>
      </c>
      <c r="BA13" s="18"/>
      <c r="BP13" s="16">
        <f t="shared" si="6"/>
        <v>0</v>
      </c>
      <c r="BQ13" s="16">
        <f t="shared" si="7"/>
        <v>0</v>
      </c>
      <c r="BR13" s="18"/>
      <c r="CG13" s="16">
        <f t="shared" si="8"/>
        <v>0</v>
      </c>
      <c r="CH13" s="16">
        <f t="shared" si="9"/>
        <v>0</v>
      </c>
      <c r="CI13" s="18"/>
      <c r="CX13" s="16">
        <f t="shared" si="10"/>
        <v>0</v>
      </c>
      <c r="CY13" s="16">
        <f t="shared" si="11"/>
        <v>0</v>
      </c>
      <c r="CZ13" s="18"/>
      <c r="DO13" s="16">
        <f t="shared" si="12"/>
        <v>0</v>
      </c>
      <c r="DP13" s="16">
        <f t="shared" si="13"/>
        <v>0</v>
      </c>
      <c r="DQ13" s="18"/>
      <c r="EF13" s="16">
        <f t="shared" si="14"/>
        <v>0</v>
      </c>
      <c r="EG13" s="16">
        <f t="shared" si="15"/>
        <v>0</v>
      </c>
      <c r="EH13" s="18"/>
      <c r="EW13" s="16">
        <f t="shared" si="16"/>
        <v>0</v>
      </c>
      <c r="EX13" s="16">
        <f t="shared" si="17"/>
        <v>0</v>
      </c>
      <c r="EY13" s="18"/>
      <c r="FN13" s="16">
        <f t="shared" si="18"/>
        <v>0</v>
      </c>
      <c r="FO13" s="16">
        <f t="shared" si="19"/>
        <v>0</v>
      </c>
      <c r="FP13" s="18"/>
      <c r="GE13" s="16">
        <f t="shared" si="20"/>
        <v>0</v>
      </c>
      <c r="GF13" s="16">
        <f t="shared" si="21"/>
        <v>0</v>
      </c>
      <c r="GG13" s="18"/>
      <c r="GV13" s="16">
        <f t="shared" si="22"/>
        <v>0</v>
      </c>
      <c r="GW13" s="16">
        <f t="shared" si="23"/>
        <v>0</v>
      </c>
      <c r="GX13" s="18"/>
      <c r="HM13" s="16">
        <f t="shared" si="24"/>
        <v>0</v>
      </c>
      <c r="HN13" s="16">
        <f t="shared" si="25"/>
        <v>0</v>
      </c>
      <c r="HO13" s="18"/>
      <c r="ID13" s="16">
        <f t="shared" si="26"/>
        <v>0</v>
      </c>
      <c r="IE13" s="16">
        <f t="shared" si="27"/>
        <v>0</v>
      </c>
      <c r="IF13" s="18"/>
      <c r="IU13" s="16">
        <f t="shared" si="28"/>
        <v>0</v>
      </c>
      <c r="IV13" s="16">
        <f t="shared" si="29"/>
        <v>0</v>
      </c>
    </row>
    <row r="14" spans="1:256" s="16" customFormat="1" x14ac:dyDescent="0.25">
      <c r="A14" s="15" t="s">
        <v>42</v>
      </c>
      <c r="B14" s="49"/>
      <c r="C14" s="16">
        <v>3</v>
      </c>
      <c r="D14" s="16">
        <v>2</v>
      </c>
      <c r="E14" s="16">
        <v>2</v>
      </c>
      <c r="I14" s="16">
        <v>1</v>
      </c>
      <c r="J14" s="16">
        <v>1</v>
      </c>
      <c r="L14" s="16">
        <v>1</v>
      </c>
      <c r="Q14" s="16">
        <f t="shared" si="0"/>
        <v>2</v>
      </c>
      <c r="R14" s="16">
        <f t="shared" si="1"/>
        <v>3</v>
      </c>
      <c r="S14" s="17"/>
      <c r="AH14" s="16">
        <f t="shared" si="2"/>
        <v>0</v>
      </c>
      <c r="AI14" s="16">
        <f t="shared" si="3"/>
        <v>0</v>
      </c>
      <c r="AJ14" s="18"/>
      <c r="AY14" s="16">
        <f t="shared" si="4"/>
        <v>0</v>
      </c>
      <c r="AZ14" s="16">
        <f t="shared" si="5"/>
        <v>0</v>
      </c>
      <c r="BA14" s="18"/>
      <c r="BP14" s="16">
        <f t="shared" si="6"/>
        <v>0</v>
      </c>
      <c r="BQ14" s="16">
        <f t="shared" si="7"/>
        <v>0</v>
      </c>
      <c r="BR14" s="18"/>
      <c r="CG14" s="16">
        <f t="shared" si="8"/>
        <v>0</v>
      </c>
      <c r="CH14" s="16">
        <f t="shared" si="9"/>
        <v>0</v>
      </c>
      <c r="CI14" s="18"/>
      <c r="CX14" s="16">
        <f t="shared" si="10"/>
        <v>0</v>
      </c>
      <c r="CY14" s="16">
        <f t="shared" si="11"/>
        <v>0</v>
      </c>
      <c r="CZ14" s="18"/>
      <c r="DO14" s="16">
        <f t="shared" si="12"/>
        <v>0</v>
      </c>
      <c r="DP14" s="16">
        <f t="shared" si="13"/>
        <v>0</v>
      </c>
      <c r="DQ14" s="18"/>
      <c r="EF14" s="16">
        <f t="shared" si="14"/>
        <v>0</v>
      </c>
      <c r="EG14" s="16">
        <f t="shared" si="15"/>
        <v>0</v>
      </c>
      <c r="EH14" s="18"/>
      <c r="EW14" s="16">
        <f t="shared" si="16"/>
        <v>0</v>
      </c>
      <c r="EX14" s="16">
        <f t="shared" si="17"/>
        <v>0</v>
      </c>
      <c r="EY14" s="18"/>
      <c r="FN14" s="16">
        <f t="shared" si="18"/>
        <v>0</v>
      </c>
      <c r="FO14" s="16">
        <f t="shared" si="19"/>
        <v>0</v>
      </c>
      <c r="FP14" s="18"/>
      <c r="GE14" s="16">
        <f t="shared" si="20"/>
        <v>0</v>
      </c>
      <c r="GF14" s="16">
        <f t="shared" si="21"/>
        <v>0</v>
      </c>
      <c r="GG14" s="18"/>
      <c r="GV14" s="16">
        <f t="shared" si="22"/>
        <v>0</v>
      </c>
      <c r="GW14" s="16">
        <f t="shared" si="23"/>
        <v>0</v>
      </c>
      <c r="GX14" s="18"/>
      <c r="HM14" s="16">
        <f t="shared" si="24"/>
        <v>0</v>
      </c>
      <c r="HN14" s="16">
        <f t="shared" si="25"/>
        <v>0</v>
      </c>
      <c r="HO14" s="18"/>
      <c r="ID14" s="16">
        <f t="shared" si="26"/>
        <v>0</v>
      </c>
      <c r="IE14" s="16">
        <f t="shared" si="27"/>
        <v>0</v>
      </c>
      <c r="IF14" s="18"/>
      <c r="IU14" s="16">
        <f t="shared" si="28"/>
        <v>0</v>
      </c>
      <c r="IV14" s="16">
        <f t="shared" si="29"/>
        <v>0</v>
      </c>
    </row>
    <row r="15" spans="1:256" s="16" customFormat="1" x14ac:dyDescent="0.25">
      <c r="A15" s="15" t="s">
        <v>43</v>
      </c>
      <c r="B15" s="49"/>
      <c r="C15" s="16">
        <v>3</v>
      </c>
      <c r="D15" s="16">
        <v>1</v>
      </c>
      <c r="E15" s="16">
        <v>2</v>
      </c>
      <c r="G15" s="16">
        <v>1</v>
      </c>
      <c r="Q15" s="16">
        <f t="shared" si="0"/>
        <v>4</v>
      </c>
      <c r="R15" s="16">
        <f t="shared" si="1"/>
        <v>3</v>
      </c>
      <c r="S15" s="17"/>
      <c r="AH15" s="16">
        <f t="shared" si="2"/>
        <v>0</v>
      </c>
      <c r="AI15" s="16">
        <f t="shared" si="3"/>
        <v>0</v>
      </c>
      <c r="AJ15" s="18"/>
      <c r="AY15" s="16">
        <f t="shared" si="4"/>
        <v>0</v>
      </c>
      <c r="AZ15" s="16">
        <f t="shared" si="5"/>
        <v>0</v>
      </c>
      <c r="BA15" s="18"/>
      <c r="BP15" s="16">
        <f t="shared" si="6"/>
        <v>0</v>
      </c>
      <c r="BQ15" s="16">
        <f t="shared" si="7"/>
        <v>0</v>
      </c>
      <c r="BR15" s="18"/>
      <c r="CG15" s="16">
        <f t="shared" si="8"/>
        <v>0</v>
      </c>
      <c r="CH15" s="16">
        <f t="shared" si="9"/>
        <v>0</v>
      </c>
      <c r="CI15" s="18"/>
      <c r="CX15" s="16">
        <f t="shared" si="10"/>
        <v>0</v>
      </c>
      <c r="CY15" s="16">
        <f t="shared" si="11"/>
        <v>0</v>
      </c>
      <c r="CZ15" s="18"/>
      <c r="DO15" s="16">
        <f t="shared" si="12"/>
        <v>0</v>
      </c>
      <c r="DP15" s="16">
        <f t="shared" si="13"/>
        <v>0</v>
      </c>
      <c r="DQ15" s="18"/>
      <c r="EF15" s="16">
        <f t="shared" si="14"/>
        <v>0</v>
      </c>
      <c r="EG15" s="16">
        <f t="shared" si="15"/>
        <v>0</v>
      </c>
      <c r="EH15" s="18"/>
      <c r="EW15" s="16">
        <f t="shared" si="16"/>
        <v>0</v>
      </c>
      <c r="EX15" s="16">
        <f t="shared" si="17"/>
        <v>0</v>
      </c>
      <c r="EY15" s="18"/>
      <c r="FN15" s="16">
        <f t="shared" si="18"/>
        <v>0</v>
      </c>
      <c r="FO15" s="16">
        <f t="shared" si="19"/>
        <v>0</v>
      </c>
      <c r="FP15" s="18"/>
      <c r="GE15" s="16">
        <f t="shared" si="20"/>
        <v>0</v>
      </c>
      <c r="GF15" s="16">
        <f t="shared" si="21"/>
        <v>0</v>
      </c>
      <c r="GG15" s="18"/>
      <c r="GV15" s="16">
        <f t="shared" si="22"/>
        <v>0</v>
      </c>
      <c r="GW15" s="16">
        <f t="shared" si="23"/>
        <v>0</v>
      </c>
      <c r="GX15" s="18"/>
      <c r="HM15" s="16">
        <f t="shared" si="24"/>
        <v>0</v>
      </c>
      <c r="HN15" s="16">
        <f t="shared" si="25"/>
        <v>0</v>
      </c>
      <c r="HO15" s="18"/>
      <c r="ID15" s="16">
        <f t="shared" si="26"/>
        <v>0</v>
      </c>
      <c r="IE15" s="16">
        <f t="shared" si="27"/>
        <v>0</v>
      </c>
      <c r="IF15" s="18"/>
      <c r="IU15" s="16">
        <f t="shared" si="28"/>
        <v>0</v>
      </c>
      <c r="IV15" s="16">
        <f t="shared" si="29"/>
        <v>0</v>
      </c>
    </row>
    <row r="16" spans="1:256" s="16" customFormat="1" x14ac:dyDescent="0.25">
      <c r="A16" s="15" t="s">
        <v>44</v>
      </c>
      <c r="B16" s="49"/>
      <c r="C16" s="16">
        <v>3</v>
      </c>
      <c r="D16" s="16">
        <v>2</v>
      </c>
      <c r="E16" s="16">
        <v>2</v>
      </c>
      <c r="F16" s="16">
        <v>1</v>
      </c>
      <c r="I16" s="16">
        <v>2</v>
      </c>
      <c r="J16" s="16">
        <v>1</v>
      </c>
      <c r="L16" s="16">
        <v>3</v>
      </c>
      <c r="Q16" s="16">
        <f t="shared" si="0"/>
        <v>3</v>
      </c>
      <c r="R16" s="16">
        <f t="shared" si="1"/>
        <v>3</v>
      </c>
      <c r="S16" s="17"/>
      <c r="AH16" s="16">
        <f t="shared" si="2"/>
        <v>0</v>
      </c>
      <c r="AI16" s="16">
        <f t="shared" si="3"/>
        <v>0</v>
      </c>
      <c r="AJ16" s="18"/>
      <c r="AY16" s="16">
        <f t="shared" si="4"/>
        <v>0</v>
      </c>
      <c r="AZ16" s="16">
        <f t="shared" si="5"/>
        <v>0</v>
      </c>
      <c r="BA16" s="18"/>
      <c r="BP16" s="16">
        <f t="shared" si="6"/>
        <v>0</v>
      </c>
      <c r="BQ16" s="16">
        <f t="shared" si="7"/>
        <v>0</v>
      </c>
      <c r="BR16" s="18"/>
      <c r="CG16" s="16">
        <f t="shared" si="8"/>
        <v>0</v>
      </c>
      <c r="CH16" s="16">
        <f t="shared" si="9"/>
        <v>0</v>
      </c>
      <c r="CI16" s="18"/>
      <c r="CX16" s="16">
        <f t="shared" si="10"/>
        <v>0</v>
      </c>
      <c r="CY16" s="16">
        <f t="shared" si="11"/>
        <v>0</v>
      </c>
      <c r="CZ16" s="18"/>
      <c r="DO16" s="16">
        <f t="shared" si="12"/>
        <v>0</v>
      </c>
      <c r="DP16" s="16">
        <f t="shared" si="13"/>
        <v>0</v>
      </c>
      <c r="DQ16" s="18"/>
      <c r="EF16" s="16">
        <f t="shared" si="14"/>
        <v>0</v>
      </c>
      <c r="EG16" s="16">
        <f t="shared" si="15"/>
        <v>0</v>
      </c>
      <c r="EH16" s="18"/>
      <c r="EW16" s="16">
        <f t="shared" si="16"/>
        <v>0</v>
      </c>
      <c r="EX16" s="16">
        <f t="shared" si="17"/>
        <v>0</v>
      </c>
      <c r="EY16" s="18"/>
      <c r="FN16" s="16">
        <f t="shared" si="18"/>
        <v>0</v>
      </c>
      <c r="FO16" s="16">
        <f t="shared" si="19"/>
        <v>0</v>
      </c>
      <c r="FP16" s="18"/>
      <c r="GE16" s="16">
        <f t="shared" si="20"/>
        <v>0</v>
      </c>
      <c r="GF16" s="16">
        <f t="shared" si="21"/>
        <v>0</v>
      </c>
      <c r="GG16" s="18"/>
      <c r="GV16" s="16">
        <f t="shared" si="22"/>
        <v>0</v>
      </c>
      <c r="GW16" s="16">
        <f t="shared" si="23"/>
        <v>0</v>
      </c>
      <c r="GX16" s="18"/>
      <c r="HM16" s="16">
        <f t="shared" si="24"/>
        <v>0</v>
      </c>
      <c r="HN16" s="16">
        <f t="shared" si="25"/>
        <v>0</v>
      </c>
      <c r="HO16" s="18"/>
      <c r="ID16" s="16">
        <f t="shared" si="26"/>
        <v>0</v>
      </c>
      <c r="IE16" s="16">
        <f t="shared" si="27"/>
        <v>0</v>
      </c>
      <c r="IF16" s="18"/>
      <c r="IU16" s="16">
        <f t="shared" si="28"/>
        <v>0</v>
      </c>
      <c r="IV16" s="16">
        <f t="shared" si="29"/>
        <v>0</v>
      </c>
    </row>
    <row r="17" spans="1:256" s="16" customFormat="1" x14ac:dyDescent="0.25">
      <c r="A17" s="19" t="s">
        <v>45</v>
      </c>
      <c r="B17" s="49"/>
      <c r="C17" s="16">
        <v>2</v>
      </c>
      <c r="D17" s="16">
        <v>1</v>
      </c>
      <c r="J17" s="16">
        <v>1</v>
      </c>
      <c r="K17" s="16">
        <v>1</v>
      </c>
      <c r="L17" s="16">
        <v>1</v>
      </c>
      <c r="Q17" s="16">
        <f t="shared" si="0"/>
        <v>0</v>
      </c>
      <c r="R17" s="16">
        <f t="shared" si="1"/>
        <v>3</v>
      </c>
      <c r="S17" s="17"/>
      <c r="AH17" s="16">
        <f t="shared" si="2"/>
        <v>0</v>
      </c>
      <c r="AI17" s="16">
        <f t="shared" si="3"/>
        <v>0</v>
      </c>
      <c r="AJ17" s="18"/>
      <c r="AY17" s="16">
        <f t="shared" si="4"/>
        <v>0</v>
      </c>
      <c r="AZ17" s="16">
        <f t="shared" si="5"/>
        <v>0</v>
      </c>
      <c r="BA17" s="18"/>
      <c r="BP17" s="16">
        <f t="shared" si="6"/>
        <v>0</v>
      </c>
      <c r="BQ17" s="16">
        <f t="shared" si="7"/>
        <v>0</v>
      </c>
      <c r="BR17" s="18"/>
      <c r="CG17" s="16">
        <f t="shared" si="8"/>
        <v>0</v>
      </c>
      <c r="CH17" s="16">
        <f t="shared" si="9"/>
        <v>0</v>
      </c>
      <c r="CI17" s="18"/>
      <c r="CX17" s="16">
        <f t="shared" si="10"/>
        <v>0</v>
      </c>
      <c r="CY17" s="16">
        <f t="shared" si="11"/>
        <v>0</v>
      </c>
      <c r="CZ17" s="18"/>
      <c r="DO17" s="16">
        <f t="shared" si="12"/>
        <v>0</v>
      </c>
      <c r="DP17" s="16">
        <f t="shared" si="13"/>
        <v>0</v>
      </c>
      <c r="DQ17" s="18"/>
      <c r="EF17" s="16">
        <f t="shared" si="14"/>
        <v>0</v>
      </c>
      <c r="EG17" s="16">
        <f t="shared" si="15"/>
        <v>0</v>
      </c>
      <c r="EH17" s="18"/>
      <c r="EW17" s="16">
        <f t="shared" si="16"/>
        <v>0</v>
      </c>
      <c r="EX17" s="16">
        <f t="shared" si="17"/>
        <v>0</v>
      </c>
      <c r="EY17" s="18"/>
      <c r="FN17" s="16">
        <f t="shared" si="18"/>
        <v>0</v>
      </c>
      <c r="FO17" s="16">
        <f t="shared" si="19"/>
        <v>0</v>
      </c>
      <c r="FP17" s="18"/>
      <c r="GE17" s="16">
        <f t="shared" si="20"/>
        <v>0</v>
      </c>
      <c r="GF17" s="16">
        <f t="shared" si="21"/>
        <v>0</v>
      </c>
      <c r="GG17" s="18"/>
      <c r="GV17" s="16">
        <f t="shared" si="22"/>
        <v>0</v>
      </c>
      <c r="GW17" s="16">
        <f t="shared" si="23"/>
        <v>0</v>
      </c>
      <c r="GX17" s="18"/>
      <c r="HM17" s="16">
        <f t="shared" si="24"/>
        <v>0</v>
      </c>
      <c r="HN17" s="16">
        <f t="shared" si="25"/>
        <v>0</v>
      </c>
      <c r="HO17" s="18"/>
      <c r="ID17" s="16">
        <f t="shared" si="26"/>
        <v>0</v>
      </c>
      <c r="IE17" s="16">
        <f t="shared" si="27"/>
        <v>0</v>
      </c>
      <c r="IF17" s="18"/>
      <c r="IU17" s="16">
        <f t="shared" si="28"/>
        <v>0</v>
      </c>
      <c r="IV17" s="16">
        <f t="shared" si="29"/>
        <v>0</v>
      </c>
    </row>
    <row r="18" spans="1:256" s="16" customFormat="1" x14ac:dyDescent="0.25">
      <c r="A18" s="19" t="s">
        <v>46</v>
      </c>
      <c r="B18" s="49"/>
      <c r="Q18" s="16">
        <f t="shared" si="0"/>
        <v>0</v>
      </c>
      <c r="R18" s="16">
        <f t="shared" si="1"/>
        <v>0</v>
      </c>
      <c r="S18" s="17"/>
      <c r="AH18" s="16">
        <f t="shared" si="2"/>
        <v>0</v>
      </c>
      <c r="AI18" s="16">
        <f t="shared" si="3"/>
        <v>0</v>
      </c>
      <c r="AJ18" s="18"/>
      <c r="AY18" s="16">
        <f t="shared" si="4"/>
        <v>0</v>
      </c>
      <c r="AZ18" s="16">
        <f t="shared" si="5"/>
        <v>0</v>
      </c>
      <c r="BA18" s="18"/>
      <c r="BP18" s="16">
        <f t="shared" si="6"/>
        <v>0</v>
      </c>
      <c r="BQ18" s="16">
        <f t="shared" si="7"/>
        <v>0</v>
      </c>
      <c r="BR18" s="18"/>
      <c r="CG18" s="16">
        <f t="shared" si="8"/>
        <v>0</v>
      </c>
      <c r="CH18" s="16">
        <f t="shared" si="9"/>
        <v>0</v>
      </c>
      <c r="CI18" s="18"/>
      <c r="CX18" s="16">
        <f t="shared" si="10"/>
        <v>0</v>
      </c>
      <c r="CY18" s="16">
        <f t="shared" si="11"/>
        <v>0</v>
      </c>
      <c r="CZ18" s="18"/>
      <c r="DO18" s="16">
        <f t="shared" si="12"/>
        <v>0</v>
      </c>
      <c r="DP18" s="16">
        <f t="shared" si="13"/>
        <v>0</v>
      </c>
      <c r="DQ18" s="18"/>
      <c r="EF18" s="16">
        <f t="shared" si="14"/>
        <v>0</v>
      </c>
      <c r="EG18" s="16">
        <f t="shared" si="15"/>
        <v>0</v>
      </c>
      <c r="EH18" s="18"/>
      <c r="EW18" s="16">
        <f t="shared" si="16"/>
        <v>0</v>
      </c>
      <c r="EX18" s="16">
        <f t="shared" si="17"/>
        <v>0</v>
      </c>
      <c r="EY18" s="18"/>
      <c r="FN18" s="16">
        <f t="shared" si="18"/>
        <v>0</v>
      </c>
      <c r="FO18" s="16">
        <f t="shared" si="19"/>
        <v>0</v>
      </c>
      <c r="FP18" s="18"/>
      <c r="GE18" s="16">
        <f t="shared" si="20"/>
        <v>0</v>
      </c>
      <c r="GF18" s="16">
        <f t="shared" si="21"/>
        <v>0</v>
      </c>
      <c r="GG18" s="18"/>
      <c r="GV18" s="16">
        <f t="shared" si="22"/>
        <v>0</v>
      </c>
      <c r="GW18" s="16">
        <f t="shared" si="23"/>
        <v>0</v>
      </c>
      <c r="GX18" s="18"/>
      <c r="HM18" s="16">
        <f t="shared" si="24"/>
        <v>0</v>
      </c>
      <c r="HN18" s="16">
        <f t="shared" si="25"/>
        <v>0</v>
      </c>
      <c r="HO18" s="18"/>
      <c r="ID18" s="16">
        <f t="shared" si="26"/>
        <v>0</v>
      </c>
      <c r="IE18" s="16">
        <f t="shared" si="27"/>
        <v>0</v>
      </c>
      <c r="IF18" s="18"/>
      <c r="IU18" s="16">
        <f t="shared" si="28"/>
        <v>0</v>
      </c>
      <c r="IV18" s="16">
        <f t="shared" si="29"/>
        <v>0</v>
      </c>
    </row>
    <row r="19" spans="1:256" s="16" customFormat="1" x14ac:dyDescent="0.25">
      <c r="A19" s="19" t="s">
        <v>47</v>
      </c>
      <c r="B19" s="49"/>
      <c r="Q19" s="16">
        <f t="shared" si="0"/>
        <v>0</v>
      </c>
      <c r="R19" s="16">
        <f t="shared" si="1"/>
        <v>0</v>
      </c>
      <c r="S19" s="17"/>
      <c r="AH19" s="16">
        <f t="shared" si="2"/>
        <v>0</v>
      </c>
      <c r="AI19" s="16">
        <f t="shared" si="3"/>
        <v>0</v>
      </c>
      <c r="AJ19" s="18"/>
      <c r="AY19" s="16">
        <f t="shared" si="4"/>
        <v>0</v>
      </c>
      <c r="AZ19" s="16">
        <f t="shared" si="5"/>
        <v>0</v>
      </c>
      <c r="BA19" s="18"/>
      <c r="BP19" s="16">
        <f t="shared" si="6"/>
        <v>0</v>
      </c>
      <c r="BQ19" s="16">
        <f t="shared" si="7"/>
        <v>0</v>
      </c>
      <c r="BR19" s="18"/>
      <c r="CG19" s="16">
        <f t="shared" si="8"/>
        <v>0</v>
      </c>
      <c r="CH19" s="16">
        <f t="shared" si="9"/>
        <v>0</v>
      </c>
      <c r="CI19" s="18"/>
      <c r="CX19" s="16">
        <f t="shared" si="10"/>
        <v>0</v>
      </c>
      <c r="CY19" s="16">
        <f t="shared" si="11"/>
        <v>0</v>
      </c>
      <c r="CZ19" s="18"/>
      <c r="DO19" s="16">
        <f t="shared" si="12"/>
        <v>0</v>
      </c>
      <c r="DP19" s="16">
        <f t="shared" si="13"/>
        <v>0</v>
      </c>
      <c r="DQ19" s="18"/>
      <c r="EF19" s="16">
        <f t="shared" si="14"/>
        <v>0</v>
      </c>
      <c r="EG19" s="16">
        <f t="shared" si="15"/>
        <v>0</v>
      </c>
      <c r="EH19" s="18"/>
      <c r="EW19" s="16">
        <f t="shared" si="16"/>
        <v>0</v>
      </c>
      <c r="EX19" s="16">
        <f t="shared" si="17"/>
        <v>0</v>
      </c>
      <c r="EY19" s="18"/>
      <c r="FN19" s="16">
        <f t="shared" si="18"/>
        <v>0</v>
      </c>
      <c r="FO19" s="16">
        <f t="shared" si="19"/>
        <v>0</v>
      </c>
      <c r="FP19" s="18"/>
      <c r="GE19" s="16">
        <f t="shared" si="20"/>
        <v>0</v>
      </c>
      <c r="GF19" s="16">
        <f t="shared" si="21"/>
        <v>0</v>
      </c>
      <c r="GG19" s="18"/>
      <c r="GV19" s="16">
        <f t="shared" si="22"/>
        <v>0</v>
      </c>
      <c r="GW19" s="16">
        <f t="shared" si="23"/>
        <v>0</v>
      </c>
      <c r="GX19" s="18"/>
      <c r="HM19" s="16">
        <f t="shared" si="24"/>
        <v>0</v>
      </c>
      <c r="HN19" s="16">
        <f t="shared" si="25"/>
        <v>0</v>
      </c>
      <c r="HO19" s="18"/>
      <c r="ID19" s="16">
        <f t="shared" si="26"/>
        <v>0</v>
      </c>
      <c r="IE19" s="16">
        <f t="shared" si="27"/>
        <v>0</v>
      </c>
      <c r="IF19" s="18"/>
      <c r="IU19" s="16">
        <f t="shared" si="28"/>
        <v>0</v>
      </c>
      <c r="IV19" s="16">
        <f t="shared" si="29"/>
        <v>0</v>
      </c>
    </row>
    <row r="20" spans="1:256" s="16" customFormat="1" x14ac:dyDescent="0.25">
      <c r="A20" s="19"/>
      <c r="B20" s="49"/>
      <c r="Q20" s="16">
        <f t="shared" si="0"/>
        <v>0</v>
      </c>
      <c r="R20" s="16">
        <f t="shared" si="1"/>
        <v>0</v>
      </c>
      <c r="S20" s="17"/>
      <c r="AH20" s="16">
        <f t="shared" si="2"/>
        <v>0</v>
      </c>
      <c r="AI20" s="16">
        <f t="shared" si="3"/>
        <v>0</v>
      </c>
      <c r="AJ20" s="18"/>
      <c r="AY20" s="16">
        <f t="shared" si="4"/>
        <v>0</v>
      </c>
      <c r="AZ20" s="16">
        <f t="shared" si="5"/>
        <v>0</v>
      </c>
      <c r="BA20" s="18"/>
      <c r="BP20" s="16">
        <f t="shared" si="6"/>
        <v>0</v>
      </c>
      <c r="BQ20" s="16">
        <f t="shared" si="7"/>
        <v>0</v>
      </c>
      <c r="BR20" s="18"/>
      <c r="CG20" s="16">
        <f t="shared" si="8"/>
        <v>0</v>
      </c>
      <c r="CH20" s="16">
        <f t="shared" si="9"/>
        <v>0</v>
      </c>
      <c r="CI20" s="18"/>
      <c r="CX20" s="16">
        <f t="shared" si="10"/>
        <v>0</v>
      </c>
      <c r="CY20" s="16">
        <f t="shared" si="11"/>
        <v>0</v>
      </c>
      <c r="CZ20" s="18"/>
      <c r="DO20" s="16">
        <f t="shared" si="12"/>
        <v>0</v>
      </c>
      <c r="DP20" s="16">
        <f t="shared" si="13"/>
        <v>0</v>
      </c>
      <c r="DQ20" s="18"/>
      <c r="EF20" s="16">
        <f t="shared" si="14"/>
        <v>0</v>
      </c>
      <c r="EG20" s="16">
        <f t="shared" si="15"/>
        <v>0</v>
      </c>
      <c r="EH20" s="18"/>
      <c r="EW20" s="16">
        <f t="shared" si="16"/>
        <v>0</v>
      </c>
      <c r="EX20" s="16">
        <f t="shared" si="17"/>
        <v>0</v>
      </c>
      <c r="EY20" s="18"/>
      <c r="FN20" s="16">
        <f t="shared" si="18"/>
        <v>0</v>
      </c>
      <c r="FO20" s="16">
        <f t="shared" si="19"/>
        <v>0</v>
      </c>
      <c r="FP20" s="18"/>
      <c r="GE20" s="16">
        <f t="shared" si="20"/>
        <v>0</v>
      </c>
      <c r="GF20" s="16">
        <f t="shared" si="21"/>
        <v>0</v>
      </c>
      <c r="GG20" s="18"/>
      <c r="GV20" s="16">
        <f t="shared" si="22"/>
        <v>0</v>
      </c>
      <c r="GW20" s="16">
        <f t="shared" si="23"/>
        <v>0</v>
      </c>
      <c r="GX20" s="18"/>
      <c r="HM20" s="16">
        <f t="shared" si="24"/>
        <v>0</v>
      </c>
      <c r="HN20" s="16">
        <f t="shared" si="25"/>
        <v>0</v>
      </c>
      <c r="HO20" s="18"/>
      <c r="ID20" s="16">
        <f t="shared" si="26"/>
        <v>0</v>
      </c>
      <c r="IE20" s="16">
        <f t="shared" si="27"/>
        <v>0</v>
      </c>
      <c r="IF20" s="18"/>
      <c r="IU20" s="16">
        <f t="shared" si="28"/>
        <v>0</v>
      </c>
      <c r="IV20" s="16">
        <f t="shared" si="29"/>
        <v>0</v>
      </c>
    </row>
    <row r="21" spans="1:256" s="16" customFormat="1" x14ac:dyDescent="0.25">
      <c r="A21" s="19"/>
      <c r="B21" s="49"/>
      <c r="Q21" s="16">
        <f t="shared" si="0"/>
        <v>0</v>
      </c>
      <c r="R21" s="16">
        <f t="shared" si="1"/>
        <v>0</v>
      </c>
      <c r="S21" s="17"/>
      <c r="AH21" s="16">
        <f t="shared" si="2"/>
        <v>0</v>
      </c>
      <c r="AI21" s="16">
        <f t="shared" si="3"/>
        <v>0</v>
      </c>
      <c r="AJ21" s="18"/>
      <c r="AY21" s="16">
        <f t="shared" si="4"/>
        <v>0</v>
      </c>
      <c r="AZ21" s="16">
        <f t="shared" si="5"/>
        <v>0</v>
      </c>
      <c r="BA21" s="18"/>
      <c r="BP21" s="16">
        <f t="shared" si="6"/>
        <v>0</v>
      </c>
      <c r="BQ21" s="16">
        <f t="shared" si="7"/>
        <v>0</v>
      </c>
      <c r="BR21" s="18"/>
      <c r="CG21" s="16">
        <f t="shared" si="8"/>
        <v>0</v>
      </c>
      <c r="CH21" s="16">
        <f t="shared" si="9"/>
        <v>0</v>
      </c>
      <c r="CI21" s="18"/>
      <c r="CX21" s="16">
        <f t="shared" si="10"/>
        <v>0</v>
      </c>
      <c r="CY21" s="16">
        <f t="shared" si="11"/>
        <v>0</v>
      </c>
      <c r="CZ21" s="18"/>
      <c r="DO21" s="16">
        <f t="shared" si="12"/>
        <v>0</v>
      </c>
      <c r="DP21" s="16">
        <f t="shared" si="13"/>
        <v>0</v>
      </c>
      <c r="DQ21" s="18"/>
      <c r="EF21" s="16">
        <f t="shared" si="14"/>
        <v>0</v>
      </c>
      <c r="EG21" s="16">
        <f t="shared" si="15"/>
        <v>0</v>
      </c>
      <c r="EH21" s="18"/>
      <c r="EW21" s="16">
        <f t="shared" si="16"/>
        <v>0</v>
      </c>
      <c r="EX21" s="16">
        <f t="shared" si="17"/>
        <v>0</v>
      </c>
      <c r="EY21" s="18"/>
      <c r="FN21" s="16">
        <f t="shared" si="18"/>
        <v>0</v>
      </c>
      <c r="FO21" s="16">
        <f t="shared" si="19"/>
        <v>0</v>
      </c>
      <c r="FP21" s="18"/>
      <c r="GE21" s="16">
        <f t="shared" si="20"/>
        <v>0</v>
      </c>
      <c r="GF21" s="16">
        <f t="shared" si="21"/>
        <v>0</v>
      </c>
      <c r="GG21" s="18"/>
      <c r="GV21" s="16">
        <f t="shared" si="22"/>
        <v>0</v>
      </c>
      <c r="GW21" s="16">
        <f t="shared" si="23"/>
        <v>0</v>
      </c>
      <c r="GX21" s="18"/>
      <c r="HM21" s="16">
        <f t="shared" si="24"/>
        <v>0</v>
      </c>
      <c r="HN21" s="16">
        <f t="shared" si="25"/>
        <v>0</v>
      </c>
      <c r="HO21" s="18"/>
      <c r="ID21" s="16">
        <f t="shared" si="26"/>
        <v>0</v>
      </c>
      <c r="IE21" s="16">
        <f t="shared" si="27"/>
        <v>0</v>
      </c>
      <c r="IF21" s="18"/>
      <c r="IU21" s="16">
        <f t="shared" si="28"/>
        <v>0</v>
      </c>
      <c r="IV21" s="16">
        <f t="shared" si="29"/>
        <v>0</v>
      </c>
    </row>
    <row r="22" spans="1:256" s="16" customFormat="1" x14ac:dyDescent="0.25">
      <c r="A22" s="19"/>
      <c r="B22" s="49"/>
      <c r="Q22" s="16">
        <f t="shared" si="0"/>
        <v>0</v>
      </c>
      <c r="R22" s="16">
        <f t="shared" si="1"/>
        <v>0</v>
      </c>
      <c r="S22" s="17"/>
      <c r="AH22" s="16">
        <f t="shared" si="2"/>
        <v>0</v>
      </c>
      <c r="AI22" s="16">
        <f t="shared" si="3"/>
        <v>0</v>
      </c>
      <c r="AJ22" s="18"/>
      <c r="AY22" s="16">
        <f t="shared" si="4"/>
        <v>0</v>
      </c>
      <c r="AZ22" s="16">
        <f t="shared" si="5"/>
        <v>0</v>
      </c>
      <c r="BA22" s="18"/>
      <c r="BP22" s="16">
        <f t="shared" si="6"/>
        <v>0</v>
      </c>
      <c r="BQ22" s="16">
        <f t="shared" si="7"/>
        <v>0</v>
      </c>
      <c r="BR22" s="18"/>
      <c r="CG22" s="16">
        <f t="shared" si="8"/>
        <v>0</v>
      </c>
      <c r="CH22" s="16">
        <f t="shared" si="9"/>
        <v>0</v>
      </c>
      <c r="CI22" s="18"/>
      <c r="CX22" s="16">
        <f t="shared" si="10"/>
        <v>0</v>
      </c>
      <c r="CY22" s="16">
        <f t="shared" si="11"/>
        <v>0</v>
      </c>
      <c r="CZ22" s="18"/>
      <c r="DO22" s="16">
        <f t="shared" si="12"/>
        <v>0</v>
      </c>
      <c r="DP22" s="16">
        <f t="shared" si="13"/>
        <v>0</v>
      </c>
      <c r="DQ22" s="18"/>
      <c r="EF22" s="16">
        <f t="shared" si="14"/>
        <v>0</v>
      </c>
      <c r="EG22" s="16">
        <f t="shared" si="15"/>
        <v>0</v>
      </c>
      <c r="EH22" s="18"/>
      <c r="EW22" s="16">
        <f t="shared" si="16"/>
        <v>0</v>
      </c>
      <c r="EX22" s="16">
        <f t="shared" si="17"/>
        <v>0</v>
      </c>
      <c r="EY22" s="18"/>
      <c r="FN22" s="16">
        <f t="shared" si="18"/>
        <v>0</v>
      </c>
      <c r="FO22" s="16">
        <f t="shared" si="19"/>
        <v>0</v>
      </c>
      <c r="FP22" s="18"/>
      <c r="GE22" s="16">
        <f t="shared" si="20"/>
        <v>0</v>
      </c>
      <c r="GF22" s="16">
        <f t="shared" si="21"/>
        <v>0</v>
      </c>
      <c r="GG22" s="18"/>
      <c r="GV22" s="16">
        <f t="shared" si="22"/>
        <v>0</v>
      </c>
      <c r="GW22" s="16">
        <f t="shared" si="23"/>
        <v>0</v>
      </c>
      <c r="GX22" s="18"/>
      <c r="HM22" s="16">
        <f t="shared" si="24"/>
        <v>0</v>
      </c>
      <c r="HN22" s="16">
        <f t="shared" si="25"/>
        <v>0</v>
      </c>
      <c r="HO22" s="18"/>
      <c r="ID22" s="16">
        <f t="shared" si="26"/>
        <v>0</v>
      </c>
      <c r="IE22" s="16">
        <f t="shared" si="27"/>
        <v>0</v>
      </c>
      <c r="IF22" s="18"/>
      <c r="IU22" s="16">
        <f t="shared" si="28"/>
        <v>0</v>
      </c>
      <c r="IV22" s="16">
        <f t="shared" si="29"/>
        <v>0</v>
      </c>
    </row>
    <row r="23" spans="1:256" s="16" customFormat="1" x14ac:dyDescent="0.25">
      <c r="A23" s="19"/>
      <c r="B23" s="49"/>
      <c r="Q23" s="16">
        <f t="shared" si="0"/>
        <v>0</v>
      </c>
      <c r="R23" s="16">
        <f t="shared" si="1"/>
        <v>0</v>
      </c>
      <c r="S23" s="17"/>
      <c r="AH23" s="16">
        <f t="shared" si="2"/>
        <v>0</v>
      </c>
      <c r="AI23" s="16">
        <f t="shared" si="3"/>
        <v>0</v>
      </c>
      <c r="AJ23" s="18"/>
      <c r="AY23" s="16">
        <f t="shared" si="4"/>
        <v>0</v>
      </c>
      <c r="AZ23" s="16">
        <f t="shared" si="5"/>
        <v>0</v>
      </c>
      <c r="BA23" s="18"/>
      <c r="BP23" s="16">
        <f t="shared" si="6"/>
        <v>0</v>
      </c>
      <c r="BQ23" s="16">
        <f t="shared" si="7"/>
        <v>0</v>
      </c>
      <c r="BR23" s="18"/>
      <c r="CG23" s="16">
        <f t="shared" si="8"/>
        <v>0</v>
      </c>
      <c r="CH23" s="16">
        <f t="shared" si="9"/>
        <v>0</v>
      </c>
      <c r="CI23" s="18"/>
      <c r="CX23" s="16">
        <f t="shared" si="10"/>
        <v>0</v>
      </c>
      <c r="CY23" s="16">
        <f t="shared" si="11"/>
        <v>0</v>
      </c>
      <c r="CZ23" s="18"/>
      <c r="DO23" s="16">
        <f t="shared" si="12"/>
        <v>0</v>
      </c>
      <c r="DP23" s="16">
        <f t="shared" si="13"/>
        <v>0</v>
      </c>
      <c r="DQ23" s="18"/>
      <c r="EF23" s="16">
        <f t="shared" si="14"/>
        <v>0</v>
      </c>
      <c r="EG23" s="16">
        <f t="shared" si="15"/>
        <v>0</v>
      </c>
      <c r="EH23" s="18"/>
      <c r="EW23" s="16">
        <f t="shared" si="16"/>
        <v>0</v>
      </c>
      <c r="EX23" s="16">
        <f t="shared" si="17"/>
        <v>0</v>
      </c>
      <c r="EY23" s="18"/>
      <c r="FN23" s="16">
        <f t="shared" si="18"/>
        <v>0</v>
      </c>
      <c r="FO23" s="16">
        <f t="shared" si="19"/>
        <v>0</v>
      </c>
      <c r="FP23" s="18"/>
      <c r="GE23" s="16">
        <f t="shared" si="20"/>
        <v>0</v>
      </c>
      <c r="GF23" s="16">
        <f t="shared" si="21"/>
        <v>0</v>
      </c>
      <c r="GG23" s="18"/>
      <c r="GV23" s="16">
        <f t="shared" si="22"/>
        <v>0</v>
      </c>
      <c r="GW23" s="16">
        <f t="shared" si="23"/>
        <v>0</v>
      </c>
      <c r="GX23" s="18"/>
      <c r="HM23" s="16">
        <f t="shared" si="24"/>
        <v>0</v>
      </c>
      <c r="HN23" s="16">
        <f t="shared" si="25"/>
        <v>0</v>
      </c>
      <c r="HO23" s="18"/>
      <c r="ID23" s="16">
        <f t="shared" si="26"/>
        <v>0</v>
      </c>
      <c r="IE23" s="16">
        <f t="shared" si="27"/>
        <v>0</v>
      </c>
      <c r="IF23" s="18"/>
      <c r="IU23" s="16">
        <f t="shared" si="28"/>
        <v>0</v>
      </c>
      <c r="IV23" s="16">
        <f t="shared" si="29"/>
        <v>0</v>
      </c>
    </row>
    <row r="24" spans="1:256" s="16" customFormat="1" x14ac:dyDescent="0.25">
      <c r="A24" s="14"/>
      <c r="B24" s="49"/>
      <c r="Q24" s="16">
        <f t="shared" si="0"/>
        <v>0</v>
      </c>
      <c r="R24" s="16">
        <f t="shared" si="1"/>
        <v>0</v>
      </c>
      <c r="S24" s="17"/>
      <c r="AH24" s="16">
        <f t="shared" si="2"/>
        <v>0</v>
      </c>
      <c r="AI24" s="16">
        <f t="shared" si="3"/>
        <v>0</v>
      </c>
      <c r="AJ24" s="18"/>
      <c r="AY24" s="16">
        <f t="shared" si="4"/>
        <v>0</v>
      </c>
      <c r="AZ24" s="16">
        <f t="shared" si="5"/>
        <v>0</v>
      </c>
      <c r="BA24" s="18"/>
      <c r="BP24" s="16">
        <f t="shared" si="6"/>
        <v>0</v>
      </c>
      <c r="BQ24" s="16">
        <f t="shared" si="7"/>
        <v>0</v>
      </c>
      <c r="BR24" s="18"/>
      <c r="CG24" s="16">
        <f t="shared" si="8"/>
        <v>0</v>
      </c>
      <c r="CH24" s="16">
        <f t="shared" si="9"/>
        <v>0</v>
      </c>
      <c r="CI24" s="18"/>
      <c r="CX24" s="16">
        <f t="shared" si="10"/>
        <v>0</v>
      </c>
      <c r="CY24" s="16">
        <f t="shared" si="11"/>
        <v>0</v>
      </c>
      <c r="CZ24" s="18"/>
      <c r="DO24" s="16">
        <f t="shared" si="12"/>
        <v>0</v>
      </c>
      <c r="DP24" s="16">
        <f t="shared" si="13"/>
        <v>0</v>
      </c>
      <c r="DQ24" s="18"/>
      <c r="EF24" s="16">
        <f t="shared" si="14"/>
        <v>0</v>
      </c>
      <c r="EG24" s="16">
        <f t="shared" si="15"/>
        <v>0</v>
      </c>
      <c r="EH24" s="18"/>
      <c r="EW24" s="16">
        <f t="shared" si="16"/>
        <v>0</v>
      </c>
      <c r="EX24" s="16">
        <f t="shared" si="17"/>
        <v>0</v>
      </c>
      <c r="EY24" s="18"/>
      <c r="FN24" s="16">
        <f t="shared" si="18"/>
        <v>0</v>
      </c>
      <c r="FO24" s="16">
        <f t="shared" si="19"/>
        <v>0</v>
      </c>
      <c r="FP24" s="18"/>
      <c r="GE24" s="16">
        <f t="shared" si="20"/>
        <v>0</v>
      </c>
      <c r="GF24" s="16">
        <f t="shared" si="21"/>
        <v>0</v>
      </c>
      <c r="GG24" s="18"/>
      <c r="GV24" s="16">
        <f t="shared" si="22"/>
        <v>0</v>
      </c>
      <c r="GW24" s="16">
        <f t="shared" si="23"/>
        <v>0</v>
      </c>
      <c r="GX24" s="18"/>
      <c r="HM24" s="16">
        <f t="shared" si="24"/>
        <v>0</v>
      </c>
      <c r="HN24" s="16">
        <f t="shared" si="25"/>
        <v>0</v>
      </c>
      <c r="HO24" s="18"/>
      <c r="ID24" s="16">
        <f t="shared" si="26"/>
        <v>0</v>
      </c>
      <c r="IE24" s="16">
        <f t="shared" si="27"/>
        <v>0</v>
      </c>
      <c r="IF24" s="18"/>
      <c r="IU24" s="16">
        <f t="shared" si="28"/>
        <v>0</v>
      </c>
      <c r="IV24" s="16">
        <f t="shared" si="29"/>
        <v>0</v>
      </c>
    </row>
    <row r="25" spans="1:256" s="16" customFormat="1" x14ac:dyDescent="0.25">
      <c r="A25" s="14"/>
      <c r="B25" s="49"/>
      <c r="Q25" s="16">
        <f t="shared" si="0"/>
        <v>0</v>
      </c>
      <c r="R25" s="16">
        <f t="shared" si="1"/>
        <v>0</v>
      </c>
      <c r="S25" s="17"/>
      <c r="AH25" s="16">
        <f t="shared" si="2"/>
        <v>0</v>
      </c>
      <c r="AI25" s="16">
        <f t="shared" si="3"/>
        <v>0</v>
      </c>
      <c r="AJ25" s="18"/>
      <c r="AY25" s="16">
        <f t="shared" si="4"/>
        <v>0</v>
      </c>
      <c r="AZ25" s="16">
        <f t="shared" si="5"/>
        <v>0</v>
      </c>
      <c r="BA25" s="18"/>
      <c r="BP25" s="16">
        <f t="shared" si="6"/>
        <v>0</v>
      </c>
      <c r="BQ25" s="16">
        <f t="shared" si="7"/>
        <v>0</v>
      </c>
      <c r="BR25" s="18"/>
      <c r="CG25" s="16">
        <f t="shared" si="8"/>
        <v>0</v>
      </c>
      <c r="CH25" s="16">
        <f t="shared" si="9"/>
        <v>0</v>
      </c>
      <c r="CI25" s="18"/>
      <c r="CX25" s="16">
        <f t="shared" si="10"/>
        <v>0</v>
      </c>
      <c r="CY25" s="16">
        <f t="shared" si="11"/>
        <v>0</v>
      </c>
      <c r="CZ25" s="18"/>
      <c r="DO25" s="16">
        <f t="shared" si="12"/>
        <v>0</v>
      </c>
      <c r="DP25" s="16">
        <f t="shared" si="13"/>
        <v>0</v>
      </c>
      <c r="DQ25" s="18"/>
      <c r="EF25" s="16">
        <f t="shared" si="14"/>
        <v>0</v>
      </c>
      <c r="EG25" s="16">
        <f t="shared" si="15"/>
        <v>0</v>
      </c>
      <c r="EH25" s="18"/>
      <c r="EW25" s="16">
        <f t="shared" si="16"/>
        <v>0</v>
      </c>
      <c r="EX25" s="16">
        <f t="shared" si="17"/>
        <v>0</v>
      </c>
      <c r="EY25" s="18"/>
      <c r="FN25" s="16">
        <f t="shared" si="18"/>
        <v>0</v>
      </c>
      <c r="FO25" s="16">
        <f t="shared" si="19"/>
        <v>0</v>
      </c>
      <c r="FP25" s="18"/>
      <c r="GE25" s="16">
        <f t="shared" si="20"/>
        <v>0</v>
      </c>
      <c r="GF25" s="16">
        <f t="shared" si="21"/>
        <v>0</v>
      </c>
      <c r="GG25" s="18"/>
      <c r="GV25" s="16">
        <f t="shared" si="22"/>
        <v>0</v>
      </c>
      <c r="GW25" s="16">
        <f t="shared" si="23"/>
        <v>0</v>
      </c>
      <c r="GX25" s="18"/>
      <c r="HM25" s="16">
        <f t="shared" si="24"/>
        <v>0</v>
      </c>
      <c r="HN25" s="16">
        <f t="shared" si="25"/>
        <v>0</v>
      </c>
      <c r="HO25" s="18"/>
      <c r="ID25" s="16">
        <f t="shared" si="26"/>
        <v>0</v>
      </c>
      <c r="IE25" s="16">
        <f t="shared" si="27"/>
        <v>0</v>
      </c>
      <c r="IF25" s="18"/>
      <c r="IU25" s="16">
        <f t="shared" si="28"/>
        <v>0</v>
      </c>
      <c r="IV25" s="16">
        <f t="shared" si="29"/>
        <v>0</v>
      </c>
    </row>
    <row r="26" spans="1:256" s="20" customFormat="1" ht="13.8" thickBot="1" x14ac:dyDescent="0.3">
      <c r="A26" s="14"/>
      <c r="B26" s="49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>
        <f t="shared" si="0"/>
        <v>0</v>
      </c>
      <c r="R26" s="16">
        <f t="shared" si="1"/>
        <v>0</v>
      </c>
      <c r="S26" s="17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>
        <f t="shared" si="2"/>
        <v>0</v>
      </c>
      <c r="AI26" s="16">
        <f t="shared" si="3"/>
        <v>0</v>
      </c>
      <c r="AJ26" s="18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>
        <f t="shared" si="4"/>
        <v>0</v>
      </c>
      <c r="AZ26" s="16">
        <f t="shared" si="5"/>
        <v>0</v>
      </c>
      <c r="BA26" s="18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>
        <f t="shared" si="6"/>
        <v>0</v>
      </c>
      <c r="BQ26" s="16">
        <f t="shared" si="7"/>
        <v>0</v>
      </c>
      <c r="BR26" s="18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>
        <f t="shared" si="8"/>
        <v>0</v>
      </c>
      <c r="CH26" s="16">
        <f t="shared" si="9"/>
        <v>0</v>
      </c>
      <c r="CI26" s="18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>
        <f t="shared" si="10"/>
        <v>0</v>
      </c>
      <c r="CY26" s="16">
        <f t="shared" si="11"/>
        <v>0</v>
      </c>
      <c r="CZ26" s="18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>
        <f t="shared" si="12"/>
        <v>0</v>
      </c>
      <c r="DP26" s="16">
        <f t="shared" si="13"/>
        <v>0</v>
      </c>
      <c r="DQ26" s="18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>
        <f t="shared" si="14"/>
        <v>0</v>
      </c>
      <c r="EG26" s="16">
        <f t="shared" si="15"/>
        <v>0</v>
      </c>
      <c r="EH26" s="18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>
        <f t="shared" si="16"/>
        <v>0</v>
      </c>
      <c r="EX26" s="16">
        <f t="shared" si="17"/>
        <v>0</v>
      </c>
      <c r="EY26" s="18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>
        <f t="shared" si="18"/>
        <v>0</v>
      </c>
      <c r="FO26" s="16">
        <f t="shared" si="19"/>
        <v>0</v>
      </c>
      <c r="FP26" s="18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>
        <f t="shared" si="20"/>
        <v>0</v>
      </c>
      <c r="GF26" s="16">
        <f t="shared" si="21"/>
        <v>0</v>
      </c>
      <c r="GG26" s="18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>
        <f t="shared" si="22"/>
        <v>0</v>
      </c>
      <c r="GW26" s="16">
        <f t="shared" si="23"/>
        <v>0</v>
      </c>
      <c r="GX26" s="18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>
        <f t="shared" si="24"/>
        <v>0</v>
      </c>
      <c r="HN26" s="16">
        <f t="shared" si="25"/>
        <v>0</v>
      </c>
      <c r="HO26" s="18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>
        <f t="shared" si="26"/>
        <v>0</v>
      </c>
      <c r="IE26" s="16">
        <f t="shared" si="27"/>
        <v>0</v>
      </c>
      <c r="IF26" s="18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>
        <f t="shared" si="28"/>
        <v>0</v>
      </c>
      <c r="IV26" s="16">
        <f t="shared" si="29"/>
        <v>0</v>
      </c>
    </row>
    <row r="27" spans="1:256" s="22" customFormat="1" ht="13.8" thickBot="1" x14ac:dyDescent="0.3">
      <c r="A27" s="64" t="s">
        <v>48</v>
      </c>
      <c r="B27" s="64"/>
      <c r="C27" s="21">
        <f>SUM(C8:C26)</f>
        <v>25</v>
      </c>
      <c r="D27" s="21">
        <f t="shared" ref="D27:P27" si="30">SUM(D8:D26)</f>
        <v>10</v>
      </c>
      <c r="E27" s="21">
        <f t="shared" si="30"/>
        <v>9</v>
      </c>
      <c r="F27" s="21">
        <f t="shared" si="30"/>
        <v>2</v>
      </c>
      <c r="G27" s="21">
        <f t="shared" si="30"/>
        <v>1</v>
      </c>
      <c r="H27" s="21">
        <f t="shared" si="30"/>
        <v>0</v>
      </c>
      <c r="I27" s="21">
        <f t="shared" si="30"/>
        <v>4</v>
      </c>
      <c r="J27" s="21">
        <f t="shared" si="30"/>
        <v>4</v>
      </c>
      <c r="K27" s="21">
        <f t="shared" si="30"/>
        <v>5</v>
      </c>
      <c r="L27" s="21">
        <f t="shared" si="30"/>
        <v>9</v>
      </c>
      <c r="M27" s="21">
        <f t="shared" si="30"/>
        <v>0</v>
      </c>
      <c r="N27" s="21">
        <f t="shared" si="30"/>
        <v>0</v>
      </c>
      <c r="O27" s="21">
        <f t="shared" si="30"/>
        <v>0</v>
      </c>
      <c r="P27" s="21">
        <f t="shared" si="30"/>
        <v>0</v>
      </c>
      <c r="Q27" s="21">
        <f>SUM(Q8:Q26)</f>
        <v>13</v>
      </c>
      <c r="R27" s="21">
        <f>SUM(R8:R26)</f>
        <v>30</v>
      </c>
      <c r="T27" s="21">
        <f>SUM(T8:T26)</f>
        <v>0</v>
      </c>
      <c r="U27" s="21">
        <f t="shared" ref="U27:AG27" si="31">SUM(U8:U26)</f>
        <v>0</v>
      </c>
      <c r="V27" s="21">
        <f t="shared" si="31"/>
        <v>0</v>
      </c>
      <c r="W27" s="21">
        <f t="shared" si="31"/>
        <v>0</v>
      </c>
      <c r="X27" s="21">
        <f t="shared" si="31"/>
        <v>0</v>
      </c>
      <c r="Y27" s="21">
        <f t="shared" si="31"/>
        <v>0</v>
      </c>
      <c r="Z27" s="21">
        <f t="shared" si="31"/>
        <v>0</v>
      </c>
      <c r="AA27" s="21">
        <f t="shared" si="31"/>
        <v>0</v>
      </c>
      <c r="AB27" s="21">
        <f t="shared" si="31"/>
        <v>0</v>
      </c>
      <c r="AC27" s="21">
        <f t="shared" si="31"/>
        <v>0</v>
      </c>
      <c r="AD27" s="21">
        <f t="shared" si="31"/>
        <v>0</v>
      </c>
      <c r="AE27" s="21">
        <f t="shared" si="31"/>
        <v>0</v>
      </c>
      <c r="AF27" s="21">
        <f t="shared" si="31"/>
        <v>0</v>
      </c>
      <c r="AG27" s="21">
        <f t="shared" si="31"/>
        <v>0</v>
      </c>
      <c r="AH27" s="21">
        <f>SUM(AH8:AH26)</f>
        <v>0</v>
      </c>
      <c r="AI27" s="21">
        <f>SUM(AI8:AI26)</f>
        <v>0</v>
      </c>
      <c r="AK27" s="21">
        <f>SUM(AK8:AK26)</f>
        <v>0</v>
      </c>
      <c r="AL27" s="21">
        <f t="shared" ref="AL27:AX27" si="32">SUM(AL8:AL26)</f>
        <v>0</v>
      </c>
      <c r="AM27" s="21">
        <f t="shared" si="32"/>
        <v>0</v>
      </c>
      <c r="AN27" s="21">
        <f t="shared" si="32"/>
        <v>0</v>
      </c>
      <c r="AO27" s="21">
        <f t="shared" si="32"/>
        <v>0</v>
      </c>
      <c r="AP27" s="21">
        <f t="shared" si="32"/>
        <v>0</v>
      </c>
      <c r="AQ27" s="21">
        <f t="shared" si="32"/>
        <v>0</v>
      </c>
      <c r="AR27" s="21">
        <f t="shared" si="32"/>
        <v>0</v>
      </c>
      <c r="AS27" s="21">
        <f t="shared" si="32"/>
        <v>0</v>
      </c>
      <c r="AT27" s="21">
        <f t="shared" si="32"/>
        <v>0</v>
      </c>
      <c r="AU27" s="21">
        <f t="shared" si="32"/>
        <v>0</v>
      </c>
      <c r="AV27" s="21">
        <f t="shared" si="32"/>
        <v>0</v>
      </c>
      <c r="AW27" s="21">
        <f t="shared" si="32"/>
        <v>0</v>
      </c>
      <c r="AX27" s="21">
        <f t="shared" si="32"/>
        <v>0</v>
      </c>
      <c r="AY27" s="21">
        <f>SUM(AY8:AY26)</f>
        <v>0</v>
      </c>
      <c r="AZ27" s="21">
        <f>SUM(AZ8:AZ26)</f>
        <v>0</v>
      </c>
      <c r="BB27" s="21">
        <f>SUM(BB8:BB26)</f>
        <v>0</v>
      </c>
      <c r="BC27" s="21">
        <f t="shared" ref="BC27:BO27" si="33">SUM(BC8:BC26)</f>
        <v>0</v>
      </c>
      <c r="BD27" s="21">
        <f t="shared" si="33"/>
        <v>0</v>
      </c>
      <c r="BE27" s="21">
        <f t="shared" si="33"/>
        <v>0</v>
      </c>
      <c r="BF27" s="21">
        <f t="shared" si="33"/>
        <v>0</v>
      </c>
      <c r="BG27" s="21">
        <f t="shared" si="33"/>
        <v>0</v>
      </c>
      <c r="BH27" s="21">
        <f t="shared" si="33"/>
        <v>0</v>
      </c>
      <c r="BI27" s="21">
        <f t="shared" si="33"/>
        <v>0</v>
      </c>
      <c r="BJ27" s="21">
        <f t="shared" si="33"/>
        <v>0</v>
      </c>
      <c r="BK27" s="21">
        <f t="shared" si="33"/>
        <v>0</v>
      </c>
      <c r="BL27" s="21">
        <f t="shared" si="33"/>
        <v>0</v>
      </c>
      <c r="BM27" s="21">
        <f t="shared" si="33"/>
        <v>0</v>
      </c>
      <c r="BN27" s="21">
        <f t="shared" si="33"/>
        <v>0</v>
      </c>
      <c r="BO27" s="21">
        <f t="shared" si="33"/>
        <v>0</v>
      </c>
      <c r="BP27" s="21">
        <f>SUM(BP8:BP26)</f>
        <v>0</v>
      </c>
      <c r="BQ27" s="21">
        <f>SUM(BQ8:BQ26)</f>
        <v>0</v>
      </c>
      <c r="BS27" s="21">
        <f>SUM(BS8:BS26)</f>
        <v>0</v>
      </c>
      <c r="BT27" s="21">
        <f t="shared" ref="BT27:CF27" si="34">SUM(BT8:BT26)</f>
        <v>0</v>
      </c>
      <c r="BU27" s="21">
        <f t="shared" si="34"/>
        <v>0</v>
      </c>
      <c r="BV27" s="21">
        <f t="shared" si="34"/>
        <v>0</v>
      </c>
      <c r="BW27" s="21">
        <f t="shared" si="34"/>
        <v>0</v>
      </c>
      <c r="BX27" s="21">
        <f t="shared" si="34"/>
        <v>0</v>
      </c>
      <c r="BY27" s="21">
        <f t="shared" si="34"/>
        <v>0</v>
      </c>
      <c r="BZ27" s="21">
        <f t="shared" si="34"/>
        <v>0</v>
      </c>
      <c r="CA27" s="21">
        <f t="shared" si="34"/>
        <v>0</v>
      </c>
      <c r="CB27" s="21">
        <f t="shared" si="34"/>
        <v>0</v>
      </c>
      <c r="CC27" s="21">
        <f t="shared" si="34"/>
        <v>0</v>
      </c>
      <c r="CD27" s="21">
        <f t="shared" si="34"/>
        <v>0</v>
      </c>
      <c r="CE27" s="21">
        <f t="shared" si="34"/>
        <v>0</v>
      </c>
      <c r="CF27" s="21">
        <f t="shared" si="34"/>
        <v>0</v>
      </c>
      <c r="CG27" s="21">
        <f>SUM(CG8:CG26)</f>
        <v>0</v>
      </c>
      <c r="CH27" s="21">
        <f>SUM(CH8:CH26)</f>
        <v>0</v>
      </c>
      <c r="CJ27" s="21">
        <f>SUM(CJ8:CJ26)</f>
        <v>0</v>
      </c>
      <c r="CK27" s="21">
        <f t="shared" ref="CK27:CW27" si="35">SUM(CK8:CK26)</f>
        <v>0</v>
      </c>
      <c r="CL27" s="21">
        <f t="shared" si="35"/>
        <v>0</v>
      </c>
      <c r="CM27" s="21">
        <f t="shared" si="35"/>
        <v>0</v>
      </c>
      <c r="CN27" s="21">
        <f t="shared" si="35"/>
        <v>0</v>
      </c>
      <c r="CO27" s="21">
        <f t="shared" si="35"/>
        <v>0</v>
      </c>
      <c r="CP27" s="21">
        <f t="shared" si="35"/>
        <v>0</v>
      </c>
      <c r="CQ27" s="21">
        <f t="shared" si="35"/>
        <v>0</v>
      </c>
      <c r="CR27" s="21">
        <f t="shared" si="35"/>
        <v>0</v>
      </c>
      <c r="CS27" s="21">
        <f t="shared" si="35"/>
        <v>0</v>
      </c>
      <c r="CT27" s="21">
        <f t="shared" si="35"/>
        <v>0</v>
      </c>
      <c r="CU27" s="21">
        <f t="shared" si="35"/>
        <v>0</v>
      </c>
      <c r="CV27" s="21">
        <f t="shared" si="35"/>
        <v>0</v>
      </c>
      <c r="CW27" s="21">
        <f t="shared" si="35"/>
        <v>0</v>
      </c>
      <c r="CX27" s="21">
        <f>SUM(CX8:CX26)</f>
        <v>0</v>
      </c>
      <c r="CY27" s="21">
        <f>SUM(CY8:CY26)</f>
        <v>0</v>
      </c>
      <c r="DA27" s="21">
        <f>SUM(DA8:DA26)</f>
        <v>0</v>
      </c>
      <c r="DB27" s="21">
        <f t="shared" ref="DB27:DN27" si="36">SUM(DB8:DB26)</f>
        <v>0</v>
      </c>
      <c r="DC27" s="21">
        <f t="shared" si="36"/>
        <v>0</v>
      </c>
      <c r="DD27" s="21">
        <f t="shared" si="36"/>
        <v>0</v>
      </c>
      <c r="DE27" s="21">
        <f t="shared" si="36"/>
        <v>0</v>
      </c>
      <c r="DF27" s="21">
        <f t="shared" si="36"/>
        <v>0</v>
      </c>
      <c r="DG27" s="21">
        <f t="shared" si="36"/>
        <v>0</v>
      </c>
      <c r="DH27" s="21">
        <f t="shared" si="36"/>
        <v>0</v>
      </c>
      <c r="DI27" s="21">
        <f t="shared" si="36"/>
        <v>0</v>
      </c>
      <c r="DJ27" s="21">
        <f t="shared" si="36"/>
        <v>0</v>
      </c>
      <c r="DK27" s="21">
        <f t="shared" si="36"/>
        <v>0</v>
      </c>
      <c r="DL27" s="21">
        <f t="shared" si="36"/>
        <v>0</v>
      </c>
      <c r="DM27" s="21">
        <f t="shared" si="36"/>
        <v>0</v>
      </c>
      <c r="DN27" s="21">
        <f t="shared" si="36"/>
        <v>0</v>
      </c>
      <c r="DO27" s="21">
        <f>SUM(DO8:DO26)</f>
        <v>0</v>
      </c>
      <c r="DP27" s="21">
        <f>SUM(DP8:DP26)</f>
        <v>0</v>
      </c>
      <c r="DR27" s="21">
        <f>SUM(DR8:DR26)</f>
        <v>0</v>
      </c>
      <c r="DS27" s="21">
        <f t="shared" ref="DS27:EE27" si="37">SUM(DS8:DS26)</f>
        <v>0</v>
      </c>
      <c r="DT27" s="21">
        <f t="shared" si="37"/>
        <v>0</v>
      </c>
      <c r="DU27" s="21">
        <f t="shared" si="37"/>
        <v>0</v>
      </c>
      <c r="DV27" s="21">
        <f t="shared" si="37"/>
        <v>0</v>
      </c>
      <c r="DW27" s="21">
        <f t="shared" si="37"/>
        <v>0</v>
      </c>
      <c r="DX27" s="21">
        <f t="shared" si="37"/>
        <v>0</v>
      </c>
      <c r="DY27" s="21">
        <f t="shared" si="37"/>
        <v>0</v>
      </c>
      <c r="DZ27" s="21">
        <f t="shared" si="37"/>
        <v>0</v>
      </c>
      <c r="EA27" s="21">
        <f t="shared" si="37"/>
        <v>0</v>
      </c>
      <c r="EB27" s="21">
        <f t="shared" si="37"/>
        <v>0</v>
      </c>
      <c r="EC27" s="21">
        <f t="shared" si="37"/>
        <v>0</v>
      </c>
      <c r="ED27" s="21">
        <f t="shared" si="37"/>
        <v>0</v>
      </c>
      <c r="EE27" s="21">
        <f t="shared" si="37"/>
        <v>0</v>
      </c>
      <c r="EF27" s="21">
        <f>SUM(EF8:EF26)</f>
        <v>0</v>
      </c>
      <c r="EG27" s="21">
        <f>SUM(EG8:EG26)</f>
        <v>0</v>
      </c>
      <c r="EI27" s="21">
        <f>SUM(EI8:EI26)</f>
        <v>0</v>
      </c>
      <c r="EJ27" s="21">
        <f t="shared" ref="EJ27:EV27" si="38">SUM(EJ8:EJ26)</f>
        <v>0</v>
      </c>
      <c r="EK27" s="21">
        <f t="shared" si="38"/>
        <v>0</v>
      </c>
      <c r="EL27" s="21">
        <f t="shared" si="38"/>
        <v>0</v>
      </c>
      <c r="EM27" s="21">
        <f t="shared" si="38"/>
        <v>0</v>
      </c>
      <c r="EN27" s="21">
        <f t="shared" si="38"/>
        <v>0</v>
      </c>
      <c r="EO27" s="21">
        <f t="shared" si="38"/>
        <v>0</v>
      </c>
      <c r="EP27" s="21">
        <f t="shared" si="38"/>
        <v>0</v>
      </c>
      <c r="EQ27" s="21">
        <f t="shared" si="38"/>
        <v>0</v>
      </c>
      <c r="ER27" s="21">
        <f t="shared" si="38"/>
        <v>0</v>
      </c>
      <c r="ES27" s="21">
        <f t="shared" si="38"/>
        <v>0</v>
      </c>
      <c r="ET27" s="21">
        <f t="shared" si="38"/>
        <v>0</v>
      </c>
      <c r="EU27" s="21">
        <f t="shared" si="38"/>
        <v>0</v>
      </c>
      <c r="EV27" s="21">
        <f t="shared" si="38"/>
        <v>0</v>
      </c>
      <c r="EW27" s="21">
        <f>SUM(EW8:EW26)</f>
        <v>0</v>
      </c>
      <c r="EX27" s="21">
        <f>SUM(EX8:EX26)</f>
        <v>0</v>
      </c>
      <c r="EZ27" s="21">
        <f>SUM(EZ8:EZ26)</f>
        <v>0</v>
      </c>
      <c r="FA27" s="21">
        <f t="shared" ref="FA27:FM27" si="39">SUM(FA8:FA26)</f>
        <v>0</v>
      </c>
      <c r="FB27" s="21">
        <f t="shared" si="39"/>
        <v>0</v>
      </c>
      <c r="FC27" s="21">
        <f t="shared" si="39"/>
        <v>0</v>
      </c>
      <c r="FD27" s="21">
        <f t="shared" si="39"/>
        <v>0</v>
      </c>
      <c r="FE27" s="21">
        <f t="shared" si="39"/>
        <v>0</v>
      </c>
      <c r="FF27" s="21">
        <f t="shared" si="39"/>
        <v>0</v>
      </c>
      <c r="FG27" s="21">
        <f t="shared" si="39"/>
        <v>0</v>
      </c>
      <c r="FH27" s="21">
        <f t="shared" si="39"/>
        <v>0</v>
      </c>
      <c r="FI27" s="21">
        <f t="shared" si="39"/>
        <v>0</v>
      </c>
      <c r="FJ27" s="21">
        <f t="shared" si="39"/>
        <v>0</v>
      </c>
      <c r="FK27" s="21">
        <f t="shared" si="39"/>
        <v>0</v>
      </c>
      <c r="FL27" s="21">
        <f t="shared" si="39"/>
        <v>0</v>
      </c>
      <c r="FM27" s="21">
        <f t="shared" si="39"/>
        <v>0</v>
      </c>
      <c r="FN27" s="21">
        <f>SUM(FN8:FN26)</f>
        <v>0</v>
      </c>
      <c r="FO27" s="21">
        <f>SUM(FO8:FO26)</f>
        <v>0</v>
      </c>
      <c r="FQ27" s="21">
        <f>SUM(FQ8:FQ26)</f>
        <v>0</v>
      </c>
      <c r="FR27" s="21">
        <f t="shared" ref="FR27:GD27" si="40">SUM(FR8:FR26)</f>
        <v>0</v>
      </c>
      <c r="FS27" s="21">
        <f t="shared" si="40"/>
        <v>0</v>
      </c>
      <c r="FT27" s="21">
        <f t="shared" si="40"/>
        <v>0</v>
      </c>
      <c r="FU27" s="21">
        <f t="shared" si="40"/>
        <v>0</v>
      </c>
      <c r="FV27" s="21">
        <f t="shared" si="40"/>
        <v>0</v>
      </c>
      <c r="FW27" s="21">
        <f t="shared" si="40"/>
        <v>0</v>
      </c>
      <c r="FX27" s="21">
        <f t="shared" si="40"/>
        <v>0</v>
      </c>
      <c r="FY27" s="21">
        <f t="shared" si="40"/>
        <v>0</v>
      </c>
      <c r="FZ27" s="21">
        <f t="shared" si="40"/>
        <v>0</v>
      </c>
      <c r="GA27" s="21">
        <f t="shared" si="40"/>
        <v>0</v>
      </c>
      <c r="GB27" s="21">
        <f t="shared" si="40"/>
        <v>0</v>
      </c>
      <c r="GC27" s="21">
        <f t="shared" si="40"/>
        <v>0</v>
      </c>
      <c r="GD27" s="21">
        <f t="shared" si="40"/>
        <v>0</v>
      </c>
      <c r="GE27" s="21">
        <f>SUM(GE8:GE26)</f>
        <v>0</v>
      </c>
      <c r="GF27" s="21">
        <f>SUM(GF8:GF26)</f>
        <v>0</v>
      </c>
      <c r="GH27" s="21">
        <f>SUM(GH8:GH26)</f>
        <v>0</v>
      </c>
      <c r="GI27" s="21">
        <f t="shared" ref="GI27:GU27" si="41">SUM(GI8:GI26)</f>
        <v>0</v>
      </c>
      <c r="GJ27" s="21">
        <f t="shared" si="41"/>
        <v>0</v>
      </c>
      <c r="GK27" s="21">
        <f t="shared" si="41"/>
        <v>0</v>
      </c>
      <c r="GL27" s="21">
        <f t="shared" si="41"/>
        <v>0</v>
      </c>
      <c r="GM27" s="21">
        <f t="shared" si="41"/>
        <v>0</v>
      </c>
      <c r="GN27" s="21">
        <f t="shared" si="41"/>
        <v>0</v>
      </c>
      <c r="GO27" s="21">
        <f t="shared" si="41"/>
        <v>0</v>
      </c>
      <c r="GP27" s="21">
        <f t="shared" si="41"/>
        <v>0</v>
      </c>
      <c r="GQ27" s="21">
        <f t="shared" si="41"/>
        <v>0</v>
      </c>
      <c r="GR27" s="21">
        <f t="shared" si="41"/>
        <v>0</v>
      </c>
      <c r="GS27" s="21">
        <f t="shared" si="41"/>
        <v>0</v>
      </c>
      <c r="GT27" s="21">
        <f t="shared" si="41"/>
        <v>0</v>
      </c>
      <c r="GU27" s="21">
        <f t="shared" si="41"/>
        <v>0</v>
      </c>
      <c r="GV27" s="21">
        <f>SUM(GV8:GV26)</f>
        <v>0</v>
      </c>
      <c r="GW27" s="21">
        <f>SUM(GW8:GW26)</f>
        <v>0</v>
      </c>
      <c r="GY27" s="21">
        <f>SUM(GY8:GY26)</f>
        <v>0</v>
      </c>
      <c r="GZ27" s="21">
        <f t="shared" ref="GZ27:HL27" si="42">SUM(GZ8:GZ26)</f>
        <v>0</v>
      </c>
      <c r="HA27" s="21">
        <f t="shared" si="42"/>
        <v>0</v>
      </c>
      <c r="HB27" s="21">
        <f t="shared" si="42"/>
        <v>0</v>
      </c>
      <c r="HC27" s="21">
        <f t="shared" si="42"/>
        <v>0</v>
      </c>
      <c r="HD27" s="21">
        <f t="shared" si="42"/>
        <v>0</v>
      </c>
      <c r="HE27" s="21">
        <f t="shared" si="42"/>
        <v>0</v>
      </c>
      <c r="HF27" s="21">
        <f t="shared" si="42"/>
        <v>0</v>
      </c>
      <c r="HG27" s="21">
        <f t="shared" si="42"/>
        <v>0</v>
      </c>
      <c r="HH27" s="21">
        <f t="shared" si="42"/>
        <v>0</v>
      </c>
      <c r="HI27" s="21">
        <f t="shared" si="42"/>
        <v>0</v>
      </c>
      <c r="HJ27" s="21">
        <f t="shared" si="42"/>
        <v>0</v>
      </c>
      <c r="HK27" s="21">
        <f t="shared" si="42"/>
        <v>0</v>
      </c>
      <c r="HL27" s="21">
        <f t="shared" si="42"/>
        <v>0</v>
      </c>
      <c r="HM27" s="21">
        <f>SUM(HM8:HM26)</f>
        <v>0</v>
      </c>
      <c r="HN27" s="21">
        <f>SUM(HN8:HN26)</f>
        <v>0</v>
      </c>
      <c r="HP27" s="21">
        <f>SUM(HP8:HP26)</f>
        <v>0</v>
      </c>
      <c r="HQ27" s="21">
        <f t="shared" ref="HQ27:IC27" si="43">SUM(HQ8:HQ26)</f>
        <v>0</v>
      </c>
      <c r="HR27" s="21">
        <f t="shared" si="43"/>
        <v>0</v>
      </c>
      <c r="HS27" s="21">
        <f t="shared" si="43"/>
        <v>0</v>
      </c>
      <c r="HT27" s="21">
        <f t="shared" si="43"/>
        <v>0</v>
      </c>
      <c r="HU27" s="21">
        <f t="shared" si="43"/>
        <v>0</v>
      </c>
      <c r="HV27" s="21">
        <f t="shared" si="43"/>
        <v>0</v>
      </c>
      <c r="HW27" s="21">
        <f t="shared" si="43"/>
        <v>0</v>
      </c>
      <c r="HX27" s="21">
        <f t="shared" si="43"/>
        <v>0</v>
      </c>
      <c r="HY27" s="21">
        <f t="shared" si="43"/>
        <v>0</v>
      </c>
      <c r="HZ27" s="21">
        <f t="shared" si="43"/>
        <v>0</v>
      </c>
      <c r="IA27" s="21">
        <f t="shared" si="43"/>
        <v>0</v>
      </c>
      <c r="IB27" s="21">
        <f t="shared" si="43"/>
        <v>0</v>
      </c>
      <c r="IC27" s="21">
        <f t="shared" si="43"/>
        <v>0</v>
      </c>
      <c r="ID27" s="21">
        <f>SUM(ID8:ID26)</f>
        <v>0</v>
      </c>
      <c r="IE27" s="21">
        <f>SUM(IE8:IE26)</f>
        <v>0</v>
      </c>
      <c r="IG27" s="21">
        <f>SUM(IG8:IG26)</f>
        <v>0</v>
      </c>
      <c r="IH27" s="21">
        <f t="shared" ref="IH27:IT27" si="44">SUM(IH8:IH26)</f>
        <v>0</v>
      </c>
      <c r="II27" s="21">
        <f t="shared" si="44"/>
        <v>0</v>
      </c>
      <c r="IJ27" s="21">
        <f t="shared" si="44"/>
        <v>0</v>
      </c>
      <c r="IK27" s="21">
        <f t="shared" si="44"/>
        <v>0</v>
      </c>
      <c r="IL27" s="21">
        <f t="shared" si="44"/>
        <v>0</v>
      </c>
      <c r="IM27" s="21">
        <f t="shared" si="44"/>
        <v>0</v>
      </c>
      <c r="IN27" s="21">
        <f t="shared" si="44"/>
        <v>0</v>
      </c>
      <c r="IO27" s="21">
        <f t="shared" si="44"/>
        <v>0</v>
      </c>
      <c r="IP27" s="21">
        <f t="shared" si="44"/>
        <v>0</v>
      </c>
      <c r="IQ27" s="21">
        <f t="shared" si="44"/>
        <v>0</v>
      </c>
      <c r="IR27" s="21">
        <f t="shared" si="44"/>
        <v>0</v>
      </c>
      <c r="IS27" s="21">
        <f t="shared" si="44"/>
        <v>0</v>
      </c>
      <c r="IT27" s="21">
        <f t="shared" si="44"/>
        <v>0</v>
      </c>
      <c r="IU27" s="21">
        <f>SUM(IU8:IU26)</f>
        <v>0</v>
      </c>
      <c r="IV27" s="21">
        <f>SUM(IV8:IV26)</f>
        <v>0</v>
      </c>
    </row>
    <row r="28" spans="1:256" s="23" customFormat="1" ht="10.199999999999999" x14ac:dyDescent="0.2">
      <c r="B28" s="46"/>
      <c r="S28" s="24"/>
      <c r="AJ28" s="24"/>
      <c r="BA28" s="24"/>
      <c r="BR28" s="24"/>
      <c r="CI28" s="24"/>
      <c r="CZ28" s="24"/>
      <c r="DQ28" s="24"/>
      <c r="EH28" s="24"/>
      <c r="EY28" s="24"/>
      <c r="FP28" s="24"/>
      <c r="GG28" s="24"/>
      <c r="GX28" s="24"/>
      <c r="HO28" s="24"/>
      <c r="IF28" s="24"/>
    </row>
    <row r="29" spans="1:256" s="23" customFormat="1" ht="10.199999999999999" x14ac:dyDescent="0.2">
      <c r="B29" s="46"/>
      <c r="S29" s="24"/>
      <c r="AJ29" s="24"/>
      <c r="BA29" s="24"/>
      <c r="BR29" s="24"/>
      <c r="CI29" s="24"/>
      <c r="CZ29" s="24"/>
      <c r="DQ29" s="24"/>
      <c r="EH29" s="24"/>
      <c r="EY29" s="24"/>
      <c r="FP29" s="24"/>
      <c r="GG29" s="24"/>
      <c r="GX29" s="24"/>
      <c r="HO29" s="24"/>
      <c r="IF29" s="24"/>
    </row>
    <row r="30" spans="1:256" s="23" customFormat="1" x14ac:dyDescent="0.25">
      <c r="A30" s="65" t="s">
        <v>49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AJ30" s="24"/>
      <c r="BA30" s="24"/>
      <c r="BR30" s="24"/>
      <c r="CI30" s="24"/>
      <c r="CZ30" s="24"/>
      <c r="DQ30" s="24"/>
      <c r="EH30" s="24"/>
      <c r="EY30" s="24"/>
      <c r="FP30" s="24"/>
      <c r="GG30" s="24"/>
      <c r="GX30" s="24"/>
      <c r="HO30" s="24"/>
      <c r="IF30" s="24"/>
    </row>
    <row r="31" spans="1:256" s="23" customFormat="1" x14ac:dyDescent="0.25">
      <c r="A31" s="26" t="s">
        <v>19</v>
      </c>
      <c r="B31" s="58" t="s">
        <v>18</v>
      </c>
      <c r="C31" s="13" t="s">
        <v>20</v>
      </c>
      <c r="D31" s="11" t="s">
        <v>21</v>
      </c>
      <c r="E31" s="11" t="s">
        <v>22</v>
      </c>
      <c r="F31" s="11" t="s">
        <v>23</v>
      </c>
      <c r="G31" s="11" t="s">
        <v>24</v>
      </c>
      <c r="H31" s="11" t="s">
        <v>25</v>
      </c>
      <c r="I31" s="11" t="s">
        <v>26</v>
      </c>
      <c r="J31" s="11" t="s">
        <v>27</v>
      </c>
      <c r="K31" s="11" t="s">
        <v>28</v>
      </c>
      <c r="L31" s="11" t="s">
        <v>29</v>
      </c>
      <c r="M31" s="11" t="s">
        <v>30</v>
      </c>
      <c r="N31" s="11" t="s">
        <v>31</v>
      </c>
      <c r="O31" s="11" t="s">
        <v>32</v>
      </c>
      <c r="P31" s="12" t="s">
        <v>33</v>
      </c>
      <c r="Q31" s="11" t="s">
        <v>34</v>
      </c>
      <c r="R31" s="27" t="s">
        <v>35</v>
      </c>
      <c r="S31" s="24"/>
      <c r="T31" s="28" t="s">
        <v>50</v>
      </c>
      <c r="U31" s="29" t="s">
        <v>51</v>
      </c>
      <c r="AJ31" s="24"/>
      <c r="BA31" s="24"/>
      <c r="BR31" s="24"/>
      <c r="CI31" s="24"/>
      <c r="CZ31" s="24"/>
      <c r="DQ31" s="24"/>
      <c r="EH31" s="24"/>
      <c r="EY31" s="24"/>
      <c r="FP31" s="24"/>
      <c r="GG31" s="24"/>
      <c r="GX31" s="24"/>
      <c r="HO31" s="24"/>
      <c r="IF31" s="24"/>
    </row>
    <row r="32" spans="1:256" s="23" customFormat="1" x14ac:dyDescent="0.25">
      <c r="A32" s="30" t="str">
        <f t="shared" ref="A32:B50" si="45">IF(A8="","",A8)</f>
        <v>JESUS MENDOZA EQUIPO6</v>
      </c>
      <c r="B32" s="47">
        <f t="shared" si="45"/>
        <v>5</v>
      </c>
      <c r="C32" s="16">
        <f t="shared" ref="C32:C50" si="46">+C8+T8+AK8+BB8+BS8+CJ8+DA8+DR8+EI8+EZ8+FQ8+GH8+GY8+HP8+IG8</f>
        <v>4</v>
      </c>
      <c r="D32" s="16">
        <f t="shared" ref="D32:D50" si="47">+D8+U8+AL8+BC8+BT8+CK8+DB8+DS8+EJ8+FA8+FR8+GI8+GZ8+HQ8+IH8</f>
        <v>2</v>
      </c>
      <c r="E32" s="16">
        <f t="shared" ref="E32:E50" si="48">+E8+V8+AM8+BD8+BU8+CL8+DC8+DT8+EK8+FB8+FS8+GJ8+HA8+HR8+II8</f>
        <v>1</v>
      </c>
      <c r="F32" s="16">
        <f t="shared" ref="F32:F50" si="49">+F8+W8+AN8+BE8+BV8+CM8+DD8+DU8+EL8+FC8+FT8+GK8+HB8+HS8+IJ8</f>
        <v>0</v>
      </c>
      <c r="G32" s="16">
        <f t="shared" ref="G32:G50" si="50">+G8+X8+AO8+BF8+BW8+CN8+DE8+DV8+EM8+FD8+FU8+GL8+HC8+HT8+IK8</f>
        <v>0</v>
      </c>
      <c r="H32" s="16">
        <f t="shared" ref="H32:H50" si="51">+H8+Y8+AP8+BG8+BX8+CO8+DF8+DW8+EN8+FE8+FV8+GM8+HD8+HU8+IL8</f>
        <v>0</v>
      </c>
      <c r="I32" s="16">
        <f t="shared" ref="I32:I50" si="52">+I8+Z8+AQ8+BH8+BY8+CP8+DG8+DX8+EO8+FF8+FW8+GN8+HE8+HV8+IM8</f>
        <v>0</v>
      </c>
      <c r="J32" s="16">
        <f t="shared" ref="J32:J50" si="53">+J8+AA8+AR8+BI8+BZ8+CQ8+DH8+DY8+EP8+FG8+FX8+GO8+HF8+HW8+IN8</f>
        <v>0</v>
      </c>
      <c r="K32" s="16">
        <f t="shared" ref="K32:K50" si="54">+K8+AB8+AS8+BJ8+CA8+CR8+DI8+DZ8+EQ8+FH8+FY8+GP8+HG8+HX8+IO8</f>
        <v>0</v>
      </c>
      <c r="L32" s="16">
        <f t="shared" ref="L32:L50" si="55">+L8+AC8+AT8+BK8+CB8+CS8+DJ8+EA8+ER8+FI8+FZ8+GQ8+HH8+HY8+IP8</f>
        <v>1</v>
      </c>
      <c r="M32" s="16">
        <f t="shared" ref="M32:M50" si="56">+M8+AD8+AU8+BL8+CC8+CT8+DK8+EB8+ES8+FJ8+GA8+GR8+HI8+HZ8+IQ8</f>
        <v>0</v>
      </c>
      <c r="N32" s="16">
        <f t="shared" ref="N32:N50" si="57">+N8+AE8+AV8+BM8+CD8+CU8+DL8+EC8+ET8+FK8+GB8+GS8+HJ8+IA8+IR8</f>
        <v>0</v>
      </c>
      <c r="O32" s="16">
        <f t="shared" ref="O32:O50" si="58">+O8+AF8+AW8+BN8+CE8+CV8+DM8+ED8+EU8+FL8+GC8+GT8+HK8+IB8+IS8</f>
        <v>0</v>
      </c>
      <c r="P32" s="16">
        <f t="shared" ref="P32:P50" si="59">+P8+AG8+AX8+BO8+CF8+CW8+DN8+EE8+EV8+FM8+GD8+GU8+HL8+IC8+IT8</f>
        <v>0</v>
      </c>
      <c r="Q32" s="16">
        <f t="shared" ref="Q32:Q50" si="60">+Q8+AH8+AY8+BP8+CG8+CX8+DO8+EF8+EW8+FN8+GE8+GV8+HM8+ID8+IU8</f>
        <v>1</v>
      </c>
      <c r="R32" s="16">
        <f t="shared" ref="R32:R50" si="61">+R8+AI8+AZ8+BQ8+CH8+CY8+DP8+EG8+EX8+FO8+GF8+GW8+HN8+IE8+IV8</f>
        <v>4</v>
      </c>
      <c r="S32" s="24"/>
      <c r="T32" s="31">
        <f t="shared" ref="T32:T51" si="62">IF(C32=0,0,E32*1000/C32)</f>
        <v>250</v>
      </c>
      <c r="U32" s="31">
        <f t="shared" ref="U32:U51" si="63">IF(C32=0,0,Q32*1000/C32)</f>
        <v>250</v>
      </c>
      <c r="AJ32" s="24"/>
      <c r="BA32" s="24"/>
      <c r="BR32" s="24"/>
      <c r="CI32" s="24"/>
      <c r="CZ32" s="24"/>
      <c r="DQ32" s="24"/>
      <c r="EH32" s="24"/>
      <c r="EY32" s="24"/>
      <c r="FP32" s="24"/>
      <c r="GG32" s="24"/>
      <c r="GX32" s="24"/>
      <c r="HO32" s="24"/>
      <c r="IF32" s="24"/>
    </row>
    <row r="33" spans="1:240" s="23" customFormat="1" x14ac:dyDescent="0.25">
      <c r="A33" s="30" t="str">
        <f t="shared" si="45"/>
        <v>JOSEPH MENDOZA</v>
      </c>
      <c r="B33" s="47">
        <f t="shared" si="45"/>
        <v>6</v>
      </c>
      <c r="C33" s="16">
        <f t="shared" si="46"/>
        <v>3</v>
      </c>
      <c r="D33" s="16">
        <f t="shared" si="47"/>
        <v>1</v>
      </c>
      <c r="E33" s="16">
        <f t="shared" si="48"/>
        <v>1</v>
      </c>
      <c r="F33" s="16">
        <f t="shared" si="49"/>
        <v>1</v>
      </c>
      <c r="G33" s="16">
        <f t="shared" si="50"/>
        <v>0</v>
      </c>
      <c r="H33" s="16">
        <f t="shared" si="51"/>
        <v>0</v>
      </c>
      <c r="I33" s="16">
        <f t="shared" si="52"/>
        <v>0</v>
      </c>
      <c r="J33" s="16">
        <f t="shared" si="53"/>
        <v>0</v>
      </c>
      <c r="K33" s="16">
        <f t="shared" si="54"/>
        <v>1</v>
      </c>
      <c r="L33" s="16">
        <f t="shared" si="55"/>
        <v>0</v>
      </c>
      <c r="M33" s="16">
        <f t="shared" si="56"/>
        <v>0</v>
      </c>
      <c r="N33" s="16">
        <f t="shared" si="57"/>
        <v>0</v>
      </c>
      <c r="O33" s="16">
        <f t="shared" si="58"/>
        <v>0</v>
      </c>
      <c r="P33" s="16">
        <f t="shared" si="59"/>
        <v>0</v>
      </c>
      <c r="Q33" s="16">
        <f t="shared" si="60"/>
        <v>2</v>
      </c>
      <c r="R33" s="16">
        <f t="shared" si="61"/>
        <v>4</v>
      </c>
      <c r="S33" s="24"/>
      <c r="T33" s="31">
        <f t="shared" si="62"/>
        <v>333.33333333333331</v>
      </c>
      <c r="U33" s="31">
        <f t="shared" si="63"/>
        <v>666.66666666666663</v>
      </c>
      <c r="AJ33" s="24"/>
      <c r="BA33" s="24"/>
      <c r="BR33" s="24"/>
      <c r="CI33" s="24"/>
      <c r="CZ33" s="24"/>
      <c r="DQ33" s="24"/>
      <c r="EH33" s="24"/>
      <c r="EY33" s="24"/>
      <c r="FP33" s="24"/>
      <c r="GG33" s="24"/>
      <c r="GX33" s="24"/>
      <c r="HO33" s="24"/>
      <c r="IF33" s="24"/>
    </row>
    <row r="34" spans="1:240" s="23" customFormat="1" x14ac:dyDescent="0.25">
      <c r="A34" s="30" t="str">
        <f t="shared" si="45"/>
        <v>ABRAHAN RODRIGUZ</v>
      </c>
      <c r="B34" s="47" t="str">
        <f t="shared" si="45"/>
        <v/>
      </c>
      <c r="C34" s="16">
        <f t="shared" si="46"/>
        <v>4</v>
      </c>
      <c r="D34" s="16">
        <f t="shared" si="47"/>
        <v>0</v>
      </c>
      <c r="E34" s="16">
        <f t="shared" si="48"/>
        <v>1</v>
      </c>
      <c r="F34" s="16">
        <f t="shared" si="49"/>
        <v>0</v>
      </c>
      <c r="G34" s="16">
        <f t="shared" si="50"/>
        <v>0</v>
      </c>
      <c r="H34" s="16">
        <f t="shared" si="51"/>
        <v>0</v>
      </c>
      <c r="I34" s="16">
        <f t="shared" si="52"/>
        <v>0</v>
      </c>
      <c r="J34" s="16">
        <f t="shared" si="53"/>
        <v>0</v>
      </c>
      <c r="K34" s="16">
        <f t="shared" si="54"/>
        <v>0</v>
      </c>
      <c r="L34" s="16">
        <f t="shared" si="55"/>
        <v>0</v>
      </c>
      <c r="M34" s="16">
        <f t="shared" si="56"/>
        <v>0</v>
      </c>
      <c r="N34" s="16">
        <f t="shared" si="57"/>
        <v>0</v>
      </c>
      <c r="O34" s="16">
        <f t="shared" si="58"/>
        <v>0</v>
      </c>
      <c r="P34" s="16">
        <f t="shared" si="59"/>
        <v>0</v>
      </c>
      <c r="Q34" s="16">
        <f t="shared" si="60"/>
        <v>1</v>
      </c>
      <c r="R34" s="16">
        <f t="shared" si="61"/>
        <v>4</v>
      </c>
      <c r="S34" s="24"/>
      <c r="T34" s="31">
        <f t="shared" si="62"/>
        <v>250</v>
      </c>
      <c r="U34" s="31">
        <f t="shared" si="63"/>
        <v>250</v>
      </c>
      <c r="AJ34" s="24"/>
      <c r="BA34" s="24"/>
      <c r="BR34" s="24"/>
      <c r="CI34" s="24"/>
      <c r="CZ34" s="24"/>
      <c r="DQ34" s="24"/>
      <c r="EH34" s="24"/>
      <c r="EY34" s="24"/>
      <c r="FP34" s="24"/>
      <c r="GG34" s="24"/>
      <c r="GX34" s="24"/>
      <c r="HO34" s="24"/>
      <c r="IF34" s="24"/>
    </row>
    <row r="35" spans="1:240" s="23" customFormat="1" x14ac:dyDescent="0.25">
      <c r="A35" s="30" t="str">
        <f t="shared" si="45"/>
        <v>ALEXANDER HERNANDEZ</v>
      </c>
      <c r="B35" s="47" t="str">
        <f t="shared" si="45"/>
        <v/>
      </c>
      <c r="C35" s="16">
        <f t="shared" si="46"/>
        <v>0</v>
      </c>
      <c r="D35" s="16">
        <f t="shared" si="47"/>
        <v>1</v>
      </c>
      <c r="E35" s="16">
        <f t="shared" si="48"/>
        <v>0</v>
      </c>
      <c r="F35" s="16">
        <f t="shared" si="49"/>
        <v>0</v>
      </c>
      <c r="G35" s="16">
        <f t="shared" si="50"/>
        <v>0</v>
      </c>
      <c r="H35" s="16">
        <f t="shared" si="51"/>
        <v>0</v>
      </c>
      <c r="I35" s="16">
        <f t="shared" si="52"/>
        <v>1</v>
      </c>
      <c r="J35" s="16">
        <f t="shared" si="53"/>
        <v>0</v>
      </c>
      <c r="K35" s="16">
        <f t="shared" si="54"/>
        <v>3</v>
      </c>
      <c r="L35" s="16">
        <f t="shared" si="55"/>
        <v>3</v>
      </c>
      <c r="M35" s="16">
        <f t="shared" si="56"/>
        <v>0</v>
      </c>
      <c r="N35" s="16">
        <f t="shared" si="57"/>
        <v>0</v>
      </c>
      <c r="O35" s="16">
        <f t="shared" si="58"/>
        <v>0</v>
      </c>
      <c r="P35" s="16">
        <f t="shared" si="59"/>
        <v>0</v>
      </c>
      <c r="Q35" s="16">
        <f t="shared" si="60"/>
        <v>0</v>
      </c>
      <c r="R35" s="16">
        <f t="shared" si="61"/>
        <v>3</v>
      </c>
      <c r="S35" s="24"/>
      <c r="T35" s="31">
        <f t="shared" si="62"/>
        <v>0</v>
      </c>
      <c r="U35" s="31">
        <f t="shared" si="63"/>
        <v>0</v>
      </c>
      <c r="AJ35" s="24"/>
      <c r="BA35" s="24"/>
      <c r="BR35" s="24"/>
      <c r="CI35" s="24"/>
      <c r="CZ35" s="24"/>
      <c r="DQ35" s="24"/>
      <c r="EH35" s="24"/>
      <c r="EY35" s="24"/>
      <c r="FP35" s="24"/>
      <c r="GG35" s="24"/>
      <c r="GX35" s="24"/>
      <c r="HO35" s="24"/>
      <c r="IF35" s="24"/>
    </row>
    <row r="36" spans="1:240" s="23" customFormat="1" x14ac:dyDescent="0.25">
      <c r="A36" s="30" t="str">
        <f t="shared" si="45"/>
        <v>DANIEL LIENDO</v>
      </c>
      <c r="B36" s="47" t="str">
        <f t="shared" si="45"/>
        <v/>
      </c>
      <c r="C36" s="16">
        <f t="shared" si="46"/>
        <v>1</v>
      </c>
      <c r="D36" s="16">
        <f t="shared" si="47"/>
        <v>0</v>
      </c>
      <c r="E36" s="16">
        <f t="shared" si="48"/>
        <v>0</v>
      </c>
      <c r="F36" s="16">
        <f t="shared" si="49"/>
        <v>0</v>
      </c>
      <c r="G36" s="16">
        <f t="shared" si="50"/>
        <v>0</v>
      </c>
      <c r="H36" s="16">
        <f t="shared" si="51"/>
        <v>0</v>
      </c>
      <c r="I36" s="16">
        <f t="shared" si="52"/>
        <v>0</v>
      </c>
      <c r="J36" s="16">
        <f t="shared" si="53"/>
        <v>0</v>
      </c>
      <c r="K36" s="16">
        <f t="shared" si="54"/>
        <v>0</v>
      </c>
      <c r="L36" s="16">
        <f t="shared" si="55"/>
        <v>0</v>
      </c>
      <c r="M36" s="16">
        <f t="shared" si="56"/>
        <v>0</v>
      </c>
      <c r="N36" s="16">
        <f t="shared" si="57"/>
        <v>0</v>
      </c>
      <c r="O36" s="16">
        <f t="shared" si="58"/>
        <v>0</v>
      </c>
      <c r="P36" s="16">
        <f t="shared" si="59"/>
        <v>0</v>
      </c>
      <c r="Q36" s="16">
        <f t="shared" si="60"/>
        <v>0</v>
      </c>
      <c r="R36" s="16">
        <f t="shared" si="61"/>
        <v>1</v>
      </c>
      <c r="S36" s="24"/>
      <c r="T36" s="31">
        <f t="shared" si="62"/>
        <v>0</v>
      </c>
      <c r="U36" s="31">
        <f t="shared" si="63"/>
        <v>0</v>
      </c>
      <c r="AJ36" s="24"/>
      <c r="BA36" s="24"/>
      <c r="BR36" s="24"/>
      <c r="CI36" s="24"/>
      <c r="CZ36" s="24"/>
      <c r="DQ36" s="24"/>
      <c r="EH36" s="24"/>
      <c r="EY36" s="24"/>
      <c r="FP36" s="24"/>
      <c r="GG36" s="24"/>
      <c r="GX36" s="24"/>
      <c r="HO36" s="24"/>
      <c r="IF36" s="24"/>
    </row>
    <row r="37" spans="1:240" s="23" customFormat="1" x14ac:dyDescent="0.25">
      <c r="A37" s="30" t="str">
        <f t="shared" si="45"/>
        <v>SEBASTIAN MUJICA</v>
      </c>
      <c r="B37" s="47" t="str">
        <f t="shared" si="45"/>
        <v/>
      </c>
      <c r="C37" s="16">
        <f t="shared" si="46"/>
        <v>2</v>
      </c>
      <c r="D37" s="16">
        <f t="shared" si="47"/>
        <v>0</v>
      </c>
      <c r="E37" s="16">
        <f t="shared" si="48"/>
        <v>0</v>
      </c>
      <c r="F37" s="16">
        <f t="shared" si="49"/>
        <v>0</v>
      </c>
      <c r="G37" s="16">
        <f t="shared" si="50"/>
        <v>0</v>
      </c>
      <c r="H37" s="16">
        <f t="shared" si="51"/>
        <v>0</v>
      </c>
      <c r="I37" s="16">
        <f t="shared" si="52"/>
        <v>0</v>
      </c>
      <c r="J37" s="16">
        <f t="shared" si="53"/>
        <v>1</v>
      </c>
      <c r="K37" s="16">
        <f t="shared" si="54"/>
        <v>0</v>
      </c>
      <c r="L37" s="16">
        <f t="shared" si="55"/>
        <v>0</v>
      </c>
      <c r="M37" s="16">
        <f t="shared" si="56"/>
        <v>0</v>
      </c>
      <c r="N37" s="16">
        <f t="shared" si="57"/>
        <v>0</v>
      </c>
      <c r="O37" s="16">
        <f t="shared" si="58"/>
        <v>0</v>
      </c>
      <c r="P37" s="16">
        <f t="shared" si="59"/>
        <v>0</v>
      </c>
      <c r="Q37" s="16">
        <f t="shared" si="60"/>
        <v>0</v>
      </c>
      <c r="R37" s="16">
        <f t="shared" si="61"/>
        <v>2</v>
      </c>
      <c r="S37" s="24"/>
      <c r="T37" s="31">
        <f t="shared" si="62"/>
        <v>0</v>
      </c>
      <c r="U37" s="31">
        <f t="shared" si="63"/>
        <v>0</v>
      </c>
      <c r="AJ37" s="24"/>
      <c r="BA37" s="24"/>
      <c r="BR37" s="24"/>
      <c r="CI37" s="24"/>
      <c r="CZ37" s="24"/>
      <c r="DQ37" s="24"/>
      <c r="EH37" s="24"/>
      <c r="EY37" s="24"/>
      <c r="FP37" s="24"/>
      <c r="GG37" s="24"/>
      <c r="GX37" s="24"/>
      <c r="HO37" s="24"/>
      <c r="IF37" s="24"/>
    </row>
    <row r="38" spans="1:240" s="23" customFormat="1" x14ac:dyDescent="0.25">
      <c r="A38" s="30" t="str">
        <f t="shared" si="45"/>
        <v>ANGEL RODRIGUEZ</v>
      </c>
      <c r="B38" s="47" t="str">
        <f t="shared" si="45"/>
        <v/>
      </c>
      <c r="C38" s="16">
        <f t="shared" si="46"/>
        <v>3</v>
      </c>
      <c r="D38" s="16">
        <f t="shared" si="47"/>
        <v>2</v>
      </c>
      <c r="E38" s="16">
        <f t="shared" si="48"/>
        <v>2</v>
      </c>
      <c r="F38" s="16">
        <f t="shared" si="49"/>
        <v>0</v>
      </c>
      <c r="G38" s="16">
        <f t="shared" si="50"/>
        <v>0</v>
      </c>
      <c r="H38" s="16">
        <f t="shared" si="51"/>
        <v>0</v>
      </c>
      <c r="I38" s="16">
        <f t="shared" si="52"/>
        <v>1</v>
      </c>
      <c r="J38" s="16">
        <f t="shared" si="53"/>
        <v>1</v>
      </c>
      <c r="K38" s="16">
        <f t="shared" si="54"/>
        <v>0</v>
      </c>
      <c r="L38" s="16">
        <f t="shared" si="55"/>
        <v>1</v>
      </c>
      <c r="M38" s="16">
        <f t="shared" si="56"/>
        <v>0</v>
      </c>
      <c r="N38" s="16">
        <f t="shared" si="57"/>
        <v>0</v>
      </c>
      <c r="O38" s="16">
        <f t="shared" si="58"/>
        <v>0</v>
      </c>
      <c r="P38" s="16">
        <f t="shared" si="59"/>
        <v>0</v>
      </c>
      <c r="Q38" s="16">
        <f t="shared" si="60"/>
        <v>2</v>
      </c>
      <c r="R38" s="16">
        <f t="shared" si="61"/>
        <v>3</v>
      </c>
      <c r="S38" s="24"/>
      <c r="T38" s="31">
        <f t="shared" si="62"/>
        <v>666.66666666666663</v>
      </c>
      <c r="U38" s="31">
        <f t="shared" si="63"/>
        <v>666.66666666666663</v>
      </c>
      <c r="AJ38" s="24"/>
      <c r="BA38" s="24"/>
      <c r="BR38" s="24"/>
      <c r="CI38" s="24"/>
      <c r="CZ38" s="24"/>
      <c r="DQ38" s="24"/>
      <c r="EH38" s="24"/>
      <c r="EY38" s="24"/>
      <c r="FP38" s="24"/>
      <c r="GG38" s="24"/>
      <c r="GX38" s="24"/>
      <c r="HO38" s="24"/>
      <c r="IF38" s="24"/>
    </row>
    <row r="39" spans="1:240" s="23" customFormat="1" x14ac:dyDescent="0.25">
      <c r="A39" s="30" t="str">
        <f t="shared" si="45"/>
        <v>FRANCISCO MONASTERIO</v>
      </c>
      <c r="B39" s="47" t="str">
        <f t="shared" si="45"/>
        <v/>
      </c>
      <c r="C39" s="16">
        <f t="shared" si="46"/>
        <v>3</v>
      </c>
      <c r="D39" s="16">
        <f t="shared" si="47"/>
        <v>1</v>
      </c>
      <c r="E39" s="16">
        <f t="shared" si="48"/>
        <v>2</v>
      </c>
      <c r="F39" s="16">
        <f t="shared" si="49"/>
        <v>0</v>
      </c>
      <c r="G39" s="16">
        <f t="shared" si="50"/>
        <v>1</v>
      </c>
      <c r="H39" s="16">
        <f t="shared" si="51"/>
        <v>0</v>
      </c>
      <c r="I39" s="16">
        <f t="shared" si="52"/>
        <v>0</v>
      </c>
      <c r="J39" s="16">
        <f t="shared" si="53"/>
        <v>0</v>
      </c>
      <c r="K39" s="16">
        <f t="shared" si="54"/>
        <v>0</v>
      </c>
      <c r="L39" s="16">
        <f t="shared" si="55"/>
        <v>0</v>
      </c>
      <c r="M39" s="16">
        <f t="shared" si="56"/>
        <v>0</v>
      </c>
      <c r="N39" s="16">
        <f t="shared" si="57"/>
        <v>0</v>
      </c>
      <c r="O39" s="16">
        <f t="shared" si="58"/>
        <v>0</v>
      </c>
      <c r="P39" s="16">
        <f t="shared" si="59"/>
        <v>0</v>
      </c>
      <c r="Q39" s="16">
        <f t="shared" si="60"/>
        <v>4</v>
      </c>
      <c r="R39" s="16">
        <f t="shared" si="61"/>
        <v>3</v>
      </c>
      <c r="S39" s="24"/>
      <c r="T39" s="31">
        <f t="shared" si="62"/>
        <v>666.66666666666663</v>
      </c>
      <c r="U39" s="31">
        <f t="shared" si="63"/>
        <v>1333.3333333333333</v>
      </c>
      <c r="AJ39" s="24"/>
      <c r="BA39" s="24"/>
      <c r="BR39" s="24"/>
      <c r="CI39" s="24"/>
      <c r="CZ39" s="24"/>
      <c r="DQ39" s="24"/>
      <c r="EH39" s="24"/>
      <c r="EY39" s="24"/>
      <c r="FP39" s="24"/>
      <c r="GG39" s="24"/>
      <c r="GX39" s="24"/>
      <c r="HO39" s="24"/>
      <c r="IF39" s="24"/>
    </row>
    <row r="40" spans="1:240" s="23" customFormat="1" x14ac:dyDescent="0.25">
      <c r="A40" s="30" t="str">
        <f t="shared" si="45"/>
        <v>MARCOS MORALES</v>
      </c>
      <c r="B40" s="47" t="str">
        <f t="shared" si="45"/>
        <v/>
      </c>
      <c r="C40" s="16">
        <f t="shared" si="46"/>
        <v>3</v>
      </c>
      <c r="D40" s="16">
        <f t="shared" si="47"/>
        <v>2</v>
      </c>
      <c r="E40" s="16">
        <f t="shared" si="48"/>
        <v>2</v>
      </c>
      <c r="F40" s="16">
        <f t="shared" si="49"/>
        <v>1</v>
      </c>
      <c r="G40" s="16">
        <f t="shared" si="50"/>
        <v>0</v>
      </c>
      <c r="H40" s="16">
        <f t="shared" si="51"/>
        <v>0</v>
      </c>
      <c r="I40" s="16">
        <f t="shared" si="52"/>
        <v>2</v>
      </c>
      <c r="J40" s="16">
        <f t="shared" si="53"/>
        <v>1</v>
      </c>
      <c r="K40" s="16">
        <f t="shared" si="54"/>
        <v>0</v>
      </c>
      <c r="L40" s="16">
        <f t="shared" si="55"/>
        <v>3</v>
      </c>
      <c r="M40" s="16">
        <f t="shared" si="56"/>
        <v>0</v>
      </c>
      <c r="N40" s="16">
        <f t="shared" si="57"/>
        <v>0</v>
      </c>
      <c r="O40" s="16">
        <f t="shared" si="58"/>
        <v>0</v>
      </c>
      <c r="P40" s="16">
        <f t="shared" si="59"/>
        <v>0</v>
      </c>
      <c r="Q40" s="16">
        <f t="shared" si="60"/>
        <v>3</v>
      </c>
      <c r="R40" s="16">
        <f t="shared" si="61"/>
        <v>3</v>
      </c>
      <c r="S40" s="24"/>
      <c r="T40" s="31">
        <f t="shared" si="62"/>
        <v>666.66666666666663</v>
      </c>
      <c r="U40" s="31">
        <f t="shared" si="63"/>
        <v>1000</v>
      </c>
      <c r="AJ40" s="24"/>
      <c r="BA40" s="24"/>
      <c r="BR40" s="24"/>
      <c r="CI40" s="24"/>
      <c r="CZ40" s="24"/>
      <c r="DQ40" s="24"/>
      <c r="EH40" s="24"/>
      <c r="EY40" s="24"/>
      <c r="FP40" s="24"/>
      <c r="GG40" s="24"/>
      <c r="GX40" s="24"/>
      <c r="HO40" s="24"/>
      <c r="IF40" s="24"/>
    </row>
    <row r="41" spans="1:240" s="23" customFormat="1" x14ac:dyDescent="0.25">
      <c r="A41" s="30" t="str">
        <f t="shared" si="45"/>
        <v>ADRIAN MURILLO</v>
      </c>
      <c r="B41" s="47" t="str">
        <f t="shared" si="45"/>
        <v/>
      </c>
      <c r="C41" s="16">
        <f t="shared" si="46"/>
        <v>2</v>
      </c>
      <c r="D41" s="16">
        <f t="shared" si="47"/>
        <v>1</v>
      </c>
      <c r="E41" s="16">
        <f t="shared" si="48"/>
        <v>0</v>
      </c>
      <c r="F41" s="16">
        <f t="shared" si="49"/>
        <v>0</v>
      </c>
      <c r="G41" s="16">
        <f t="shared" si="50"/>
        <v>0</v>
      </c>
      <c r="H41" s="16">
        <f t="shared" si="51"/>
        <v>0</v>
      </c>
      <c r="I41" s="16">
        <f t="shared" si="52"/>
        <v>0</v>
      </c>
      <c r="J41" s="16">
        <f t="shared" si="53"/>
        <v>1</v>
      </c>
      <c r="K41" s="16">
        <f t="shared" si="54"/>
        <v>1</v>
      </c>
      <c r="L41" s="16">
        <f t="shared" si="55"/>
        <v>1</v>
      </c>
      <c r="M41" s="16">
        <f t="shared" si="56"/>
        <v>0</v>
      </c>
      <c r="N41" s="16">
        <f t="shared" si="57"/>
        <v>0</v>
      </c>
      <c r="O41" s="16">
        <f t="shared" si="58"/>
        <v>0</v>
      </c>
      <c r="P41" s="16">
        <f t="shared" si="59"/>
        <v>0</v>
      </c>
      <c r="Q41" s="16">
        <f t="shared" si="60"/>
        <v>0</v>
      </c>
      <c r="R41" s="16">
        <f t="shared" si="61"/>
        <v>3</v>
      </c>
      <c r="S41" s="24"/>
      <c r="T41" s="31">
        <f t="shared" si="62"/>
        <v>0</v>
      </c>
      <c r="U41" s="31">
        <f t="shared" si="63"/>
        <v>0</v>
      </c>
      <c r="AJ41" s="24"/>
      <c r="BA41" s="24"/>
      <c r="BR41" s="24"/>
      <c r="CI41" s="24"/>
      <c r="CZ41" s="24"/>
      <c r="DQ41" s="24"/>
      <c r="EH41" s="24"/>
      <c r="EY41" s="24"/>
      <c r="FP41" s="24"/>
      <c r="GG41" s="24"/>
      <c r="GX41" s="24"/>
      <c r="HO41" s="24"/>
      <c r="IF41" s="24"/>
    </row>
    <row r="42" spans="1:240" s="23" customFormat="1" x14ac:dyDescent="0.25">
      <c r="A42" s="30" t="str">
        <f t="shared" si="45"/>
        <v>DARGREYBER RODRIGUEZ</v>
      </c>
      <c r="B42" s="47" t="str">
        <f t="shared" si="45"/>
        <v/>
      </c>
      <c r="C42" s="16">
        <f t="shared" si="46"/>
        <v>0</v>
      </c>
      <c r="D42" s="16">
        <f t="shared" si="47"/>
        <v>0</v>
      </c>
      <c r="E42" s="16">
        <f t="shared" si="48"/>
        <v>0</v>
      </c>
      <c r="F42" s="16">
        <f t="shared" si="49"/>
        <v>0</v>
      </c>
      <c r="G42" s="16">
        <f t="shared" si="50"/>
        <v>0</v>
      </c>
      <c r="H42" s="16">
        <f t="shared" si="51"/>
        <v>0</v>
      </c>
      <c r="I42" s="16">
        <f t="shared" si="52"/>
        <v>0</v>
      </c>
      <c r="J42" s="16">
        <f t="shared" si="53"/>
        <v>0</v>
      </c>
      <c r="K42" s="16">
        <f t="shared" si="54"/>
        <v>0</v>
      </c>
      <c r="L42" s="16">
        <f t="shared" si="55"/>
        <v>0</v>
      </c>
      <c r="M42" s="16">
        <f t="shared" si="56"/>
        <v>0</v>
      </c>
      <c r="N42" s="16">
        <f t="shared" si="57"/>
        <v>0</v>
      </c>
      <c r="O42" s="16">
        <f t="shared" si="58"/>
        <v>0</v>
      </c>
      <c r="P42" s="16">
        <f t="shared" si="59"/>
        <v>0</v>
      </c>
      <c r="Q42" s="16">
        <f t="shared" si="60"/>
        <v>0</v>
      </c>
      <c r="R42" s="16">
        <f t="shared" si="61"/>
        <v>0</v>
      </c>
      <c r="S42" s="24"/>
      <c r="T42" s="31">
        <f t="shared" si="62"/>
        <v>0</v>
      </c>
      <c r="U42" s="31">
        <f t="shared" si="63"/>
        <v>0</v>
      </c>
      <c r="AJ42" s="24"/>
      <c r="BA42" s="24"/>
      <c r="BR42" s="24"/>
      <c r="CI42" s="24"/>
      <c r="CZ42" s="24"/>
      <c r="DQ42" s="24"/>
      <c r="EH42" s="24"/>
      <c r="EY42" s="24"/>
      <c r="FP42" s="24"/>
      <c r="GG42" s="24"/>
      <c r="GX42" s="24"/>
      <c r="HO42" s="24"/>
      <c r="IF42" s="24"/>
    </row>
    <row r="43" spans="1:240" s="23" customFormat="1" x14ac:dyDescent="0.25">
      <c r="A43" s="30" t="str">
        <f t="shared" si="45"/>
        <v>JENSE FLORES</v>
      </c>
      <c r="B43" s="47" t="str">
        <f t="shared" si="45"/>
        <v/>
      </c>
      <c r="C43" s="16">
        <f t="shared" si="46"/>
        <v>0</v>
      </c>
      <c r="D43" s="16">
        <f t="shared" si="47"/>
        <v>0</v>
      </c>
      <c r="E43" s="16">
        <f t="shared" si="48"/>
        <v>0</v>
      </c>
      <c r="F43" s="16">
        <f t="shared" si="49"/>
        <v>0</v>
      </c>
      <c r="G43" s="16">
        <f t="shared" si="50"/>
        <v>0</v>
      </c>
      <c r="H43" s="16">
        <f t="shared" si="51"/>
        <v>0</v>
      </c>
      <c r="I43" s="16">
        <f t="shared" si="52"/>
        <v>0</v>
      </c>
      <c r="J43" s="16">
        <f t="shared" si="53"/>
        <v>0</v>
      </c>
      <c r="K43" s="16">
        <f t="shared" si="54"/>
        <v>0</v>
      </c>
      <c r="L43" s="16">
        <f t="shared" si="55"/>
        <v>0</v>
      </c>
      <c r="M43" s="16">
        <f t="shared" si="56"/>
        <v>0</v>
      </c>
      <c r="N43" s="16">
        <f t="shared" si="57"/>
        <v>0</v>
      </c>
      <c r="O43" s="16">
        <f t="shared" si="58"/>
        <v>0</v>
      </c>
      <c r="P43" s="16">
        <f t="shared" si="59"/>
        <v>0</v>
      </c>
      <c r="Q43" s="16">
        <f t="shared" si="60"/>
        <v>0</v>
      </c>
      <c r="R43" s="16">
        <f t="shared" si="61"/>
        <v>0</v>
      </c>
      <c r="S43" s="24"/>
      <c r="T43" s="31">
        <f t="shared" si="62"/>
        <v>0</v>
      </c>
      <c r="U43" s="31">
        <f t="shared" si="63"/>
        <v>0</v>
      </c>
      <c r="AJ43" s="24"/>
      <c r="BA43" s="24"/>
      <c r="BR43" s="24"/>
      <c r="CI43" s="24"/>
      <c r="CZ43" s="24"/>
      <c r="DQ43" s="24"/>
      <c r="EH43" s="24"/>
      <c r="EY43" s="24"/>
      <c r="FP43" s="24"/>
      <c r="GG43" s="24"/>
      <c r="GX43" s="24"/>
      <c r="HO43" s="24"/>
      <c r="IF43" s="24"/>
    </row>
    <row r="44" spans="1:240" s="23" customFormat="1" x14ac:dyDescent="0.25">
      <c r="A44" s="30" t="str">
        <f t="shared" si="45"/>
        <v/>
      </c>
      <c r="B44" s="47" t="str">
        <f t="shared" si="45"/>
        <v/>
      </c>
      <c r="C44" s="16">
        <f t="shared" si="46"/>
        <v>0</v>
      </c>
      <c r="D44" s="16">
        <f t="shared" si="47"/>
        <v>0</v>
      </c>
      <c r="E44" s="16">
        <f t="shared" si="48"/>
        <v>0</v>
      </c>
      <c r="F44" s="16">
        <f t="shared" si="49"/>
        <v>0</v>
      </c>
      <c r="G44" s="16">
        <f t="shared" si="50"/>
        <v>0</v>
      </c>
      <c r="H44" s="16">
        <f t="shared" si="51"/>
        <v>0</v>
      </c>
      <c r="I44" s="16">
        <f t="shared" si="52"/>
        <v>0</v>
      </c>
      <c r="J44" s="16">
        <f t="shared" si="53"/>
        <v>0</v>
      </c>
      <c r="K44" s="16">
        <f t="shared" si="54"/>
        <v>0</v>
      </c>
      <c r="L44" s="16">
        <f t="shared" si="55"/>
        <v>0</v>
      </c>
      <c r="M44" s="16">
        <f t="shared" si="56"/>
        <v>0</v>
      </c>
      <c r="N44" s="16">
        <f t="shared" si="57"/>
        <v>0</v>
      </c>
      <c r="O44" s="16">
        <f t="shared" si="58"/>
        <v>0</v>
      </c>
      <c r="P44" s="16">
        <f t="shared" si="59"/>
        <v>0</v>
      </c>
      <c r="Q44" s="16">
        <f t="shared" si="60"/>
        <v>0</v>
      </c>
      <c r="R44" s="16">
        <f t="shared" si="61"/>
        <v>0</v>
      </c>
      <c r="S44" s="24"/>
      <c r="T44" s="31">
        <f t="shared" si="62"/>
        <v>0</v>
      </c>
      <c r="U44" s="31">
        <f t="shared" si="63"/>
        <v>0</v>
      </c>
      <c r="AJ44" s="24"/>
      <c r="BA44" s="24"/>
      <c r="BR44" s="24"/>
      <c r="CI44" s="24"/>
      <c r="CZ44" s="24"/>
      <c r="DQ44" s="24"/>
      <c r="EH44" s="24"/>
      <c r="EY44" s="24"/>
      <c r="FP44" s="24"/>
      <c r="GG44" s="24"/>
      <c r="GX44" s="24"/>
      <c r="HO44" s="24"/>
      <c r="IF44" s="24"/>
    </row>
    <row r="45" spans="1:240" s="23" customFormat="1" x14ac:dyDescent="0.25">
      <c r="A45" s="30" t="str">
        <f t="shared" si="45"/>
        <v/>
      </c>
      <c r="B45" s="47" t="str">
        <f t="shared" si="45"/>
        <v/>
      </c>
      <c r="C45" s="16">
        <f t="shared" si="46"/>
        <v>0</v>
      </c>
      <c r="D45" s="16">
        <f t="shared" si="47"/>
        <v>0</v>
      </c>
      <c r="E45" s="16">
        <f t="shared" si="48"/>
        <v>0</v>
      </c>
      <c r="F45" s="16">
        <f t="shared" si="49"/>
        <v>0</v>
      </c>
      <c r="G45" s="16">
        <f t="shared" si="50"/>
        <v>0</v>
      </c>
      <c r="H45" s="16">
        <f t="shared" si="51"/>
        <v>0</v>
      </c>
      <c r="I45" s="16">
        <f t="shared" si="52"/>
        <v>0</v>
      </c>
      <c r="J45" s="16">
        <f t="shared" si="53"/>
        <v>0</v>
      </c>
      <c r="K45" s="16">
        <f t="shared" si="54"/>
        <v>0</v>
      </c>
      <c r="L45" s="16">
        <f t="shared" si="55"/>
        <v>0</v>
      </c>
      <c r="M45" s="16">
        <f t="shared" si="56"/>
        <v>0</v>
      </c>
      <c r="N45" s="16">
        <f t="shared" si="57"/>
        <v>0</v>
      </c>
      <c r="O45" s="16">
        <f t="shared" si="58"/>
        <v>0</v>
      </c>
      <c r="P45" s="16">
        <f t="shared" si="59"/>
        <v>0</v>
      </c>
      <c r="Q45" s="16">
        <f t="shared" si="60"/>
        <v>0</v>
      </c>
      <c r="R45" s="16">
        <f t="shared" si="61"/>
        <v>0</v>
      </c>
      <c r="S45" s="24"/>
      <c r="T45" s="31">
        <f t="shared" si="62"/>
        <v>0</v>
      </c>
      <c r="U45" s="31">
        <f t="shared" si="63"/>
        <v>0</v>
      </c>
      <c r="AJ45" s="24"/>
      <c r="BA45" s="24"/>
      <c r="BR45" s="24"/>
      <c r="CI45" s="24"/>
      <c r="CZ45" s="24"/>
      <c r="DQ45" s="24"/>
      <c r="EH45" s="24"/>
      <c r="EY45" s="24"/>
      <c r="FP45" s="24"/>
      <c r="GG45" s="24"/>
      <c r="GX45" s="24"/>
      <c r="HO45" s="24"/>
      <c r="IF45" s="24"/>
    </row>
    <row r="46" spans="1:240" s="23" customFormat="1" x14ac:dyDescent="0.25">
      <c r="A46" s="30" t="str">
        <f t="shared" si="45"/>
        <v/>
      </c>
      <c r="B46" s="47" t="str">
        <f t="shared" si="45"/>
        <v/>
      </c>
      <c r="C46" s="16">
        <f t="shared" si="46"/>
        <v>0</v>
      </c>
      <c r="D46" s="16">
        <f t="shared" si="47"/>
        <v>0</v>
      </c>
      <c r="E46" s="16">
        <f t="shared" si="48"/>
        <v>0</v>
      </c>
      <c r="F46" s="16">
        <f t="shared" si="49"/>
        <v>0</v>
      </c>
      <c r="G46" s="16">
        <f t="shared" si="50"/>
        <v>0</v>
      </c>
      <c r="H46" s="16">
        <f t="shared" si="51"/>
        <v>0</v>
      </c>
      <c r="I46" s="16">
        <f t="shared" si="52"/>
        <v>0</v>
      </c>
      <c r="J46" s="16">
        <f t="shared" si="53"/>
        <v>0</v>
      </c>
      <c r="K46" s="16">
        <f t="shared" si="54"/>
        <v>0</v>
      </c>
      <c r="L46" s="16">
        <f t="shared" si="55"/>
        <v>0</v>
      </c>
      <c r="M46" s="16">
        <f t="shared" si="56"/>
        <v>0</v>
      </c>
      <c r="N46" s="16">
        <f t="shared" si="57"/>
        <v>0</v>
      </c>
      <c r="O46" s="16">
        <f t="shared" si="58"/>
        <v>0</v>
      </c>
      <c r="P46" s="16">
        <f t="shared" si="59"/>
        <v>0</v>
      </c>
      <c r="Q46" s="16">
        <f t="shared" si="60"/>
        <v>0</v>
      </c>
      <c r="R46" s="16">
        <f t="shared" si="61"/>
        <v>0</v>
      </c>
      <c r="S46" s="24"/>
      <c r="T46" s="31">
        <f t="shared" si="62"/>
        <v>0</v>
      </c>
      <c r="U46" s="31">
        <f t="shared" si="63"/>
        <v>0</v>
      </c>
      <c r="AJ46" s="24"/>
      <c r="BA46" s="24"/>
      <c r="BR46" s="24"/>
      <c r="CI46" s="24"/>
      <c r="CZ46" s="24"/>
      <c r="DQ46" s="24"/>
      <c r="EH46" s="24"/>
      <c r="EY46" s="24"/>
      <c r="FP46" s="24"/>
      <c r="GG46" s="24"/>
      <c r="GX46" s="24"/>
      <c r="HO46" s="24"/>
      <c r="IF46" s="24"/>
    </row>
    <row r="47" spans="1:240" x14ac:dyDescent="0.25">
      <c r="A47" s="30" t="str">
        <f t="shared" si="45"/>
        <v/>
      </c>
      <c r="B47" s="47" t="str">
        <f t="shared" si="45"/>
        <v/>
      </c>
      <c r="C47" s="16">
        <f t="shared" si="46"/>
        <v>0</v>
      </c>
      <c r="D47" s="16">
        <f t="shared" si="47"/>
        <v>0</v>
      </c>
      <c r="E47" s="16">
        <f t="shared" si="48"/>
        <v>0</v>
      </c>
      <c r="F47" s="16">
        <f t="shared" si="49"/>
        <v>0</v>
      </c>
      <c r="G47" s="16">
        <f t="shared" si="50"/>
        <v>0</v>
      </c>
      <c r="H47" s="16">
        <f t="shared" si="51"/>
        <v>0</v>
      </c>
      <c r="I47" s="16">
        <f t="shared" si="52"/>
        <v>0</v>
      </c>
      <c r="J47" s="16">
        <f t="shared" si="53"/>
        <v>0</v>
      </c>
      <c r="K47" s="16">
        <f t="shared" si="54"/>
        <v>0</v>
      </c>
      <c r="L47" s="16">
        <f t="shared" si="55"/>
        <v>0</v>
      </c>
      <c r="M47" s="16">
        <f t="shared" si="56"/>
        <v>0</v>
      </c>
      <c r="N47" s="16">
        <f t="shared" si="57"/>
        <v>0</v>
      </c>
      <c r="O47" s="16">
        <f t="shared" si="58"/>
        <v>0</v>
      </c>
      <c r="P47" s="16">
        <f t="shared" si="59"/>
        <v>0</v>
      </c>
      <c r="Q47" s="16">
        <f t="shared" si="60"/>
        <v>0</v>
      </c>
      <c r="R47" s="16">
        <f t="shared" si="61"/>
        <v>0</v>
      </c>
      <c r="S47" s="2"/>
      <c r="T47" s="31">
        <f t="shared" si="62"/>
        <v>0</v>
      </c>
      <c r="U47" s="31">
        <f t="shared" si="63"/>
        <v>0</v>
      </c>
      <c r="AJ47" s="2"/>
      <c r="BA47" s="2"/>
      <c r="BR47" s="2"/>
      <c r="CI47" s="2"/>
      <c r="CZ47" s="2"/>
      <c r="DQ47" s="2"/>
      <c r="EH47" s="2"/>
      <c r="EY47" s="2"/>
      <c r="FP47" s="2"/>
      <c r="GG47" s="2"/>
      <c r="GX47" s="2"/>
      <c r="HO47" s="2"/>
      <c r="IF47" s="2"/>
    </row>
    <row r="48" spans="1:240" x14ac:dyDescent="0.25">
      <c r="A48" s="30" t="str">
        <f t="shared" si="45"/>
        <v/>
      </c>
      <c r="B48" s="47" t="str">
        <f t="shared" si="45"/>
        <v/>
      </c>
      <c r="C48" s="16">
        <f t="shared" si="46"/>
        <v>0</v>
      </c>
      <c r="D48" s="16">
        <f t="shared" si="47"/>
        <v>0</v>
      </c>
      <c r="E48" s="16">
        <f t="shared" si="48"/>
        <v>0</v>
      </c>
      <c r="F48" s="16">
        <f t="shared" si="49"/>
        <v>0</v>
      </c>
      <c r="G48" s="16">
        <f t="shared" si="50"/>
        <v>0</v>
      </c>
      <c r="H48" s="16">
        <f t="shared" si="51"/>
        <v>0</v>
      </c>
      <c r="I48" s="16">
        <f t="shared" si="52"/>
        <v>0</v>
      </c>
      <c r="J48" s="16">
        <f t="shared" si="53"/>
        <v>0</v>
      </c>
      <c r="K48" s="16">
        <f t="shared" si="54"/>
        <v>0</v>
      </c>
      <c r="L48" s="16">
        <f t="shared" si="55"/>
        <v>0</v>
      </c>
      <c r="M48" s="16">
        <f t="shared" si="56"/>
        <v>0</v>
      </c>
      <c r="N48" s="16">
        <f t="shared" si="57"/>
        <v>0</v>
      </c>
      <c r="O48" s="16">
        <f t="shared" si="58"/>
        <v>0</v>
      </c>
      <c r="P48" s="16">
        <f t="shared" si="59"/>
        <v>0</v>
      </c>
      <c r="Q48" s="16">
        <f t="shared" si="60"/>
        <v>0</v>
      </c>
      <c r="R48" s="16">
        <f t="shared" si="61"/>
        <v>0</v>
      </c>
      <c r="S48" s="2"/>
      <c r="T48" s="31">
        <f t="shared" si="62"/>
        <v>0</v>
      </c>
      <c r="U48" s="31">
        <f t="shared" si="63"/>
        <v>0</v>
      </c>
      <c r="AJ48" s="2"/>
      <c r="BA48" s="2"/>
      <c r="BR48" s="2"/>
      <c r="CI48" s="2"/>
      <c r="CZ48" s="2"/>
      <c r="DQ48" s="2"/>
      <c r="EH48" s="2"/>
      <c r="EY48" s="2"/>
      <c r="FP48" s="2"/>
      <c r="GG48" s="2"/>
      <c r="GX48" s="2"/>
      <c r="HO48" s="2"/>
      <c r="IF48" s="2"/>
    </row>
    <row r="49" spans="1:240" x14ac:dyDescent="0.25">
      <c r="A49" s="30" t="str">
        <f t="shared" si="45"/>
        <v/>
      </c>
      <c r="B49" s="47" t="str">
        <f t="shared" si="45"/>
        <v/>
      </c>
      <c r="C49" s="16">
        <f t="shared" si="46"/>
        <v>0</v>
      </c>
      <c r="D49" s="16">
        <f t="shared" si="47"/>
        <v>0</v>
      </c>
      <c r="E49" s="16">
        <f t="shared" si="48"/>
        <v>0</v>
      </c>
      <c r="F49" s="16">
        <f t="shared" si="49"/>
        <v>0</v>
      </c>
      <c r="G49" s="16">
        <f t="shared" si="50"/>
        <v>0</v>
      </c>
      <c r="H49" s="16">
        <f t="shared" si="51"/>
        <v>0</v>
      </c>
      <c r="I49" s="16">
        <f t="shared" si="52"/>
        <v>0</v>
      </c>
      <c r="J49" s="16">
        <f t="shared" si="53"/>
        <v>0</v>
      </c>
      <c r="K49" s="16">
        <f t="shared" si="54"/>
        <v>0</v>
      </c>
      <c r="L49" s="16">
        <f t="shared" si="55"/>
        <v>0</v>
      </c>
      <c r="M49" s="16">
        <f t="shared" si="56"/>
        <v>0</v>
      </c>
      <c r="N49" s="16">
        <f t="shared" si="57"/>
        <v>0</v>
      </c>
      <c r="O49" s="16">
        <f t="shared" si="58"/>
        <v>0</v>
      </c>
      <c r="P49" s="16">
        <f t="shared" si="59"/>
        <v>0</v>
      </c>
      <c r="Q49" s="16">
        <f t="shared" si="60"/>
        <v>0</v>
      </c>
      <c r="R49" s="16">
        <f t="shared" si="61"/>
        <v>0</v>
      </c>
      <c r="S49" s="2"/>
      <c r="T49" s="31">
        <f t="shared" si="62"/>
        <v>0</v>
      </c>
      <c r="U49" s="31">
        <f t="shared" si="63"/>
        <v>0</v>
      </c>
      <c r="AJ49" s="2"/>
      <c r="BA49" s="2"/>
      <c r="BR49" s="2"/>
      <c r="CI49" s="2"/>
      <c r="CZ49" s="2"/>
      <c r="DQ49" s="2"/>
      <c r="EH49" s="2"/>
      <c r="EY49" s="2"/>
      <c r="FP49" s="2"/>
      <c r="GG49" s="2"/>
      <c r="GX49" s="2"/>
      <c r="HO49" s="2"/>
      <c r="IF49" s="2"/>
    </row>
    <row r="50" spans="1:240" ht="13.8" thickBot="1" x14ac:dyDescent="0.3">
      <c r="A50" s="30" t="str">
        <f t="shared" si="45"/>
        <v/>
      </c>
      <c r="B50" s="47" t="str">
        <f t="shared" si="45"/>
        <v/>
      </c>
      <c r="C50" s="16">
        <f t="shared" si="46"/>
        <v>0</v>
      </c>
      <c r="D50" s="16">
        <f t="shared" si="47"/>
        <v>0</v>
      </c>
      <c r="E50" s="16">
        <f t="shared" si="48"/>
        <v>0</v>
      </c>
      <c r="F50" s="16">
        <f t="shared" si="49"/>
        <v>0</v>
      </c>
      <c r="G50" s="16">
        <f t="shared" si="50"/>
        <v>0</v>
      </c>
      <c r="H50" s="16">
        <f t="shared" si="51"/>
        <v>0</v>
      </c>
      <c r="I50" s="16">
        <f t="shared" si="52"/>
        <v>0</v>
      </c>
      <c r="J50" s="16">
        <f t="shared" si="53"/>
        <v>0</v>
      </c>
      <c r="K50" s="16">
        <f t="shared" si="54"/>
        <v>0</v>
      </c>
      <c r="L50" s="16">
        <f t="shared" si="55"/>
        <v>0</v>
      </c>
      <c r="M50" s="16">
        <f t="shared" si="56"/>
        <v>0</v>
      </c>
      <c r="N50" s="16">
        <f t="shared" si="57"/>
        <v>0</v>
      </c>
      <c r="O50" s="16">
        <f t="shared" si="58"/>
        <v>0</v>
      </c>
      <c r="P50" s="16">
        <f t="shared" si="59"/>
        <v>0</v>
      </c>
      <c r="Q50" s="16">
        <f t="shared" si="60"/>
        <v>0</v>
      </c>
      <c r="R50" s="16">
        <f t="shared" si="61"/>
        <v>0</v>
      </c>
      <c r="S50" s="2"/>
      <c r="T50" s="31">
        <f t="shared" si="62"/>
        <v>0</v>
      </c>
      <c r="U50" s="31">
        <f t="shared" si="63"/>
        <v>0</v>
      </c>
      <c r="AJ50" s="2"/>
      <c r="BA50" s="2"/>
      <c r="BR50" s="2"/>
      <c r="CI50" s="2"/>
      <c r="CZ50" s="2"/>
      <c r="DQ50" s="2"/>
      <c r="EH50" s="2"/>
      <c r="EY50" s="2"/>
      <c r="FP50" s="2"/>
      <c r="GG50" s="2"/>
      <c r="GX50" s="2"/>
      <c r="HO50" s="2"/>
      <c r="IF50" s="2"/>
    </row>
    <row r="51" spans="1:240" ht="13.8" thickBot="1" x14ac:dyDescent="0.3">
      <c r="A51" s="62" t="s">
        <v>48</v>
      </c>
      <c r="B51" s="63"/>
      <c r="C51" s="32">
        <f>SUM(C32:C50)</f>
        <v>25</v>
      </c>
      <c r="D51" s="32">
        <f t="shared" ref="D51:P51" si="64">SUM(D32:D50)</f>
        <v>10</v>
      </c>
      <c r="E51" s="32">
        <f t="shared" si="64"/>
        <v>9</v>
      </c>
      <c r="F51" s="32">
        <f t="shared" si="64"/>
        <v>2</v>
      </c>
      <c r="G51" s="32">
        <f t="shared" si="64"/>
        <v>1</v>
      </c>
      <c r="H51" s="32">
        <f t="shared" si="64"/>
        <v>0</v>
      </c>
      <c r="I51" s="32">
        <f t="shared" si="64"/>
        <v>4</v>
      </c>
      <c r="J51" s="32">
        <f t="shared" si="64"/>
        <v>4</v>
      </c>
      <c r="K51" s="32">
        <f t="shared" si="64"/>
        <v>5</v>
      </c>
      <c r="L51" s="32">
        <f t="shared" si="64"/>
        <v>9</v>
      </c>
      <c r="M51" s="32">
        <f t="shared" si="64"/>
        <v>0</v>
      </c>
      <c r="N51" s="32">
        <f t="shared" si="64"/>
        <v>0</v>
      </c>
      <c r="O51" s="32">
        <f t="shared" si="64"/>
        <v>0</v>
      </c>
      <c r="P51" s="32">
        <f t="shared" si="64"/>
        <v>0</v>
      </c>
      <c r="Q51" s="32">
        <f>SUM(Q32:Q50)</f>
        <v>13</v>
      </c>
      <c r="R51" s="32">
        <f>SUM(R32:R50)</f>
        <v>30</v>
      </c>
      <c r="S51" s="33"/>
      <c r="T51" s="34">
        <f t="shared" si="62"/>
        <v>360</v>
      </c>
      <c r="U51" s="35">
        <f t="shared" si="63"/>
        <v>520</v>
      </c>
      <c r="AJ51" s="2"/>
      <c r="BA51" s="2"/>
      <c r="BR51" s="2"/>
      <c r="CI51" s="2"/>
      <c r="CZ51" s="2"/>
      <c r="DQ51" s="2"/>
      <c r="EH51" s="2"/>
      <c r="EY51" s="2"/>
      <c r="FP51" s="2"/>
      <c r="GG51" s="2"/>
      <c r="GX51" s="2"/>
      <c r="HO51" s="2"/>
      <c r="IF51" s="2"/>
    </row>
    <row r="52" spans="1:240" x14ac:dyDescent="0.25">
      <c r="S52" s="2"/>
      <c r="AJ52" s="2"/>
      <c r="BA52" s="2"/>
      <c r="BR52" s="2"/>
      <c r="CI52" s="2"/>
      <c r="CZ52" s="2"/>
      <c r="DQ52" s="2"/>
      <c r="EH52" s="2"/>
      <c r="EY52" s="2"/>
      <c r="FP52" s="2"/>
      <c r="GG52" s="2"/>
      <c r="GX52" s="2"/>
      <c r="HO52" s="2"/>
      <c r="IF52" s="2"/>
    </row>
    <row r="53" spans="1:240" x14ac:dyDescent="0.25">
      <c r="S53" s="2"/>
      <c r="AJ53" s="2"/>
      <c r="BA53" s="2"/>
      <c r="BR53" s="2"/>
      <c r="CI53" s="2"/>
      <c r="CZ53" s="2"/>
      <c r="DQ53" s="2"/>
      <c r="EH53" s="2"/>
      <c r="EY53" s="2"/>
      <c r="FP53" s="2"/>
      <c r="GG53" s="2"/>
      <c r="GX53" s="2"/>
      <c r="HO53" s="2"/>
      <c r="IF53" s="2"/>
    </row>
  </sheetData>
  <sheetProtection selectLockedCells="1" selectUnlockedCells="1"/>
  <mergeCells count="18">
    <mergeCell ref="GH6:GW6"/>
    <mergeCell ref="GY6:HN6"/>
    <mergeCell ref="HP6:IE6"/>
    <mergeCell ref="A27:B27"/>
    <mergeCell ref="A30:U30"/>
    <mergeCell ref="A51:B51"/>
    <mergeCell ref="CJ6:CY6"/>
    <mergeCell ref="DA6:DP6"/>
    <mergeCell ref="DR6:EG6"/>
    <mergeCell ref="EI6:EX6"/>
    <mergeCell ref="EZ6:FO6"/>
    <mergeCell ref="FQ6:GF6"/>
    <mergeCell ref="A6:B6"/>
    <mergeCell ref="C6:R6"/>
    <mergeCell ref="T6:AI6"/>
    <mergeCell ref="AK6:AZ6"/>
    <mergeCell ref="BB6:BQ6"/>
    <mergeCell ref="BS6:CH6"/>
  </mergeCell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 alignWithMargins="0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536E0-6809-4007-B866-CB2A05AF4558}">
  <dimension ref="A1:IV60"/>
  <sheetViews>
    <sheetView zoomScale="180" zoomScaleNormal="180" workbookViewId="0">
      <pane xSplit="1" topLeftCell="B1" activePane="topRight" state="frozen"/>
      <selection pane="topRight" activeCell="C9" sqref="C9"/>
    </sheetView>
  </sheetViews>
  <sheetFormatPr baseColWidth="10" defaultColWidth="4.33203125" defaultRowHeight="13.2" x14ac:dyDescent="0.25"/>
  <cols>
    <col min="1" max="1" width="27.44140625" customWidth="1"/>
    <col min="2" max="2" width="3.109375" style="46" customWidth="1"/>
    <col min="19" max="19" width="1" customWidth="1"/>
    <col min="36" max="36" width="1.5546875" customWidth="1"/>
    <col min="53" max="53" width="1.33203125" customWidth="1"/>
    <col min="70" max="70" width="1.33203125" customWidth="1"/>
    <col min="87" max="87" width="1.109375" customWidth="1"/>
    <col min="104" max="104" width="1.44140625" customWidth="1"/>
    <col min="121" max="121" width="1.5546875" customWidth="1"/>
    <col min="138" max="138" width="1.44140625" customWidth="1"/>
    <col min="155" max="155" width="1.33203125" customWidth="1"/>
    <col min="172" max="172" width="1.33203125" customWidth="1"/>
    <col min="189" max="189" width="1.33203125" customWidth="1"/>
    <col min="206" max="206" width="1.109375" customWidth="1"/>
    <col min="223" max="223" width="1.33203125" customWidth="1"/>
    <col min="240" max="240" width="1.44140625" customWidth="1"/>
  </cols>
  <sheetData>
    <row r="1" spans="1:256" x14ac:dyDescent="0.25">
      <c r="A1" s="1" t="s">
        <v>0</v>
      </c>
      <c r="B1" s="56"/>
      <c r="C1" s="1"/>
      <c r="D1" s="1"/>
      <c r="E1" s="1"/>
      <c r="F1" s="1"/>
      <c r="G1" s="1"/>
      <c r="S1" s="2"/>
      <c r="AJ1" s="2"/>
      <c r="BA1" s="2"/>
      <c r="BR1" s="2"/>
      <c r="CI1" s="2"/>
      <c r="CZ1" s="2"/>
      <c r="DQ1" s="2"/>
      <c r="EH1" s="2"/>
      <c r="EY1" s="2"/>
      <c r="FP1" s="2"/>
      <c r="GG1" s="2"/>
      <c r="GX1" s="2"/>
      <c r="HO1" s="2"/>
      <c r="IF1" s="2"/>
    </row>
    <row r="2" spans="1:256" x14ac:dyDescent="0.25">
      <c r="A2" s="1" t="s">
        <v>1</v>
      </c>
      <c r="B2" s="56"/>
      <c r="C2" s="1"/>
      <c r="D2" s="1"/>
      <c r="E2" s="1"/>
      <c r="F2" s="1"/>
      <c r="G2" s="1"/>
      <c r="S2" s="2"/>
      <c r="AJ2" s="2"/>
      <c r="BA2" s="2"/>
      <c r="BR2" s="2"/>
      <c r="CI2" s="2"/>
      <c r="CZ2" s="2"/>
      <c r="DQ2" s="2"/>
      <c r="EH2" s="2"/>
      <c r="EY2" s="2"/>
      <c r="FP2" s="2"/>
      <c r="GG2" s="2"/>
      <c r="GX2" s="2"/>
      <c r="HO2" s="2"/>
      <c r="IF2" s="2"/>
    </row>
    <row r="3" spans="1:256" x14ac:dyDescent="0.25">
      <c r="B3" s="57" t="s">
        <v>2</v>
      </c>
      <c r="C3" s="3"/>
      <c r="D3" s="3"/>
      <c r="E3" s="3"/>
      <c r="F3" s="3"/>
      <c r="G3" s="3"/>
      <c r="S3" s="2"/>
      <c r="AJ3" s="2"/>
      <c r="BA3" s="2"/>
      <c r="BR3" s="2"/>
      <c r="CI3" s="2"/>
      <c r="CZ3" s="2"/>
      <c r="DQ3" s="2"/>
      <c r="EH3" s="2"/>
      <c r="EY3" s="2"/>
      <c r="FP3" s="2"/>
      <c r="GG3" s="2"/>
      <c r="GX3" s="2"/>
      <c r="HO3" s="2"/>
      <c r="IF3" s="2"/>
    </row>
    <row r="4" spans="1:256" x14ac:dyDescent="0.25">
      <c r="B4" s="46" t="s">
        <v>3</v>
      </c>
      <c r="S4" s="2"/>
      <c r="AJ4" s="2"/>
      <c r="BA4" s="2"/>
      <c r="BR4" s="2"/>
      <c r="CI4" s="2"/>
      <c r="CZ4" s="2"/>
      <c r="DQ4" s="2"/>
      <c r="EH4" s="2"/>
      <c r="EY4" s="2"/>
      <c r="FP4" s="2"/>
      <c r="GG4" s="2"/>
      <c r="GX4" s="2"/>
      <c r="HO4" s="2"/>
      <c r="IF4" s="2"/>
    </row>
    <row r="5" spans="1:256" ht="13.8" thickBot="1" x14ac:dyDescent="0.3">
      <c r="C5" t="s">
        <v>4</v>
      </c>
      <c r="F5" t="s">
        <v>5</v>
      </c>
      <c r="S5" s="2"/>
      <c r="U5" s="4" t="s">
        <v>6</v>
      </c>
      <c r="Y5" s="4" t="s">
        <v>7</v>
      </c>
      <c r="AC5">
        <v>2</v>
      </c>
      <c r="AJ5" s="2"/>
      <c r="AL5" s="4" t="s">
        <v>6</v>
      </c>
      <c r="AP5" t="s">
        <v>8</v>
      </c>
      <c r="AT5">
        <v>3</v>
      </c>
      <c r="BA5" s="2"/>
      <c r="BC5" s="4" t="s">
        <v>6</v>
      </c>
      <c r="BG5" t="s">
        <v>9</v>
      </c>
      <c r="BK5">
        <v>4</v>
      </c>
      <c r="BR5" s="2"/>
      <c r="BT5" s="4" t="s">
        <v>6</v>
      </c>
      <c r="BY5" t="s">
        <v>10</v>
      </c>
      <c r="CB5">
        <v>5</v>
      </c>
      <c r="CI5" s="2"/>
      <c r="CK5" s="4" t="s">
        <v>6</v>
      </c>
      <c r="CO5" t="s">
        <v>11</v>
      </c>
      <c r="CS5">
        <v>6</v>
      </c>
      <c r="CZ5" s="2"/>
      <c r="DB5" s="4" t="s">
        <v>6</v>
      </c>
      <c r="DF5" t="s">
        <v>12</v>
      </c>
      <c r="DJ5">
        <v>7</v>
      </c>
      <c r="DQ5" s="2"/>
      <c r="DS5" s="4" t="s">
        <v>6</v>
      </c>
      <c r="DW5" t="s">
        <v>13</v>
      </c>
      <c r="EA5">
        <v>8</v>
      </c>
      <c r="EH5" s="2"/>
      <c r="EJ5" s="4" t="s">
        <v>6</v>
      </c>
      <c r="EN5" t="s">
        <v>14</v>
      </c>
      <c r="ER5">
        <v>9</v>
      </c>
      <c r="EY5" s="2"/>
      <c r="FA5" s="4" t="s">
        <v>6</v>
      </c>
      <c r="FE5" t="s">
        <v>15</v>
      </c>
      <c r="FI5">
        <v>10</v>
      </c>
      <c r="FP5" s="2"/>
      <c r="FR5" s="4" t="s">
        <v>6</v>
      </c>
      <c r="FV5" t="s">
        <v>15</v>
      </c>
      <c r="FZ5">
        <v>11</v>
      </c>
      <c r="GG5" s="2"/>
      <c r="GI5" s="4" t="s">
        <v>6</v>
      </c>
      <c r="GM5" t="s">
        <v>16</v>
      </c>
      <c r="GQ5">
        <v>12</v>
      </c>
      <c r="GX5" s="2"/>
      <c r="GZ5" s="4" t="s">
        <v>6</v>
      </c>
      <c r="HH5">
        <v>13</v>
      </c>
      <c r="HO5" s="2"/>
      <c r="HQ5" s="4" t="s">
        <v>6</v>
      </c>
      <c r="HY5">
        <v>14</v>
      </c>
      <c r="IF5" s="2"/>
      <c r="IH5" s="4" t="s">
        <v>6</v>
      </c>
      <c r="IP5">
        <v>15</v>
      </c>
    </row>
    <row r="6" spans="1:256" s="5" customFormat="1" x14ac:dyDescent="0.25">
      <c r="A6" s="60" t="s">
        <v>59</v>
      </c>
      <c r="B6" s="60"/>
      <c r="C6" s="61" t="s">
        <v>17</v>
      </c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2"/>
      <c r="T6" s="59" t="s">
        <v>17</v>
      </c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2"/>
      <c r="AK6" s="59" t="s">
        <v>17</v>
      </c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2"/>
      <c r="BB6" s="59" t="s">
        <v>17</v>
      </c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59"/>
      <c r="BN6" s="59"/>
      <c r="BO6" s="59"/>
      <c r="BP6" s="59"/>
      <c r="BQ6" s="59"/>
      <c r="BR6" s="2"/>
      <c r="BS6" s="59" t="s">
        <v>17</v>
      </c>
      <c r="BT6" s="59"/>
      <c r="BU6" s="59"/>
      <c r="BV6" s="59"/>
      <c r="BW6" s="59"/>
      <c r="BX6" s="59"/>
      <c r="BY6" s="59"/>
      <c r="BZ6" s="59"/>
      <c r="CA6" s="59"/>
      <c r="CB6" s="59"/>
      <c r="CC6" s="59"/>
      <c r="CD6" s="59"/>
      <c r="CE6" s="59"/>
      <c r="CF6" s="59"/>
      <c r="CG6" s="59"/>
      <c r="CH6" s="59"/>
      <c r="CI6" s="2"/>
      <c r="CJ6" s="59" t="s">
        <v>17</v>
      </c>
      <c r="CK6" s="59"/>
      <c r="CL6" s="59"/>
      <c r="CM6" s="59"/>
      <c r="CN6" s="59"/>
      <c r="CO6" s="59"/>
      <c r="CP6" s="59"/>
      <c r="CQ6" s="59"/>
      <c r="CR6" s="59"/>
      <c r="CS6" s="59"/>
      <c r="CT6" s="59"/>
      <c r="CU6" s="59"/>
      <c r="CV6" s="59"/>
      <c r="CW6" s="59"/>
      <c r="CX6" s="59"/>
      <c r="CY6" s="59"/>
      <c r="CZ6" s="2"/>
      <c r="DA6" s="59" t="s">
        <v>17</v>
      </c>
      <c r="DB6" s="59"/>
      <c r="DC6" s="59"/>
      <c r="DD6" s="59"/>
      <c r="DE6" s="59"/>
      <c r="DF6" s="59"/>
      <c r="DG6" s="59"/>
      <c r="DH6" s="59"/>
      <c r="DI6" s="59"/>
      <c r="DJ6" s="59"/>
      <c r="DK6" s="59"/>
      <c r="DL6" s="59"/>
      <c r="DM6" s="59"/>
      <c r="DN6" s="59"/>
      <c r="DO6" s="59"/>
      <c r="DP6" s="59"/>
      <c r="DQ6" s="2"/>
      <c r="DR6" s="59" t="s">
        <v>17</v>
      </c>
      <c r="DS6" s="59"/>
      <c r="DT6" s="59"/>
      <c r="DU6" s="59"/>
      <c r="DV6" s="59"/>
      <c r="DW6" s="59"/>
      <c r="DX6" s="59"/>
      <c r="DY6" s="59"/>
      <c r="DZ6" s="59"/>
      <c r="EA6" s="59"/>
      <c r="EB6" s="59"/>
      <c r="EC6" s="59"/>
      <c r="ED6" s="59"/>
      <c r="EE6" s="59"/>
      <c r="EF6" s="59"/>
      <c r="EG6" s="59"/>
      <c r="EH6" s="2"/>
      <c r="EI6" s="59" t="s">
        <v>17</v>
      </c>
      <c r="EJ6" s="59"/>
      <c r="EK6" s="59"/>
      <c r="EL6" s="59"/>
      <c r="EM6" s="59"/>
      <c r="EN6" s="59"/>
      <c r="EO6" s="59"/>
      <c r="EP6" s="59"/>
      <c r="EQ6" s="59"/>
      <c r="ER6" s="59"/>
      <c r="ES6" s="59"/>
      <c r="ET6" s="59"/>
      <c r="EU6" s="59"/>
      <c r="EV6" s="59"/>
      <c r="EW6" s="59"/>
      <c r="EX6" s="59"/>
      <c r="EY6" s="2"/>
      <c r="EZ6" s="59" t="s">
        <v>17</v>
      </c>
      <c r="FA6" s="59"/>
      <c r="FB6" s="59"/>
      <c r="FC6" s="59"/>
      <c r="FD6" s="59"/>
      <c r="FE6" s="59"/>
      <c r="FF6" s="59"/>
      <c r="FG6" s="59"/>
      <c r="FH6" s="59"/>
      <c r="FI6" s="59"/>
      <c r="FJ6" s="59"/>
      <c r="FK6" s="59"/>
      <c r="FL6" s="59"/>
      <c r="FM6" s="59"/>
      <c r="FN6" s="59"/>
      <c r="FO6" s="59"/>
      <c r="FP6" s="2"/>
      <c r="FQ6" s="59" t="s">
        <v>17</v>
      </c>
      <c r="FR6" s="59"/>
      <c r="FS6" s="59"/>
      <c r="FT6" s="59"/>
      <c r="FU6" s="59"/>
      <c r="FV6" s="59"/>
      <c r="FW6" s="59"/>
      <c r="FX6" s="59"/>
      <c r="FY6" s="59"/>
      <c r="FZ6" s="59"/>
      <c r="GA6" s="59"/>
      <c r="GB6" s="59"/>
      <c r="GC6" s="59"/>
      <c r="GD6" s="59"/>
      <c r="GE6" s="59"/>
      <c r="GF6" s="59"/>
      <c r="GG6" s="2"/>
      <c r="GH6" s="59" t="s">
        <v>17</v>
      </c>
      <c r="GI6" s="59"/>
      <c r="GJ6" s="59"/>
      <c r="GK6" s="59"/>
      <c r="GL6" s="59"/>
      <c r="GM6" s="59"/>
      <c r="GN6" s="59"/>
      <c r="GO6" s="59"/>
      <c r="GP6" s="59"/>
      <c r="GQ6" s="59"/>
      <c r="GR6" s="59"/>
      <c r="GS6" s="59"/>
      <c r="GT6" s="59"/>
      <c r="GU6" s="59"/>
      <c r="GV6" s="59"/>
      <c r="GW6" s="59"/>
      <c r="GX6" s="2"/>
      <c r="GY6" s="59" t="s">
        <v>17</v>
      </c>
      <c r="GZ6" s="59"/>
      <c r="HA6" s="59"/>
      <c r="HB6" s="59"/>
      <c r="HC6" s="59"/>
      <c r="HD6" s="59"/>
      <c r="HE6" s="59"/>
      <c r="HF6" s="59"/>
      <c r="HG6" s="59"/>
      <c r="HH6" s="59"/>
      <c r="HI6" s="59"/>
      <c r="HJ6" s="59"/>
      <c r="HK6" s="59"/>
      <c r="HL6" s="59"/>
      <c r="HM6" s="59"/>
      <c r="HN6" s="59"/>
      <c r="HO6" s="2"/>
      <c r="HP6" s="59" t="s">
        <v>17</v>
      </c>
      <c r="HQ6" s="59"/>
      <c r="HR6" s="59"/>
      <c r="HS6" s="59"/>
      <c r="HT6" s="59"/>
      <c r="HU6" s="59"/>
      <c r="HV6" s="59"/>
      <c r="HW6" s="59"/>
      <c r="HX6" s="59"/>
      <c r="HY6" s="59"/>
      <c r="HZ6" s="59"/>
      <c r="IA6" s="59"/>
      <c r="IB6" s="59"/>
      <c r="IC6" s="59"/>
      <c r="ID6" s="59"/>
      <c r="IE6" s="59"/>
      <c r="IF6" s="2"/>
      <c r="IG6" s="6" t="s">
        <v>17</v>
      </c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</row>
    <row r="7" spans="1:256" s="2" customFormat="1" x14ac:dyDescent="0.25">
      <c r="A7" s="8" t="s">
        <v>19</v>
      </c>
      <c r="B7" s="48" t="s">
        <v>18</v>
      </c>
      <c r="C7" s="9" t="s">
        <v>20</v>
      </c>
      <c r="D7" s="9" t="s">
        <v>21</v>
      </c>
      <c r="E7" s="9" t="s">
        <v>22</v>
      </c>
      <c r="F7" s="9" t="s">
        <v>23</v>
      </c>
      <c r="G7" s="9" t="s">
        <v>24</v>
      </c>
      <c r="H7" s="9" t="s">
        <v>25</v>
      </c>
      <c r="I7" s="9" t="s">
        <v>26</v>
      </c>
      <c r="J7" s="9" t="s">
        <v>27</v>
      </c>
      <c r="K7" s="9" t="s">
        <v>28</v>
      </c>
      <c r="L7" s="9" t="s">
        <v>29</v>
      </c>
      <c r="M7" s="9" t="s">
        <v>30</v>
      </c>
      <c r="N7" s="9" t="s">
        <v>31</v>
      </c>
      <c r="O7" s="9" t="s">
        <v>32</v>
      </c>
      <c r="P7" s="9" t="s">
        <v>33</v>
      </c>
      <c r="Q7" s="9" t="s">
        <v>34</v>
      </c>
      <c r="R7" s="9" t="s">
        <v>35</v>
      </c>
      <c r="S7" s="10"/>
      <c r="T7" s="9" t="s">
        <v>20</v>
      </c>
      <c r="U7" s="9" t="s">
        <v>21</v>
      </c>
      <c r="V7" s="9" t="s">
        <v>22</v>
      </c>
      <c r="W7" s="9" t="s">
        <v>23</v>
      </c>
      <c r="X7" s="9" t="s">
        <v>24</v>
      </c>
      <c r="Y7" s="9" t="s">
        <v>25</v>
      </c>
      <c r="Z7" s="9" t="s">
        <v>26</v>
      </c>
      <c r="AA7" s="9" t="s">
        <v>27</v>
      </c>
      <c r="AB7" s="9" t="s">
        <v>28</v>
      </c>
      <c r="AC7" s="9" t="s">
        <v>29</v>
      </c>
      <c r="AD7" s="9" t="s">
        <v>30</v>
      </c>
      <c r="AE7" s="9" t="s">
        <v>31</v>
      </c>
      <c r="AF7" s="9" t="s">
        <v>32</v>
      </c>
      <c r="AG7" s="9" t="s">
        <v>33</v>
      </c>
      <c r="AH7" s="9" t="s">
        <v>34</v>
      </c>
      <c r="AI7" s="9" t="s">
        <v>35</v>
      </c>
      <c r="AK7" s="9" t="s">
        <v>20</v>
      </c>
      <c r="AL7" s="9" t="s">
        <v>21</v>
      </c>
      <c r="AM7" s="9" t="s">
        <v>22</v>
      </c>
      <c r="AN7" s="9" t="s">
        <v>23</v>
      </c>
      <c r="AO7" s="9" t="s">
        <v>24</v>
      </c>
      <c r="AP7" s="9" t="s">
        <v>25</v>
      </c>
      <c r="AQ7" s="9" t="s">
        <v>26</v>
      </c>
      <c r="AR7" s="9" t="s">
        <v>27</v>
      </c>
      <c r="AS7" s="9" t="s">
        <v>28</v>
      </c>
      <c r="AT7" s="9" t="s">
        <v>29</v>
      </c>
      <c r="AU7" s="9" t="s">
        <v>30</v>
      </c>
      <c r="AV7" s="9" t="s">
        <v>31</v>
      </c>
      <c r="AW7" s="9" t="s">
        <v>32</v>
      </c>
      <c r="AX7" s="9" t="s">
        <v>33</v>
      </c>
      <c r="AY7" s="9" t="s">
        <v>34</v>
      </c>
      <c r="AZ7" s="9" t="s">
        <v>35</v>
      </c>
      <c r="BB7" s="9" t="s">
        <v>20</v>
      </c>
      <c r="BC7" s="9" t="s">
        <v>21</v>
      </c>
      <c r="BD7" s="9" t="s">
        <v>22</v>
      </c>
      <c r="BE7" s="9" t="s">
        <v>23</v>
      </c>
      <c r="BF7" s="9" t="s">
        <v>24</v>
      </c>
      <c r="BG7" s="9" t="s">
        <v>25</v>
      </c>
      <c r="BH7" s="9" t="s">
        <v>26</v>
      </c>
      <c r="BI7" s="9" t="s">
        <v>27</v>
      </c>
      <c r="BJ7" s="9" t="s">
        <v>28</v>
      </c>
      <c r="BK7" s="9" t="s">
        <v>29</v>
      </c>
      <c r="BL7" s="9" t="s">
        <v>30</v>
      </c>
      <c r="BM7" s="9" t="s">
        <v>31</v>
      </c>
      <c r="BN7" s="9" t="s">
        <v>32</v>
      </c>
      <c r="BO7" s="9" t="s">
        <v>33</v>
      </c>
      <c r="BP7" s="9" t="s">
        <v>34</v>
      </c>
      <c r="BQ7" s="9" t="s">
        <v>35</v>
      </c>
      <c r="BS7" s="9" t="s">
        <v>20</v>
      </c>
      <c r="BT7" s="9" t="s">
        <v>21</v>
      </c>
      <c r="BU7" s="9" t="s">
        <v>22</v>
      </c>
      <c r="BV7" s="9" t="s">
        <v>23</v>
      </c>
      <c r="BW7" s="9" t="s">
        <v>24</v>
      </c>
      <c r="BX7" s="9" t="s">
        <v>25</v>
      </c>
      <c r="BY7" s="9" t="s">
        <v>26</v>
      </c>
      <c r="BZ7" s="9" t="s">
        <v>27</v>
      </c>
      <c r="CA7" s="9" t="s">
        <v>28</v>
      </c>
      <c r="CB7" s="9" t="s">
        <v>29</v>
      </c>
      <c r="CC7" s="9" t="s">
        <v>30</v>
      </c>
      <c r="CD7" s="9" t="s">
        <v>31</v>
      </c>
      <c r="CE7" s="9" t="s">
        <v>32</v>
      </c>
      <c r="CF7" s="9" t="s">
        <v>33</v>
      </c>
      <c r="CG7" s="9" t="s">
        <v>34</v>
      </c>
      <c r="CH7" s="9" t="s">
        <v>35</v>
      </c>
      <c r="CJ7" s="9" t="s">
        <v>20</v>
      </c>
      <c r="CK7" s="9" t="s">
        <v>21</v>
      </c>
      <c r="CL7" s="9" t="s">
        <v>22</v>
      </c>
      <c r="CM7" s="9" t="s">
        <v>23</v>
      </c>
      <c r="CN7" s="9" t="s">
        <v>24</v>
      </c>
      <c r="CO7" s="9" t="s">
        <v>25</v>
      </c>
      <c r="CP7" s="9" t="s">
        <v>26</v>
      </c>
      <c r="CQ7" s="9" t="s">
        <v>27</v>
      </c>
      <c r="CR7" s="9" t="s">
        <v>28</v>
      </c>
      <c r="CS7" s="9" t="s">
        <v>29</v>
      </c>
      <c r="CT7" s="9" t="s">
        <v>30</v>
      </c>
      <c r="CU7" s="9" t="s">
        <v>31</v>
      </c>
      <c r="CV7" s="9" t="s">
        <v>32</v>
      </c>
      <c r="CW7" s="9" t="s">
        <v>33</v>
      </c>
      <c r="CX7" s="9" t="s">
        <v>34</v>
      </c>
      <c r="CY7" s="9" t="s">
        <v>35</v>
      </c>
      <c r="DA7" s="9" t="s">
        <v>20</v>
      </c>
      <c r="DB7" s="9" t="s">
        <v>21</v>
      </c>
      <c r="DC7" s="9" t="s">
        <v>22</v>
      </c>
      <c r="DD7" s="9" t="s">
        <v>23</v>
      </c>
      <c r="DE7" s="9" t="s">
        <v>24</v>
      </c>
      <c r="DF7" s="9" t="s">
        <v>25</v>
      </c>
      <c r="DG7" s="9" t="s">
        <v>26</v>
      </c>
      <c r="DH7" s="9" t="s">
        <v>27</v>
      </c>
      <c r="DI7" s="9" t="s">
        <v>28</v>
      </c>
      <c r="DJ7" s="9" t="s">
        <v>29</v>
      </c>
      <c r="DK7" s="9" t="s">
        <v>30</v>
      </c>
      <c r="DL7" s="9" t="s">
        <v>31</v>
      </c>
      <c r="DM7" s="9" t="s">
        <v>32</v>
      </c>
      <c r="DN7" s="9" t="s">
        <v>33</v>
      </c>
      <c r="DO7" s="9" t="s">
        <v>34</v>
      </c>
      <c r="DP7" s="9" t="s">
        <v>35</v>
      </c>
      <c r="DR7" s="9" t="s">
        <v>20</v>
      </c>
      <c r="DS7" s="9" t="s">
        <v>21</v>
      </c>
      <c r="DT7" s="9" t="s">
        <v>22</v>
      </c>
      <c r="DU7" s="9" t="s">
        <v>23</v>
      </c>
      <c r="DV7" s="9" t="s">
        <v>24</v>
      </c>
      <c r="DW7" s="9" t="s">
        <v>25</v>
      </c>
      <c r="DX7" s="9" t="s">
        <v>26</v>
      </c>
      <c r="DY7" s="9" t="s">
        <v>27</v>
      </c>
      <c r="DZ7" s="9" t="s">
        <v>28</v>
      </c>
      <c r="EA7" s="9" t="s">
        <v>29</v>
      </c>
      <c r="EB7" s="9" t="s">
        <v>30</v>
      </c>
      <c r="EC7" s="9" t="s">
        <v>31</v>
      </c>
      <c r="ED7" s="9" t="s">
        <v>32</v>
      </c>
      <c r="EE7" s="9" t="s">
        <v>33</v>
      </c>
      <c r="EF7" s="9" t="s">
        <v>34</v>
      </c>
      <c r="EG7" s="9" t="s">
        <v>35</v>
      </c>
      <c r="EI7" s="9" t="s">
        <v>20</v>
      </c>
      <c r="EJ7" s="9" t="s">
        <v>21</v>
      </c>
      <c r="EK7" s="9" t="s">
        <v>22</v>
      </c>
      <c r="EL7" s="9" t="s">
        <v>23</v>
      </c>
      <c r="EM7" s="9" t="s">
        <v>24</v>
      </c>
      <c r="EN7" s="9" t="s">
        <v>25</v>
      </c>
      <c r="EO7" s="9" t="s">
        <v>26</v>
      </c>
      <c r="EP7" s="9" t="s">
        <v>27</v>
      </c>
      <c r="EQ7" s="9" t="s">
        <v>28</v>
      </c>
      <c r="ER7" s="9" t="s">
        <v>29</v>
      </c>
      <c r="ES7" s="9" t="s">
        <v>30</v>
      </c>
      <c r="ET7" s="9" t="s">
        <v>31</v>
      </c>
      <c r="EU7" s="9" t="s">
        <v>32</v>
      </c>
      <c r="EV7" s="9" t="s">
        <v>33</v>
      </c>
      <c r="EW7" s="9" t="s">
        <v>34</v>
      </c>
      <c r="EX7" s="9" t="s">
        <v>35</v>
      </c>
      <c r="EZ7" s="9" t="s">
        <v>20</v>
      </c>
      <c r="FA7" s="9" t="s">
        <v>21</v>
      </c>
      <c r="FB7" s="9" t="s">
        <v>22</v>
      </c>
      <c r="FC7" s="9" t="s">
        <v>23</v>
      </c>
      <c r="FD7" s="9" t="s">
        <v>24</v>
      </c>
      <c r="FE7" s="9" t="s">
        <v>25</v>
      </c>
      <c r="FF7" s="9" t="s">
        <v>26</v>
      </c>
      <c r="FG7" s="9" t="s">
        <v>27</v>
      </c>
      <c r="FH7" s="9" t="s">
        <v>28</v>
      </c>
      <c r="FI7" s="9" t="s">
        <v>29</v>
      </c>
      <c r="FJ7" s="9" t="s">
        <v>30</v>
      </c>
      <c r="FK7" s="9" t="s">
        <v>31</v>
      </c>
      <c r="FL7" s="9" t="s">
        <v>32</v>
      </c>
      <c r="FM7" s="9" t="s">
        <v>33</v>
      </c>
      <c r="FN7" s="9" t="s">
        <v>34</v>
      </c>
      <c r="FO7" s="9" t="s">
        <v>35</v>
      </c>
      <c r="FQ7" s="9" t="s">
        <v>20</v>
      </c>
      <c r="FR7" s="9" t="s">
        <v>21</v>
      </c>
      <c r="FS7" s="9" t="s">
        <v>22</v>
      </c>
      <c r="FT7" s="9" t="s">
        <v>23</v>
      </c>
      <c r="FU7" s="9" t="s">
        <v>24</v>
      </c>
      <c r="FV7" s="9" t="s">
        <v>25</v>
      </c>
      <c r="FW7" s="9" t="s">
        <v>26</v>
      </c>
      <c r="FX7" s="9" t="s">
        <v>27</v>
      </c>
      <c r="FY7" s="9" t="s">
        <v>28</v>
      </c>
      <c r="FZ7" s="9" t="s">
        <v>29</v>
      </c>
      <c r="GA7" s="9" t="s">
        <v>30</v>
      </c>
      <c r="GB7" s="9" t="s">
        <v>31</v>
      </c>
      <c r="GC7" s="9" t="s">
        <v>32</v>
      </c>
      <c r="GD7" s="9" t="s">
        <v>33</v>
      </c>
      <c r="GE7" s="9" t="s">
        <v>34</v>
      </c>
      <c r="GF7" s="9" t="s">
        <v>35</v>
      </c>
      <c r="GH7" s="9" t="s">
        <v>20</v>
      </c>
      <c r="GI7" s="9" t="s">
        <v>21</v>
      </c>
      <c r="GJ7" s="9" t="s">
        <v>22</v>
      </c>
      <c r="GK7" s="9" t="s">
        <v>23</v>
      </c>
      <c r="GL7" s="9" t="s">
        <v>24</v>
      </c>
      <c r="GM7" s="9" t="s">
        <v>25</v>
      </c>
      <c r="GN7" s="9" t="s">
        <v>26</v>
      </c>
      <c r="GO7" s="9" t="s">
        <v>27</v>
      </c>
      <c r="GP7" s="9" t="s">
        <v>28</v>
      </c>
      <c r="GQ7" s="9" t="s">
        <v>29</v>
      </c>
      <c r="GR7" s="9" t="s">
        <v>30</v>
      </c>
      <c r="GS7" s="9" t="s">
        <v>31</v>
      </c>
      <c r="GT7" s="9" t="s">
        <v>32</v>
      </c>
      <c r="GU7" s="9" t="s">
        <v>33</v>
      </c>
      <c r="GV7" s="9" t="s">
        <v>34</v>
      </c>
      <c r="GW7" s="9" t="s">
        <v>35</v>
      </c>
      <c r="GY7" s="9" t="s">
        <v>20</v>
      </c>
      <c r="GZ7" s="9" t="s">
        <v>21</v>
      </c>
      <c r="HA7" s="9" t="s">
        <v>22</v>
      </c>
      <c r="HB7" s="9" t="s">
        <v>23</v>
      </c>
      <c r="HC7" s="9" t="s">
        <v>24</v>
      </c>
      <c r="HD7" s="9" t="s">
        <v>25</v>
      </c>
      <c r="HE7" s="9" t="s">
        <v>26</v>
      </c>
      <c r="HF7" s="9" t="s">
        <v>27</v>
      </c>
      <c r="HG7" s="9" t="s">
        <v>28</v>
      </c>
      <c r="HH7" s="9" t="s">
        <v>29</v>
      </c>
      <c r="HI7" s="9" t="s">
        <v>30</v>
      </c>
      <c r="HJ7" s="9" t="s">
        <v>31</v>
      </c>
      <c r="HK7" s="9" t="s">
        <v>32</v>
      </c>
      <c r="HL7" s="9" t="s">
        <v>33</v>
      </c>
      <c r="HM7" s="9" t="s">
        <v>34</v>
      </c>
      <c r="HN7" s="9" t="s">
        <v>35</v>
      </c>
      <c r="HP7" s="9" t="s">
        <v>20</v>
      </c>
      <c r="HQ7" s="9" t="s">
        <v>21</v>
      </c>
      <c r="HR7" s="9" t="s">
        <v>22</v>
      </c>
      <c r="HS7" s="9" t="s">
        <v>23</v>
      </c>
      <c r="HT7" s="9" t="s">
        <v>24</v>
      </c>
      <c r="HU7" s="9" t="s">
        <v>25</v>
      </c>
      <c r="HV7" s="9" t="s">
        <v>26</v>
      </c>
      <c r="HW7" s="9" t="s">
        <v>27</v>
      </c>
      <c r="HX7" s="9" t="s">
        <v>28</v>
      </c>
      <c r="HY7" s="9" t="s">
        <v>29</v>
      </c>
      <c r="HZ7" s="9" t="s">
        <v>30</v>
      </c>
      <c r="IA7" s="9" t="s">
        <v>31</v>
      </c>
      <c r="IB7" s="9" t="s">
        <v>32</v>
      </c>
      <c r="IC7" s="9" t="s">
        <v>33</v>
      </c>
      <c r="ID7" s="9" t="s">
        <v>34</v>
      </c>
      <c r="IE7" s="9" t="s">
        <v>35</v>
      </c>
      <c r="IG7" s="9" t="s">
        <v>20</v>
      </c>
      <c r="IH7" s="9" t="s">
        <v>21</v>
      </c>
      <c r="II7" s="9" t="s">
        <v>22</v>
      </c>
      <c r="IJ7" s="9" t="s">
        <v>23</v>
      </c>
      <c r="IK7" s="9" t="s">
        <v>24</v>
      </c>
      <c r="IL7" s="9" t="s">
        <v>25</v>
      </c>
      <c r="IM7" s="9" t="s">
        <v>26</v>
      </c>
      <c r="IN7" s="9" t="s">
        <v>27</v>
      </c>
      <c r="IO7" s="9" t="s">
        <v>28</v>
      </c>
      <c r="IP7" s="9" t="s">
        <v>29</v>
      </c>
      <c r="IQ7" s="9" t="s">
        <v>30</v>
      </c>
      <c r="IR7" s="9" t="s">
        <v>31</v>
      </c>
      <c r="IS7" s="9" t="s">
        <v>32</v>
      </c>
      <c r="IT7" s="9" t="s">
        <v>33</v>
      </c>
      <c r="IU7" s="9" t="s">
        <v>34</v>
      </c>
      <c r="IV7" s="9" t="s">
        <v>35</v>
      </c>
    </row>
    <row r="8" spans="1:256" s="16" customFormat="1" x14ac:dyDescent="0.25">
      <c r="A8" s="15" t="s">
        <v>68</v>
      </c>
      <c r="B8" s="49">
        <v>5</v>
      </c>
      <c r="C8" s="16">
        <v>4</v>
      </c>
      <c r="D8" s="16">
        <v>2</v>
      </c>
      <c r="E8" s="16">
        <v>1</v>
      </c>
      <c r="L8" s="16">
        <v>1</v>
      </c>
      <c r="Q8" s="16">
        <f t="shared" ref="Q8:Q26" si="0">(E8-(F8+G8+H8))+(F8*2)+(G8*3)+(H8*4)</f>
        <v>1</v>
      </c>
      <c r="R8" s="16">
        <f t="shared" ref="R8:R26" si="1">+C8+K8+M8+N8+O8+P8</f>
        <v>4</v>
      </c>
      <c r="S8" s="17"/>
      <c r="AH8" s="16">
        <f t="shared" ref="AH8:AH26" si="2">(V8-(W8+X8+Y8))+(W8*2)+(X8*3)+(Y8*4)</f>
        <v>0</v>
      </c>
      <c r="AI8" s="16">
        <f t="shared" ref="AI8:AI26" si="3">+T8+AB8+AD8+AE8+AF8+AG8</f>
        <v>0</v>
      </c>
      <c r="AJ8" s="18"/>
      <c r="AY8" s="16">
        <f t="shared" ref="AY8:AY26" si="4">(AM8-(AN8+AO8+AP8))+(AN8*2)+(AO8*3)+(AP8*4)</f>
        <v>0</v>
      </c>
      <c r="AZ8" s="16">
        <f t="shared" ref="AZ8:AZ26" si="5">+AK8+AS8+AU8+AV8+AW8+AX8</f>
        <v>0</v>
      </c>
      <c r="BA8" s="18"/>
      <c r="BP8" s="16">
        <f t="shared" ref="BP8:BP26" si="6">(BD8-(BE8+BF8+BG8))+(BE8*2)+(BF8*3)+(BG8*4)</f>
        <v>0</v>
      </c>
      <c r="BQ8" s="16">
        <f t="shared" ref="BQ8:BQ26" si="7">+BB8+BJ8+BL8+BM8+BN8+BO8</f>
        <v>0</v>
      </c>
      <c r="BR8" s="18"/>
      <c r="CG8" s="16">
        <f t="shared" ref="CG8:CG26" si="8">(BU8-(BV8+BW8+BX8))+(BV8*2)+(BW8*3)+(BX8*4)</f>
        <v>0</v>
      </c>
      <c r="CH8" s="16">
        <f t="shared" ref="CH8:CH26" si="9">+BS8+CA8+CC8+CD8+CE8+CF8</f>
        <v>0</v>
      </c>
      <c r="CI8" s="18"/>
      <c r="CX8" s="16">
        <f t="shared" ref="CX8:CX26" si="10">(CL8-(CM8+CN8+CO8))+(CM8*2)+(CN8*3)+(CO8*4)</f>
        <v>0</v>
      </c>
      <c r="CY8" s="16">
        <f t="shared" ref="CY8:CY26" si="11">+CJ8+CR8+CT8+CU8+CV8+CW8</f>
        <v>0</v>
      </c>
      <c r="CZ8" s="18"/>
      <c r="DO8" s="16">
        <f t="shared" ref="DO8:DO26" si="12">(DC8-(DD8+DE8+DF8))+(DD8*2)+(DE8*3)+(DF8*4)</f>
        <v>0</v>
      </c>
      <c r="DP8" s="16">
        <f t="shared" ref="DP8:DP26" si="13">+DA8+DI8+DK8+DL8+DM8+DN8</f>
        <v>0</v>
      </c>
      <c r="DQ8" s="18"/>
      <c r="EF8" s="16">
        <f t="shared" ref="EF8:EF26" si="14">(DT8-(DU8+DV8+DW8))+(DU8*2)+(DV8*3)+(DW8*4)</f>
        <v>0</v>
      </c>
      <c r="EG8" s="16">
        <f t="shared" ref="EG8:EG26" si="15">+DR8+DZ8+EB8+EC8+ED8+EE8</f>
        <v>0</v>
      </c>
      <c r="EH8" s="18"/>
      <c r="EW8" s="16">
        <f t="shared" ref="EW8:EW26" si="16">(EK8-(EL8+EM8+EN8))+(EL8*2)+(EM8*3)+(EN8*4)</f>
        <v>0</v>
      </c>
      <c r="EX8" s="16">
        <f t="shared" ref="EX8:EX26" si="17">+EI8+EQ8+ES8+ET8+EU8+EV8</f>
        <v>0</v>
      </c>
      <c r="EY8" s="18"/>
      <c r="FN8" s="16">
        <f t="shared" ref="FN8:FN26" si="18">(FB8-(FC8+FD8+FE8))+(FC8*2)+(FD8*3)+(FE8*4)</f>
        <v>0</v>
      </c>
      <c r="FO8" s="16">
        <f t="shared" ref="FO8:FO26" si="19">+EZ8+FH8+FJ8+FK8+FL8+FM8</f>
        <v>0</v>
      </c>
      <c r="FP8" s="18"/>
      <c r="GE8" s="16">
        <f t="shared" ref="GE8:GE26" si="20">(FS8-(FT8+FU8+FV8))+(FT8*2)+(FU8*3)+(FV8*4)</f>
        <v>0</v>
      </c>
      <c r="GF8" s="16">
        <f t="shared" ref="GF8:GF26" si="21">+FQ8+FY8+GA8+GB8+GC8+GD8</f>
        <v>0</v>
      </c>
      <c r="GG8" s="18"/>
      <c r="GV8" s="16">
        <f t="shared" ref="GV8:GV26" si="22">(GJ8-(GK8+GL8+GM8))+(GK8*2)+(GL8*3)+(GM8*4)</f>
        <v>0</v>
      </c>
      <c r="GW8" s="16">
        <f t="shared" ref="GW8:GW26" si="23">+GH8+GP8+GR8+GS8+GT8+GU8</f>
        <v>0</v>
      </c>
      <c r="GX8" s="18"/>
      <c r="HM8" s="16">
        <f t="shared" ref="HM8:HM26" si="24">(HA8-(HB8+HC8+HD8))+(HB8*2)+(HC8*3)+(HD8*4)</f>
        <v>0</v>
      </c>
      <c r="HN8" s="16">
        <f t="shared" ref="HN8:HN26" si="25">+GY8+HG8+HI8+HJ8+HK8+HL8</f>
        <v>0</v>
      </c>
      <c r="HO8" s="18"/>
      <c r="ID8" s="16">
        <f t="shared" ref="ID8:ID26" si="26">(HR8-(HS8+HT8+HU8))+(HS8*2)+(HT8*3)+(HU8*4)</f>
        <v>0</v>
      </c>
      <c r="IE8" s="16">
        <f t="shared" ref="IE8:IE26" si="27">+HP8+HX8+HZ8+IA8+IB8+IC8</f>
        <v>0</v>
      </c>
      <c r="IF8" s="18"/>
      <c r="IU8" s="16">
        <f t="shared" ref="IU8:IU26" si="28">(II8-(IJ8+IK8+IL8))+(IJ8*2)+(IK8*3)+(IL8*4)</f>
        <v>0</v>
      </c>
      <c r="IV8" s="16">
        <f t="shared" ref="IV8:IV26" si="29">+IG8+IO8+IQ8+IR8+IS8+IT8</f>
        <v>0</v>
      </c>
    </row>
    <row r="9" spans="1:256" s="16" customFormat="1" x14ac:dyDescent="0.25">
      <c r="A9" s="15" t="s">
        <v>37</v>
      </c>
      <c r="B9" s="49">
        <v>6</v>
      </c>
      <c r="C9" s="16">
        <v>3</v>
      </c>
      <c r="D9" s="16">
        <v>1</v>
      </c>
      <c r="E9" s="16">
        <v>1</v>
      </c>
      <c r="F9" s="16">
        <v>1</v>
      </c>
      <c r="K9" s="16">
        <v>1</v>
      </c>
      <c r="Q9" s="16">
        <f t="shared" si="0"/>
        <v>2</v>
      </c>
      <c r="R9" s="16">
        <f t="shared" si="1"/>
        <v>4</v>
      </c>
      <c r="S9" s="17"/>
      <c r="AH9" s="16">
        <f t="shared" si="2"/>
        <v>0</v>
      </c>
      <c r="AI9" s="16">
        <f t="shared" si="3"/>
        <v>0</v>
      </c>
      <c r="AJ9" s="18"/>
      <c r="AY9" s="16">
        <f t="shared" si="4"/>
        <v>0</v>
      </c>
      <c r="AZ9" s="16">
        <f t="shared" si="5"/>
        <v>0</v>
      </c>
      <c r="BA9" s="18"/>
      <c r="BP9" s="16">
        <f t="shared" si="6"/>
        <v>0</v>
      </c>
      <c r="BQ9" s="16">
        <f t="shared" si="7"/>
        <v>0</v>
      </c>
      <c r="BR9" s="18"/>
      <c r="CG9" s="16">
        <f t="shared" si="8"/>
        <v>0</v>
      </c>
      <c r="CH9" s="16">
        <f t="shared" si="9"/>
        <v>0</v>
      </c>
      <c r="CI9" s="18"/>
      <c r="CX9" s="16">
        <f t="shared" si="10"/>
        <v>0</v>
      </c>
      <c r="CY9" s="16">
        <f t="shared" si="11"/>
        <v>0</v>
      </c>
      <c r="CZ9" s="18"/>
      <c r="DO9" s="16">
        <f t="shared" si="12"/>
        <v>0</v>
      </c>
      <c r="DP9" s="16">
        <f t="shared" si="13"/>
        <v>0</v>
      </c>
      <c r="DQ9" s="18"/>
      <c r="EF9" s="16">
        <f t="shared" si="14"/>
        <v>0</v>
      </c>
      <c r="EG9" s="16">
        <f t="shared" si="15"/>
        <v>0</v>
      </c>
      <c r="EH9" s="18"/>
      <c r="EW9" s="16">
        <f t="shared" si="16"/>
        <v>0</v>
      </c>
      <c r="EX9" s="16">
        <f t="shared" si="17"/>
        <v>0</v>
      </c>
      <c r="EY9" s="18"/>
      <c r="FN9" s="16">
        <f t="shared" si="18"/>
        <v>0</v>
      </c>
      <c r="FO9" s="16">
        <f t="shared" si="19"/>
        <v>0</v>
      </c>
      <c r="FP9" s="18"/>
      <c r="GE9" s="16">
        <f t="shared" si="20"/>
        <v>0</v>
      </c>
      <c r="GF9" s="16">
        <f t="shared" si="21"/>
        <v>0</v>
      </c>
      <c r="GG9" s="18"/>
      <c r="GV9" s="16">
        <f t="shared" si="22"/>
        <v>0</v>
      </c>
      <c r="GW9" s="16">
        <f t="shared" si="23"/>
        <v>0</v>
      </c>
      <c r="GX9" s="18"/>
      <c r="HM9" s="16">
        <f t="shared" si="24"/>
        <v>0</v>
      </c>
      <c r="HN9" s="16">
        <f t="shared" si="25"/>
        <v>0</v>
      </c>
      <c r="HO9" s="18"/>
      <c r="ID9" s="16">
        <f t="shared" si="26"/>
        <v>0</v>
      </c>
      <c r="IE9" s="16">
        <f t="shared" si="27"/>
        <v>0</v>
      </c>
      <c r="IF9" s="18"/>
      <c r="IU9" s="16">
        <f t="shared" si="28"/>
        <v>0</v>
      </c>
      <c r="IV9" s="16">
        <f t="shared" si="29"/>
        <v>0</v>
      </c>
    </row>
    <row r="10" spans="1:256" s="16" customFormat="1" x14ac:dyDescent="0.25">
      <c r="A10" s="15" t="s">
        <v>38</v>
      </c>
      <c r="B10" s="49"/>
      <c r="C10" s="16">
        <v>4</v>
      </c>
      <c r="E10" s="16">
        <v>1</v>
      </c>
      <c r="Q10" s="16">
        <f t="shared" si="0"/>
        <v>1</v>
      </c>
      <c r="R10" s="16">
        <f t="shared" si="1"/>
        <v>4</v>
      </c>
      <c r="S10" s="17"/>
      <c r="AH10" s="16">
        <f t="shared" si="2"/>
        <v>0</v>
      </c>
      <c r="AI10" s="16">
        <f t="shared" si="3"/>
        <v>0</v>
      </c>
      <c r="AJ10" s="18"/>
      <c r="AY10" s="16">
        <f t="shared" si="4"/>
        <v>0</v>
      </c>
      <c r="AZ10" s="16">
        <f t="shared" si="5"/>
        <v>0</v>
      </c>
      <c r="BA10" s="18"/>
      <c r="BP10" s="16">
        <f t="shared" si="6"/>
        <v>0</v>
      </c>
      <c r="BQ10" s="16">
        <f t="shared" si="7"/>
        <v>0</v>
      </c>
      <c r="BR10" s="18"/>
      <c r="CG10" s="16">
        <f t="shared" si="8"/>
        <v>0</v>
      </c>
      <c r="CH10" s="16">
        <f t="shared" si="9"/>
        <v>0</v>
      </c>
      <c r="CI10" s="18"/>
      <c r="CX10" s="16">
        <f t="shared" si="10"/>
        <v>0</v>
      </c>
      <c r="CY10" s="16">
        <f t="shared" si="11"/>
        <v>0</v>
      </c>
      <c r="CZ10" s="18"/>
      <c r="DO10" s="16">
        <f t="shared" si="12"/>
        <v>0</v>
      </c>
      <c r="DP10" s="16">
        <f t="shared" si="13"/>
        <v>0</v>
      </c>
      <c r="DQ10" s="18"/>
      <c r="EF10" s="16">
        <f t="shared" si="14"/>
        <v>0</v>
      </c>
      <c r="EG10" s="16">
        <f t="shared" si="15"/>
        <v>0</v>
      </c>
      <c r="EH10" s="18"/>
      <c r="EW10" s="16">
        <f t="shared" si="16"/>
        <v>0</v>
      </c>
      <c r="EX10" s="16">
        <f t="shared" si="17"/>
        <v>0</v>
      </c>
      <c r="EY10" s="18"/>
      <c r="FN10" s="16">
        <f t="shared" si="18"/>
        <v>0</v>
      </c>
      <c r="FO10" s="16">
        <f t="shared" si="19"/>
        <v>0</v>
      </c>
      <c r="FP10" s="18"/>
      <c r="GE10" s="16">
        <f t="shared" si="20"/>
        <v>0</v>
      </c>
      <c r="GF10" s="16">
        <f t="shared" si="21"/>
        <v>0</v>
      </c>
      <c r="GG10" s="18"/>
      <c r="GV10" s="16">
        <f t="shared" si="22"/>
        <v>0</v>
      </c>
      <c r="GW10" s="16">
        <f t="shared" si="23"/>
        <v>0</v>
      </c>
      <c r="GX10" s="18"/>
      <c r="HM10" s="16">
        <f t="shared" si="24"/>
        <v>0</v>
      </c>
      <c r="HN10" s="16">
        <f t="shared" si="25"/>
        <v>0</v>
      </c>
      <c r="HO10" s="18"/>
      <c r="ID10" s="16">
        <f t="shared" si="26"/>
        <v>0</v>
      </c>
      <c r="IE10" s="16">
        <f t="shared" si="27"/>
        <v>0</v>
      </c>
      <c r="IF10" s="18"/>
      <c r="IU10" s="16">
        <f t="shared" si="28"/>
        <v>0</v>
      </c>
      <c r="IV10" s="16">
        <f t="shared" si="29"/>
        <v>0</v>
      </c>
    </row>
    <row r="11" spans="1:256" s="16" customFormat="1" x14ac:dyDescent="0.25">
      <c r="A11" s="15" t="s">
        <v>39</v>
      </c>
      <c r="B11" s="49"/>
      <c r="D11" s="16">
        <v>1</v>
      </c>
      <c r="I11" s="16">
        <v>1</v>
      </c>
      <c r="K11" s="16">
        <v>3</v>
      </c>
      <c r="L11" s="16">
        <v>3</v>
      </c>
      <c r="Q11" s="16">
        <f t="shared" si="0"/>
        <v>0</v>
      </c>
      <c r="R11" s="16">
        <f t="shared" si="1"/>
        <v>3</v>
      </c>
      <c r="S11" s="17"/>
      <c r="AH11" s="16">
        <f t="shared" si="2"/>
        <v>0</v>
      </c>
      <c r="AI11" s="16">
        <f t="shared" si="3"/>
        <v>0</v>
      </c>
      <c r="AJ11" s="18"/>
      <c r="AY11" s="16">
        <f t="shared" si="4"/>
        <v>0</v>
      </c>
      <c r="AZ11" s="16">
        <f t="shared" si="5"/>
        <v>0</v>
      </c>
      <c r="BA11" s="18"/>
      <c r="BP11" s="16">
        <f t="shared" si="6"/>
        <v>0</v>
      </c>
      <c r="BQ11" s="16">
        <f t="shared" si="7"/>
        <v>0</v>
      </c>
      <c r="BR11" s="18"/>
      <c r="CG11" s="16">
        <f t="shared" si="8"/>
        <v>0</v>
      </c>
      <c r="CH11" s="16">
        <f t="shared" si="9"/>
        <v>0</v>
      </c>
      <c r="CI11" s="18"/>
      <c r="CX11" s="16">
        <f t="shared" si="10"/>
        <v>0</v>
      </c>
      <c r="CY11" s="16">
        <f t="shared" si="11"/>
        <v>0</v>
      </c>
      <c r="CZ11" s="18"/>
      <c r="DO11" s="16">
        <f t="shared" si="12"/>
        <v>0</v>
      </c>
      <c r="DP11" s="16">
        <f t="shared" si="13"/>
        <v>0</v>
      </c>
      <c r="DQ11" s="18"/>
      <c r="EF11" s="16">
        <f t="shared" si="14"/>
        <v>0</v>
      </c>
      <c r="EG11" s="16">
        <f t="shared" si="15"/>
        <v>0</v>
      </c>
      <c r="EH11" s="18"/>
      <c r="EW11" s="16">
        <f t="shared" si="16"/>
        <v>0</v>
      </c>
      <c r="EX11" s="16">
        <f t="shared" si="17"/>
        <v>0</v>
      </c>
      <c r="EY11" s="18"/>
      <c r="FN11" s="16">
        <f t="shared" si="18"/>
        <v>0</v>
      </c>
      <c r="FO11" s="16">
        <f t="shared" si="19"/>
        <v>0</v>
      </c>
      <c r="FP11" s="18"/>
      <c r="GE11" s="16">
        <f t="shared" si="20"/>
        <v>0</v>
      </c>
      <c r="GF11" s="16">
        <f t="shared" si="21"/>
        <v>0</v>
      </c>
      <c r="GG11" s="18"/>
      <c r="GV11" s="16">
        <f t="shared" si="22"/>
        <v>0</v>
      </c>
      <c r="GW11" s="16">
        <f t="shared" si="23"/>
        <v>0</v>
      </c>
      <c r="GX11" s="18"/>
      <c r="HM11" s="16">
        <f t="shared" si="24"/>
        <v>0</v>
      </c>
      <c r="HN11" s="16">
        <f t="shared" si="25"/>
        <v>0</v>
      </c>
      <c r="HO11" s="18"/>
      <c r="ID11" s="16">
        <f t="shared" si="26"/>
        <v>0</v>
      </c>
      <c r="IE11" s="16">
        <f t="shared" si="27"/>
        <v>0</v>
      </c>
      <c r="IF11" s="18"/>
      <c r="IU11" s="16">
        <f t="shared" si="28"/>
        <v>0</v>
      </c>
      <c r="IV11" s="16">
        <f t="shared" si="29"/>
        <v>0</v>
      </c>
    </row>
    <row r="12" spans="1:256" s="16" customFormat="1" x14ac:dyDescent="0.25">
      <c r="A12" s="15" t="s">
        <v>40</v>
      </c>
      <c r="B12" s="49"/>
      <c r="C12" s="16">
        <v>1</v>
      </c>
      <c r="Q12" s="16">
        <f t="shared" si="0"/>
        <v>0</v>
      </c>
      <c r="R12" s="16">
        <f t="shared" si="1"/>
        <v>1</v>
      </c>
      <c r="S12" s="17"/>
      <c r="AH12" s="16">
        <f t="shared" si="2"/>
        <v>0</v>
      </c>
      <c r="AI12" s="16">
        <f t="shared" si="3"/>
        <v>0</v>
      </c>
      <c r="AJ12" s="18"/>
      <c r="AY12" s="16">
        <f t="shared" si="4"/>
        <v>0</v>
      </c>
      <c r="AZ12" s="16">
        <f t="shared" si="5"/>
        <v>0</v>
      </c>
      <c r="BA12" s="18"/>
      <c r="BP12" s="16">
        <f t="shared" si="6"/>
        <v>0</v>
      </c>
      <c r="BQ12" s="16">
        <f t="shared" si="7"/>
        <v>0</v>
      </c>
      <c r="BR12" s="18"/>
      <c r="CG12" s="16">
        <f t="shared" si="8"/>
        <v>0</v>
      </c>
      <c r="CH12" s="16">
        <f t="shared" si="9"/>
        <v>0</v>
      </c>
      <c r="CI12" s="18"/>
      <c r="CX12" s="16">
        <f t="shared" si="10"/>
        <v>0</v>
      </c>
      <c r="CY12" s="16">
        <f t="shared" si="11"/>
        <v>0</v>
      </c>
      <c r="CZ12" s="18"/>
      <c r="DO12" s="16">
        <f t="shared" si="12"/>
        <v>0</v>
      </c>
      <c r="DP12" s="16">
        <f t="shared" si="13"/>
        <v>0</v>
      </c>
      <c r="DQ12" s="18"/>
      <c r="EF12" s="16">
        <f t="shared" si="14"/>
        <v>0</v>
      </c>
      <c r="EG12" s="16">
        <f t="shared" si="15"/>
        <v>0</v>
      </c>
      <c r="EH12" s="18"/>
      <c r="EW12" s="16">
        <f t="shared" si="16"/>
        <v>0</v>
      </c>
      <c r="EX12" s="16">
        <f t="shared" si="17"/>
        <v>0</v>
      </c>
      <c r="EY12" s="18"/>
      <c r="FN12" s="16">
        <f t="shared" si="18"/>
        <v>0</v>
      </c>
      <c r="FO12" s="16">
        <f t="shared" si="19"/>
        <v>0</v>
      </c>
      <c r="FP12" s="18"/>
      <c r="GE12" s="16">
        <f t="shared" si="20"/>
        <v>0</v>
      </c>
      <c r="GF12" s="16">
        <f t="shared" si="21"/>
        <v>0</v>
      </c>
      <c r="GG12" s="18"/>
      <c r="GV12" s="16">
        <f t="shared" si="22"/>
        <v>0</v>
      </c>
      <c r="GW12" s="16">
        <f t="shared" si="23"/>
        <v>0</v>
      </c>
      <c r="GX12" s="18"/>
      <c r="HM12" s="16">
        <f t="shared" si="24"/>
        <v>0</v>
      </c>
      <c r="HN12" s="16">
        <f t="shared" si="25"/>
        <v>0</v>
      </c>
      <c r="HO12" s="18"/>
      <c r="ID12" s="16">
        <f t="shared" si="26"/>
        <v>0</v>
      </c>
      <c r="IE12" s="16">
        <f t="shared" si="27"/>
        <v>0</v>
      </c>
      <c r="IF12" s="18"/>
      <c r="IU12" s="16">
        <f t="shared" si="28"/>
        <v>0</v>
      </c>
      <c r="IV12" s="16">
        <f t="shared" si="29"/>
        <v>0</v>
      </c>
    </row>
    <row r="13" spans="1:256" s="16" customFormat="1" x14ac:dyDescent="0.25">
      <c r="A13" s="15" t="s">
        <v>41</v>
      </c>
      <c r="B13" s="49"/>
      <c r="C13" s="16">
        <v>2</v>
      </c>
      <c r="J13" s="16">
        <v>1</v>
      </c>
      <c r="Q13" s="16">
        <f t="shared" si="0"/>
        <v>0</v>
      </c>
      <c r="R13" s="16">
        <f t="shared" si="1"/>
        <v>2</v>
      </c>
      <c r="S13" s="17"/>
      <c r="AH13" s="16">
        <f t="shared" si="2"/>
        <v>0</v>
      </c>
      <c r="AI13" s="16">
        <f t="shared" si="3"/>
        <v>0</v>
      </c>
      <c r="AJ13" s="18"/>
      <c r="AY13" s="16">
        <f t="shared" si="4"/>
        <v>0</v>
      </c>
      <c r="AZ13" s="16">
        <f t="shared" si="5"/>
        <v>0</v>
      </c>
      <c r="BA13" s="18"/>
      <c r="BP13" s="16">
        <f t="shared" si="6"/>
        <v>0</v>
      </c>
      <c r="BQ13" s="16">
        <f t="shared" si="7"/>
        <v>0</v>
      </c>
      <c r="BR13" s="18"/>
      <c r="CG13" s="16">
        <f t="shared" si="8"/>
        <v>0</v>
      </c>
      <c r="CH13" s="16">
        <f t="shared" si="9"/>
        <v>0</v>
      </c>
      <c r="CI13" s="18"/>
      <c r="CX13" s="16">
        <f t="shared" si="10"/>
        <v>0</v>
      </c>
      <c r="CY13" s="16">
        <f t="shared" si="11"/>
        <v>0</v>
      </c>
      <c r="CZ13" s="18"/>
      <c r="DO13" s="16">
        <f t="shared" si="12"/>
        <v>0</v>
      </c>
      <c r="DP13" s="16">
        <f t="shared" si="13"/>
        <v>0</v>
      </c>
      <c r="DQ13" s="18"/>
      <c r="EF13" s="16">
        <f t="shared" si="14"/>
        <v>0</v>
      </c>
      <c r="EG13" s="16">
        <f t="shared" si="15"/>
        <v>0</v>
      </c>
      <c r="EH13" s="18"/>
      <c r="EW13" s="16">
        <f t="shared" si="16"/>
        <v>0</v>
      </c>
      <c r="EX13" s="16">
        <f t="shared" si="17"/>
        <v>0</v>
      </c>
      <c r="EY13" s="18"/>
      <c r="FN13" s="16">
        <f t="shared" si="18"/>
        <v>0</v>
      </c>
      <c r="FO13" s="16">
        <f t="shared" si="19"/>
        <v>0</v>
      </c>
      <c r="FP13" s="18"/>
      <c r="GE13" s="16">
        <f t="shared" si="20"/>
        <v>0</v>
      </c>
      <c r="GF13" s="16">
        <f t="shared" si="21"/>
        <v>0</v>
      </c>
      <c r="GG13" s="18"/>
      <c r="GV13" s="16">
        <f t="shared" si="22"/>
        <v>0</v>
      </c>
      <c r="GW13" s="16">
        <f t="shared" si="23"/>
        <v>0</v>
      </c>
      <c r="GX13" s="18"/>
      <c r="HM13" s="16">
        <f t="shared" si="24"/>
        <v>0</v>
      </c>
      <c r="HN13" s="16">
        <f t="shared" si="25"/>
        <v>0</v>
      </c>
      <c r="HO13" s="18"/>
      <c r="ID13" s="16">
        <f t="shared" si="26"/>
        <v>0</v>
      </c>
      <c r="IE13" s="16">
        <f t="shared" si="27"/>
        <v>0</v>
      </c>
      <c r="IF13" s="18"/>
      <c r="IU13" s="16">
        <f t="shared" si="28"/>
        <v>0</v>
      </c>
      <c r="IV13" s="16">
        <f t="shared" si="29"/>
        <v>0</v>
      </c>
    </row>
    <row r="14" spans="1:256" s="16" customFormat="1" x14ac:dyDescent="0.25">
      <c r="A14" s="15" t="s">
        <v>42</v>
      </c>
      <c r="B14" s="49"/>
      <c r="C14" s="16">
        <v>3</v>
      </c>
      <c r="D14" s="16">
        <v>2</v>
      </c>
      <c r="E14" s="16">
        <v>2</v>
      </c>
      <c r="I14" s="16">
        <v>1</v>
      </c>
      <c r="J14" s="16">
        <v>1</v>
      </c>
      <c r="L14" s="16">
        <v>1</v>
      </c>
      <c r="Q14" s="16">
        <f t="shared" si="0"/>
        <v>2</v>
      </c>
      <c r="R14" s="16">
        <f t="shared" si="1"/>
        <v>3</v>
      </c>
      <c r="S14" s="17"/>
      <c r="AH14" s="16">
        <f t="shared" si="2"/>
        <v>0</v>
      </c>
      <c r="AI14" s="16">
        <f t="shared" si="3"/>
        <v>0</v>
      </c>
      <c r="AJ14" s="18"/>
      <c r="AY14" s="16">
        <f t="shared" si="4"/>
        <v>0</v>
      </c>
      <c r="AZ14" s="16">
        <f t="shared" si="5"/>
        <v>0</v>
      </c>
      <c r="BA14" s="18"/>
      <c r="BP14" s="16">
        <f t="shared" si="6"/>
        <v>0</v>
      </c>
      <c r="BQ14" s="16">
        <f t="shared" si="7"/>
        <v>0</v>
      </c>
      <c r="BR14" s="18"/>
      <c r="CG14" s="16">
        <f t="shared" si="8"/>
        <v>0</v>
      </c>
      <c r="CH14" s="16">
        <f t="shared" si="9"/>
        <v>0</v>
      </c>
      <c r="CI14" s="18"/>
      <c r="CX14" s="16">
        <f t="shared" si="10"/>
        <v>0</v>
      </c>
      <c r="CY14" s="16">
        <f t="shared" si="11"/>
        <v>0</v>
      </c>
      <c r="CZ14" s="18"/>
      <c r="DO14" s="16">
        <f t="shared" si="12"/>
        <v>0</v>
      </c>
      <c r="DP14" s="16">
        <f t="shared" si="13"/>
        <v>0</v>
      </c>
      <c r="DQ14" s="18"/>
      <c r="EF14" s="16">
        <f t="shared" si="14"/>
        <v>0</v>
      </c>
      <c r="EG14" s="16">
        <f t="shared" si="15"/>
        <v>0</v>
      </c>
      <c r="EH14" s="18"/>
      <c r="EW14" s="16">
        <f t="shared" si="16"/>
        <v>0</v>
      </c>
      <c r="EX14" s="16">
        <f t="shared" si="17"/>
        <v>0</v>
      </c>
      <c r="EY14" s="18"/>
      <c r="FN14" s="16">
        <f t="shared" si="18"/>
        <v>0</v>
      </c>
      <c r="FO14" s="16">
        <f t="shared" si="19"/>
        <v>0</v>
      </c>
      <c r="FP14" s="18"/>
      <c r="GE14" s="16">
        <f t="shared" si="20"/>
        <v>0</v>
      </c>
      <c r="GF14" s="16">
        <f t="shared" si="21"/>
        <v>0</v>
      </c>
      <c r="GG14" s="18"/>
      <c r="GV14" s="16">
        <f t="shared" si="22"/>
        <v>0</v>
      </c>
      <c r="GW14" s="16">
        <f t="shared" si="23"/>
        <v>0</v>
      </c>
      <c r="GX14" s="18"/>
      <c r="HM14" s="16">
        <f t="shared" si="24"/>
        <v>0</v>
      </c>
      <c r="HN14" s="16">
        <f t="shared" si="25"/>
        <v>0</v>
      </c>
      <c r="HO14" s="18"/>
      <c r="ID14" s="16">
        <f t="shared" si="26"/>
        <v>0</v>
      </c>
      <c r="IE14" s="16">
        <f t="shared" si="27"/>
        <v>0</v>
      </c>
      <c r="IF14" s="18"/>
      <c r="IU14" s="16">
        <f t="shared" si="28"/>
        <v>0</v>
      </c>
      <c r="IV14" s="16">
        <f t="shared" si="29"/>
        <v>0</v>
      </c>
    </row>
    <row r="15" spans="1:256" s="16" customFormat="1" x14ac:dyDescent="0.25">
      <c r="A15" s="15" t="s">
        <v>43</v>
      </c>
      <c r="B15" s="49"/>
      <c r="C15" s="16">
        <v>3</v>
      </c>
      <c r="D15" s="16">
        <v>1</v>
      </c>
      <c r="E15" s="16">
        <v>2</v>
      </c>
      <c r="G15" s="16">
        <v>1</v>
      </c>
      <c r="Q15" s="16">
        <f t="shared" si="0"/>
        <v>4</v>
      </c>
      <c r="R15" s="16">
        <f t="shared" si="1"/>
        <v>3</v>
      </c>
      <c r="S15" s="17"/>
      <c r="AH15" s="16">
        <f t="shared" si="2"/>
        <v>0</v>
      </c>
      <c r="AI15" s="16">
        <f t="shared" si="3"/>
        <v>0</v>
      </c>
      <c r="AJ15" s="18"/>
      <c r="AY15" s="16">
        <f t="shared" si="4"/>
        <v>0</v>
      </c>
      <c r="AZ15" s="16">
        <f t="shared" si="5"/>
        <v>0</v>
      </c>
      <c r="BA15" s="18"/>
      <c r="BP15" s="16">
        <f t="shared" si="6"/>
        <v>0</v>
      </c>
      <c r="BQ15" s="16">
        <f t="shared" si="7"/>
        <v>0</v>
      </c>
      <c r="BR15" s="18"/>
      <c r="CG15" s="16">
        <f t="shared" si="8"/>
        <v>0</v>
      </c>
      <c r="CH15" s="16">
        <f t="shared" si="9"/>
        <v>0</v>
      </c>
      <c r="CI15" s="18"/>
      <c r="CX15" s="16">
        <f t="shared" si="10"/>
        <v>0</v>
      </c>
      <c r="CY15" s="16">
        <f t="shared" si="11"/>
        <v>0</v>
      </c>
      <c r="CZ15" s="18"/>
      <c r="DO15" s="16">
        <f t="shared" si="12"/>
        <v>0</v>
      </c>
      <c r="DP15" s="16">
        <f t="shared" si="13"/>
        <v>0</v>
      </c>
      <c r="DQ15" s="18"/>
      <c r="EF15" s="16">
        <f t="shared" si="14"/>
        <v>0</v>
      </c>
      <c r="EG15" s="16">
        <f t="shared" si="15"/>
        <v>0</v>
      </c>
      <c r="EH15" s="18"/>
      <c r="EW15" s="16">
        <f t="shared" si="16"/>
        <v>0</v>
      </c>
      <c r="EX15" s="16">
        <f t="shared" si="17"/>
        <v>0</v>
      </c>
      <c r="EY15" s="18"/>
      <c r="FN15" s="16">
        <f t="shared" si="18"/>
        <v>0</v>
      </c>
      <c r="FO15" s="16">
        <f t="shared" si="19"/>
        <v>0</v>
      </c>
      <c r="FP15" s="18"/>
      <c r="GE15" s="16">
        <f t="shared" si="20"/>
        <v>0</v>
      </c>
      <c r="GF15" s="16">
        <f t="shared" si="21"/>
        <v>0</v>
      </c>
      <c r="GG15" s="18"/>
      <c r="GV15" s="16">
        <f t="shared" si="22"/>
        <v>0</v>
      </c>
      <c r="GW15" s="16">
        <f t="shared" si="23"/>
        <v>0</v>
      </c>
      <c r="GX15" s="18"/>
      <c r="HM15" s="16">
        <f t="shared" si="24"/>
        <v>0</v>
      </c>
      <c r="HN15" s="16">
        <f t="shared" si="25"/>
        <v>0</v>
      </c>
      <c r="HO15" s="18"/>
      <c r="ID15" s="16">
        <f t="shared" si="26"/>
        <v>0</v>
      </c>
      <c r="IE15" s="16">
        <f t="shared" si="27"/>
        <v>0</v>
      </c>
      <c r="IF15" s="18"/>
      <c r="IU15" s="16">
        <f t="shared" si="28"/>
        <v>0</v>
      </c>
      <c r="IV15" s="16">
        <f t="shared" si="29"/>
        <v>0</v>
      </c>
    </row>
    <row r="16" spans="1:256" s="16" customFormat="1" x14ac:dyDescent="0.25">
      <c r="A16" s="15" t="s">
        <v>44</v>
      </c>
      <c r="B16" s="49"/>
      <c r="C16" s="16">
        <v>3</v>
      </c>
      <c r="D16" s="16">
        <v>2</v>
      </c>
      <c r="E16" s="16">
        <v>2</v>
      </c>
      <c r="F16" s="16">
        <v>1</v>
      </c>
      <c r="I16" s="16">
        <v>2</v>
      </c>
      <c r="J16" s="16">
        <v>1</v>
      </c>
      <c r="L16" s="16">
        <v>3</v>
      </c>
      <c r="Q16" s="16">
        <f t="shared" si="0"/>
        <v>3</v>
      </c>
      <c r="R16" s="16">
        <f t="shared" si="1"/>
        <v>3</v>
      </c>
      <c r="S16" s="17"/>
      <c r="AH16" s="16">
        <f t="shared" si="2"/>
        <v>0</v>
      </c>
      <c r="AI16" s="16">
        <f t="shared" si="3"/>
        <v>0</v>
      </c>
      <c r="AJ16" s="18"/>
      <c r="AY16" s="16">
        <f t="shared" si="4"/>
        <v>0</v>
      </c>
      <c r="AZ16" s="16">
        <f t="shared" si="5"/>
        <v>0</v>
      </c>
      <c r="BA16" s="18"/>
      <c r="BP16" s="16">
        <f t="shared" si="6"/>
        <v>0</v>
      </c>
      <c r="BQ16" s="16">
        <f t="shared" si="7"/>
        <v>0</v>
      </c>
      <c r="BR16" s="18"/>
      <c r="CG16" s="16">
        <f t="shared" si="8"/>
        <v>0</v>
      </c>
      <c r="CH16" s="16">
        <f t="shared" si="9"/>
        <v>0</v>
      </c>
      <c r="CI16" s="18"/>
      <c r="CX16" s="16">
        <f t="shared" si="10"/>
        <v>0</v>
      </c>
      <c r="CY16" s="16">
        <f t="shared" si="11"/>
        <v>0</v>
      </c>
      <c r="CZ16" s="18"/>
      <c r="DO16" s="16">
        <f t="shared" si="12"/>
        <v>0</v>
      </c>
      <c r="DP16" s="16">
        <f t="shared" si="13"/>
        <v>0</v>
      </c>
      <c r="DQ16" s="18"/>
      <c r="EF16" s="16">
        <f t="shared" si="14"/>
        <v>0</v>
      </c>
      <c r="EG16" s="16">
        <f t="shared" si="15"/>
        <v>0</v>
      </c>
      <c r="EH16" s="18"/>
      <c r="EW16" s="16">
        <f t="shared" si="16"/>
        <v>0</v>
      </c>
      <c r="EX16" s="16">
        <f t="shared" si="17"/>
        <v>0</v>
      </c>
      <c r="EY16" s="18"/>
      <c r="FN16" s="16">
        <f t="shared" si="18"/>
        <v>0</v>
      </c>
      <c r="FO16" s="16">
        <f t="shared" si="19"/>
        <v>0</v>
      </c>
      <c r="FP16" s="18"/>
      <c r="GE16" s="16">
        <f t="shared" si="20"/>
        <v>0</v>
      </c>
      <c r="GF16" s="16">
        <f t="shared" si="21"/>
        <v>0</v>
      </c>
      <c r="GG16" s="18"/>
      <c r="GV16" s="16">
        <f t="shared" si="22"/>
        <v>0</v>
      </c>
      <c r="GW16" s="16">
        <f t="shared" si="23"/>
        <v>0</v>
      </c>
      <c r="GX16" s="18"/>
      <c r="HM16" s="16">
        <f t="shared" si="24"/>
        <v>0</v>
      </c>
      <c r="HN16" s="16">
        <f t="shared" si="25"/>
        <v>0</v>
      </c>
      <c r="HO16" s="18"/>
      <c r="ID16" s="16">
        <f t="shared" si="26"/>
        <v>0</v>
      </c>
      <c r="IE16" s="16">
        <f t="shared" si="27"/>
        <v>0</v>
      </c>
      <c r="IF16" s="18"/>
      <c r="IU16" s="16">
        <f t="shared" si="28"/>
        <v>0</v>
      </c>
      <c r="IV16" s="16">
        <f t="shared" si="29"/>
        <v>0</v>
      </c>
    </row>
    <row r="17" spans="1:256" s="16" customFormat="1" x14ac:dyDescent="0.25">
      <c r="A17" s="19" t="s">
        <v>45</v>
      </c>
      <c r="B17" s="49"/>
      <c r="C17" s="16">
        <v>2</v>
      </c>
      <c r="D17" s="16">
        <v>1</v>
      </c>
      <c r="J17" s="16">
        <v>1</v>
      </c>
      <c r="K17" s="16">
        <v>1</v>
      </c>
      <c r="L17" s="16">
        <v>1</v>
      </c>
      <c r="Q17" s="16">
        <f t="shared" si="0"/>
        <v>0</v>
      </c>
      <c r="R17" s="16">
        <f t="shared" si="1"/>
        <v>3</v>
      </c>
      <c r="S17" s="17"/>
      <c r="AH17" s="16">
        <f t="shared" si="2"/>
        <v>0</v>
      </c>
      <c r="AI17" s="16">
        <f t="shared" si="3"/>
        <v>0</v>
      </c>
      <c r="AJ17" s="18"/>
      <c r="AY17" s="16">
        <f t="shared" si="4"/>
        <v>0</v>
      </c>
      <c r="AZ17" s="16">
        <f t="shared" si="5"/>
        <v>0</v>
      </c>
      <c r="BA17" s="18"/>
      <c r="BP17" s="16">
        <f t="shared" si="6"/>
        <v>0</v>
      </c>
      <c r="BQ17" s="16">
        <f t="shared" si="7"/>
        <v>0</v>
      </c>
      <c r="BR17" s="18"/>
      <c r="CG17" s="16">
        <f t="shared" si="8"/>
        <v>0</v>
      </c>
      <c r="CH17" s="16">
        <f t="shared" si="9"/>
        <v>0</v>
      </c>
      <c r="CI17" s="18"/>
      <c r="CX17" s="16">
        <f t="shared" si="10"/>
        <v>0</v>
      </c>
      <c r="CY17" s="16">
        <f t="shared" si="11"/>
        <v>0</v>
      </c>
      <c r="CZ17" s="18"/>
      <c r="DO17" s="16">
        <f t="shared" si="12"/>
        <v>0</v>
      </c>
      <c r="DP17" s="16">
        <f t="shared" si="13"/>
        <v>0</v>
      </c>
      <c r="DQ17" s="18"/>
      <c r="EF17" s="16">
        <f t="shared" si="14"/>
        <v>0</v>
      </c>
      <c r="EG17" s="16">
        <f t="shared" si="15"/>
        <v>0</v>
      </c>
      <c r="EH17" s="18"/>
      <c r="EW17" s="16">
        <f t="shared" si="16"/>
        <v>0</v>
      </c>
      <c r="EX17" s="16">
        <f t="shared" si="17"/>
        <v>0</v>
      </c>
      <c r="EY17" s="18"/>
      <c r="FN17" s="16">
        <f t="shared" si="18"/>
        <v>0</v>
      </c>
      <c r="FO17" s="16">
        <f t="shared" si="19"/>
        <v>0</v>
      </c>
      <c r="FP17" s="18"/>
      <c r="GE17" s="16">
        <f t="shared" si="20"/>
        <v>0</v>
      </c>
      <c r="GF17" s="16">
        <f t="shared" si="21"/>
        <v>0</v>
      </c>
      <c r="GG17" s="18"/>
      <c r="GV17" s="16">
        <f t="shared" si="22"/>
        <v>0</v>
      </c>
      <c r="GW17" s="16">
        <f t="shared" si="23"/>
        <v>0</v>
      </c>
      <c r="GX17" s="18"/>
      <c r="HM17" s="16">
        <f t="shared" si="24"/>
        <v>0</v>
      </c>
      <c r="HN17" s="16">
        <f t="shared" si="25"/>
        <v>0</v>
      </c>
      <c r="HO17" s="18"/>
      <c r="ID17" s="16">
        <f t="shared" si="26"/>
        <v>0</v>
      </c>
      <c r="IE17" s="16">
        <f t="shared" si="27"/>
        <v>0</v>
      </c>
      <c r="IF17" s="18"/>
      <c r="IU17" s="16">
        <f t="shared" si="28"/>
        <v>0</v>
      </c>
      <c r="IV17" s="16">
        <f t="shared" si="29"/>
        <v>0</v>
      </c>
    </row>
    <row r="18" spans="1:256" s="16" customFormat="1" x14ac:dyDescent="0.25">
      <c r="A18" s="19" t="s">
        <v>46</v>
      </c>
      <c r="B18" s="49"/>
      <c r="Q18" s="16">
        <f t="shared" si="0"/>
        <v>0</v>
      </c>
      <c r="R18" s="16">
        <f t="shared" si="1"/>
        <v>0</v>
      </c>
      <c r="S18" s="17"/>
      <c r="AH18" s="16">
        <f t="shared" si="2"/>
        <v>0</v>
      </c>
      <c r="AI18" s="16">
        <f t="shared" si="3"/>
        <v>0</v>
      </c>
      <c r="AJ18" s="18"/>
      <c r="AY18" s="16">
        <f t="shared" si="4"/>
        <v>0</v>
      </c>
      <c r="AZ18" s="16">
        <f t="shared" si="5"/>
        <v>0</v>
      </c>
      <c r="BA18" s="18"/>
      <c r="BP18" s="16">
        <f t="shared" si="6"/>
        <v>0</v>
      </c>
      <c r="BQ18" s="16">
        <f t="shared" si="7"/>
        <v>0</v>
      </c>
      <c r="BR18" s="18"/>
      <c r="CG18" s="16">
        <f t="shared" si="8"/>
        <v>0</v>
      </c>
      <c r="CH18" s="16">
        <f t="shared" si="9"/>
        <v>0</v>
      </c>
      <c r="CI18" s="18"/>
      <c r="CX18" s="16">
        <f t="shared" si="10"/>
        <v>0</v>
      </c>
      <c r="CY18" s="16">
        <f t="shared" si="11"/>
        <v>0</v>
      </c>
      <c r="CZ18" s="18"/>
      <c r="DO18" s="16">
        <f t="shared" si="12"/>
        <v>0</v>
      </c>
      <c r="DP18" s="16">
        <f t="shared" si="13"/>
        <v>0</v>
      </c>
      <c r="DQ18" s="18"/>
      <c r="EF18" s="16">
        <f t="shared" si="14"/>
        <v>0</v>
      </c>
      <c r="EG18" s="16">
        <f t="shared" si="15"/>
        <v>0</v>
      </c>
      <c r="EH18" s="18"/>
      <c r="EW18" s="16">
        <f t="shared" si="16"/>
        <v>0</v>
      </c>
      <c r="EX18" s="16">
        <f t="shared" si="17"/>
        <v>0</v>
      </c>
      <c r="EY18" s="18"/>
      <c r="FN18" s="16">
        <f t="shared" si="18"/>
        <v>0</v>
      </c>
      <c r="FO18" s="16">
        <f t="shared" si="19"/>
        <v>0</v>
      </c>
      <c r="FP18" s="18"/>
      <c r="GE18" s="16">
        <f t="shared" si="20"/>
        <v>0</v>
      </c>
      <c r="GF18" s="16">
        <f t="shared" si="21"/>
        <v>0</v>
      </c>
      <c r="GG18" s="18"/>
      <c r="GV18" s="16">
        <f t="shared" si="22"/>
        <v>0</v>
      </c>
      <c r="GW18" s="16">
        <f t="shared" si="23"/>
        <v>0</v>
      </c>
      <c r="GX18" s="18"/>
      <c r="HM18" s="16">
        <f t="shared" si="24"/>
        <v>0</v>
      </c>
      <c r="HN18" s="16">
        <f t="shared" si="25"/>
        <v>0</v>
      </c>
      <c r="HO18" s="18"/>
      <c r="ID18" s="16">
        <f t="shared" si="26"/>
        <v>0</v>
      </c>
      <c r="IE18" s="16">
        <f t="shared" si="27"/>
        <v>0</v>
      </c>
      <c r="IF18" s="18"/>
      <c r="IU18" s="16">
        <f t="shared" si="28"/>
        <v>0</v>
      </c>
      <c r="IV18" s="16">
        <f t="shared" si="29"/>
        <v>0</v>
      </c>
    </row>
    <row r="19" spans="1:256" s="16" customFormat="1" x14ac:dyDescent="0.25">
      <c r="A19" s="19" t="s">
        <v>47</v>
      </c>
      <c r="B19" s="49"/>
      <c r="Q19" s="16">
        <f t="shared" si="0"/>
        <v>0</v>
      </c>
      <c r="R19" s="16">
        <f t="shared" si="1"/>
        <v>0</v>
      </c>
      <c r="S19" s="17"/>
      <c r="AH19" s="16">
        <f t="shared" si="2"/>
        <v>0</v>
      </c>
      <c r="AI19" s="16">
        <f t="shared" si="3"/>
        <v>0</v>
      </c>
      <c r="AJ19" s="18"/>
      <c r="AY19" s="16">
        <f t="shared" si="4"/>
        <v>0</v>
      </c>
      <c r="AZ19" s="16">
        <f t="shared" si="5"/>
        <v>0</v>
      </c>
      <c r="BA19" s="18"/>
      <c r="BP19" s="16">
        <f t="shared" si="6"/>
        <v>0</v>
      </c>
      <c r="BQ19" s="16">
        <f t="shared" si="7"/>
        <v>0</v>
      </c>
      <c r="BR19" s="18"/>
      <c r="CG19" s="16">
        <f t="shared" si="8"/>
        <v>0</v>
      </c>
      <c r="CH19" s="16">
        <f t="shared" si="9"/>
        <v>0</v>
      </c>
      <c r="CI19" s="18"/>
      <c r="CX19" s="16">
        <f t="shared" si="10"/>
        <v>0</v>
      </c>
      <c r="CY19" s="16">
        <f t="shared" si="11"/>
        <v>0</v>
      </c>
      <c r="CZ19" s="18"/>
      <c r="DO19" s="16">
        <f t="shared" si="12"/>
        <v>0</v>
      </c>
      <c r="DP19" s="16">
        <f t="shared" si="13"/>
        <v>0</v>
      </c>
      <c r="DQ19" s="18"/>
      <c r="EF19" s="16">
        <f t="shared" si="14"/>
        <v>0</v>
      </c>
      <c r="EG19" s="16">
        <f t="shared" si="15"/>
        <v>0</v>
      </c>
      <c r="EH19" s="18"/>
      <c r="EW19" s="16">
        <f t="shared" si="16"/>
        <v>0</v>
      </c>
      <c r="EX19" s="16">
        <f t="shared" si="17"/>
        <v>0</v>
      </c>
      <c r="EY19" s="18"/>
      <c r="FN19" s="16">
        <f t="shared" si="18"/>
        <v>0</v>
      </c>
      <c r="FO19" s="16">
        <f t="shared" si="19"/>
        <v>0</v>
      </c>
      <c r="FP19" s="18"/>
      <c r="GE19" s="16">
        <f t="shared" si="20"/>
        <v>0</v>
      </c>
      <c r="GF19" s="16">
        <f t="shared" si="21"/>
        <v>0</v>
      </c>
      <c r="GG19" s="18"/>
      <c r="GV19" s="16">
        <f t="shared" si="22"/>
        <v>0</v>
      </c>
      <c r="GW19" s="16">
        <f t="shared" si="23"/>
        <v>0</v>
      </c>
      <c r="GX19" s="18"/>
      <c r="HM19" s="16">
        <f t="shared" si="24"/>
        <v>0</v>
      </c>
      <c r="HN19" s="16">
        <f t="shared" si="25"/>
        <v>0</v>
      </c>
      <c r="HO19" s="18"/>
      <c r="ID19" s="16">
        <f t="shared" si="26"/>
        <v>0</v>
      </c>
      <c r="IE19" s="16">
        <f t="shared" si="27"/>
        <v>0</v>
      </c>
      <c r="IF19" s="18"/>
      <c r="IU19" s="16">
        <f t="shared" si="28"/>
        <v>0</v>
      </c>
      <c r="IV19" s="16">
        <f t="shared" si="29"/>
        <v>0</v>
      </c>
    </row>
    <row r="20" spans="1:256" s="16" customFormat="1" x14ac:dyDescent="0.25">
      <c r="A20" s="19"/>
      <c r="B20" s="49"/>
      <c r="Q20" s="16">
        <f t="shared" si="0"/>
        <v>0</v>
      </c>
      <c r="R20" s="16">
        <f t="shared" si="1"/>
        <v>0</v>
      </c>
      <c r="S20" s="17"/>
      <c r="AH20" s="16">
        <f t="shared" si="2"/>
        <v>0</v>
      </c>
      <c r="AI20" s="16">
        <f t="shared" si="3"/>
        <v>0</v>
      </c>
      <c r="AJ20" s="18"/>
      <c r="AY20" s="16">
        <f t="shared" si="4"/>
        <v>0</v>
      </c>
      <c r="AZ20" s="16">
        <f t="shared" si="5"/>
        <v>0</v>
      </c>
      <c r="BA20" s="18"/>
      <c r="BP20" s="16">
        <f t="shared" si="6"/>
        <v>0</v>
      </c>
      <c r="BQ20" s="16">
        <f t="shared" si="7"/>
        <v>0</v>
      </c>
      <c r="BR20" s="18"/>
      <c r="CG20" s="16">
        <f t="shared" si="8"/>
        <v>0</v>
      </c>
      <c r="CH20" s="16">
        <f t="shared" si="9"/>
        <v>0</v>
      </c>
      <c r="CI20" s="18"/>
      <c r="CX20" s="16">
        <f t="shared" si="10"/>
        <v>0</v>
      </c>
      <c r="CY20" s="16">
        <f t="shared" si="11"/>
        <v>0</v>
      </c>
      <c r="CZ20" s="18"/>
      <c r="DO20" s="16">
        <f t="shared" si="12"/>
        <v>0</v>
      </c>
      <c r="DP20" s="16">
        <f t="shared" si="13"/>
        <v>0</v>
      </c>
      <c r="DQ20" s="18"/>
      <c r="EF20" s="16">
        <f t="shared" si="14"/>
        <v>0</v>
      </c>
      <c r="EG20" s="16">
        <f t="shared" si="15"/>
        <v>0</v>
      </c>
      <c r="EH20" s="18"/>
      <c r="EW20" s="16">
        <f t="shared" si="16"/>
        <v>0</v>
      </c>
      <c r="EX20" s="16">
        <f t="shared" si="17"/>
        <v>0</v>
      </c>
      <c r="EY20" s="18"/>
      <c r="FN20" s="16">
        <f t="shared" si="18"/>
        <v>0</v>
      </c>
      <c r="FO20" s="16">
        <f t="shared" si="19"/>
        <v>0</v>
      </c>
      <c r="FP20" s="18"/>
      <c r="GE20" s="16">
        <f t="shared" si="20"/>
        <v>0</v>
      </c>
      <c r="GF20" s="16">
        <f t="shared" si="21"/>
        <v>0</v>
      </c>
      <c r="GG20" s="18"/>
      <c r="GV20" s="16">
        <f t="shared" si="22"/>
        <v>0</v>
      </c>
      <c r="GW20" s="16">
        <f t="shared" si="23"/>
        <v>0</v>
      </c>
      <c r="GX20" s="18"/>
      <c r="HM20" s="16">
        <f t="shared" si="24"/>
        <v>0</v>
      </c>
      <c r="HN20" s="16">
        <f t="shared" si="25"/>
        <v>0</v>
      </c>
      <c r="HO20" s="18"/>
      <c r="ID20" s="16">
        <f t="shared" si="26"/>
        <v>0</v>
      </c>
      <c r="IE20" s="16">
        <f t="shared" si="27"/>
        <v>0</v>
      </c>
      <c r="IF20" s="18"/>
      <c r="IU20" s="16">
        <f t="shared" si="28"/>
        <v>0</v>
      </c>
      <c r="IV20" s="16">
        <f t="shared" si="29"/>
        <v>0</v>
      </c>
    </row>
    <row r="21" spans="1:256" s="16" customFormat="1" x14ac:dyDescent="0.25">
      <c r="A21" s="19"/>
      <c r="B21" s="49"/>
      <c r="Q21" s="16">
        <f t="shared" si="0"/>
        <v>0</v>
      </c>
      <c r="R21" s="16">
        <f t="shared" si="1"/>
        <v>0</v>
      </c>
      <c r="S21" s="17"/>
      <c r="AH21" s="16">
        <f t="shared" si="2"/>
        <v>0</v>
      </c>
      <c r="AI21" s="16">
        <f t="shared" si="3"/>
        <v>0</v>
      </c>
      <c r="AJ21" s="18"/>
      <c r="AY21" s="16">
        <f t="shared" si="4"/>
        <v>0</v>
      </c>
      <c r="AZ21" s="16">
        <f t="shared" si="5"/>
        <v>0</v>
      </c>
      <c r="BA21" s="18"/>
      <c r="BP21" s="16">
        <f t="shared" si="6"/>
        <v>0</v>
      </c>
      <c r="BQ21" s="16">
        <f t="shared" si="7"/>
        <v>0</v>
      </c>
      <c r="BR21" s="18"/>
      <c r="CG21" s="16">
        <f t="shared" si="8"/>
        <v>0</v>
      </c>
      <c r="CH21" s="16">
        <f t="shared" si="9"/>
        <v>0</v>
      </c>
      <c r="CI21" s="18"/>
      <c r="CX21" s="16">
        <f t="shared" si="10"/>
        <v>0</v>
      </c>
      <c r="CY21" s="16">
        <f t="shared" si="11"/>
        <v>0</v>
      </c>
      <c r="CZ21" s="18"/>
      <c r="DO21" s="16">
        <f t="shared" si="12"/>
        <v>0</v>
      </c>
      <c r="DP21" s="16">
        <f t="shared" si="13"/>
        <v>0</v>
      </c>
      <c r="DQ21" s="18"/>
      <c r="EF21" s="16">
        <f t="shared" si="14"/>
        <v>0</v>
      </c>
      <c r="EG21" s="16">
        <f t="shared" si="15"/>
        <v>0</v>
      </c>
      <c r="EH21" s="18"/>
      <c r="EW21" s="16">
        <f t="shared" si="16"/>
        <v>0</v>
      </c>
      <c r="EX21" s="16">
        <f t="shared" si="17"/>
        <v>0</v>
      </c>
      <c r="EY21" s="18"/>
      <c r="FN21" s="16">
        <f t="shared" si="18"/>
        <v>0</v>
      </c>
      <c r="FO21" s="16">
        <f t="shared" si="19"/>
        <v>0</v>
      </c>
      <c r="FP21" s="18"/>
      <c r="GE21" s="16">
        <f t="shared" si="20"/>
        <v>0</v>
      </c>
      <c r="GF21" s="16">
        <f t="shared" si="21"/>
        <v>0</v>
      </c>
      <c r="GG21" s="18"/>
      <c r="GV21" s="16">
        <f t="shared" si="22"/>
        <v>0</v>
      </c>
      <c r="GW21" s="16">
        <f t="shared" si="23"/>
        <v>0</v>
      </c>
      <c r="GX21" s="18"/>
      <c r="HM21" s="16">
        <f t="shared" si="24"/>
        <v>0</v>
      </c>
      <c r="HN21" s="16">
        <f t="shared" si="25"/>
        <v>0</v>
      </c>
      <c r="HO21" s="18"/>
      <c r="ID21" s="16">
        <f t="shared" si="26"/>
        <v>0</v>
      </c>
      <c r="IE21" s="16">
        <f t="shared" si="27"/>
        <v>0</v>
      </c>
      <c r="IF21" s="18"/>
      <c r="IU21" s="16">
        <f t="shared" si="28"/>
        <v>0</v>
      </c>
      <c r="IV21" s="16">
        <f t="shared" si="29"/>
        <v>0</v>
      </c>
    </row>
    <row r="22" spans="1:256" s="16" customFormat="1" x14ac:dyDescent="0.25">
      <c r="A22" s="19"/>
      <c r="B22" s="49"/>
      <c r="Q22" s="16">
        <f t="shared" si="0"/>
        <v>0</v>
      </c>
      <c r="R22" s="16">
        <f t="shared" si="1"/>
        <v>0</v>
      </c>
      <c r="S22" s="17"/>
      <c r="AH22" s="16">
        <f t="shared" si="2"/>
        <v>0</v>
      </c>
      <c r="AI22" s="16">
        <f t="shared" si="3"/>
        <v>0</v>
      </c>
      <c r="AJ22" s="18"/>
      <c r="AY22" s="16">
        <f t="shared" si="4"/>
        <v>0</v>
      </c>
      <c r="AZ22" s="16">
        <f t="shared" si="5"/>
        <v>0</v>
      </c>
      <c r="BA22" s="18"/>
      <c r="BP22" s="16">
        <f t="shared" si="6"/>
        <v>0</v>
      </c>
      <c r="BQ22" s="16">
        <f t="shared" si="7"/>
        <v>0</v>
      </c>
      <c r="BR22" s="18"/>
      <c r="CG22" s="16">
        <f t="shared" si="8"/>
        <v>0</v>
      </c>
      <c r="CH22" s="16">
        <f t="shared" si="9"/>
        <v>0</v>
      </c>
      <c r="CI22" s="18"/>
      <c r="CX22" s="16">
        <f t="shared" si="10"/>
        <v>0</v>
      </c>
      <c r="CY22" s="16">
        <f t="shared" si="11"/>
        <v>0</v>
      </c>
      <c r="CZ22" s="18"/>
      <c r="DO22" s="16">
        <f t="shared" si="12"/>
        <v>0</v>
      </c>
      <c r="DP22" s="16">
        <f t="shared" si="13"/>
        <v>0</v>
      </c>
      <c r="DQ22" s="18"/>
      <c r="EF22" s="16">
        <f t="shared" si="14"/>
        <v>0</v>
      </c>
      <c r="EG22" s="16">
        <f t="shared" si="15"/>
        <v>0</v>
      </c>
      <c r="EH22" s="18"/>
      <c r="EW22" s="16">
        <f t="shared" si="16"/>
        <v>0</v>
      </c>
      <c r="EX22" s="16">
        <f t="shared" si="17"/>
        <v>0</v>
      </c>
      <c r="EY22" s="18"/>
      <c r="FN22" s="16">
        <f t="shared" si="18"/>
        <v>0</v>
      </c>
      <c r="FO22" s="16">
        <f t="shared" si="19"/>
        <v>0</v>
      </c>
      <c r="FP22" s="18"/>
      <c r="GE22" s="16">
        <f t="shared" si="20"/>
        <v>0</v>
      </c>
      <c r="GF22" s="16">
        <f t="shared" si="21"/>
        <v>0</v>
      </c>
      <c r="GG22" s="18"/>
      <c r="GV22" s="16">
        <f t="shared" si="22"/>
        <v>0</v>
      </c>
      <c r="GW22" s="16">
        <f t="shared" si="23"/>
        <v>0</v>
      </c>
      <c r="GX22" s="18"/>
      <c r="HM22" s="16">
        <f t="shared" si="24"/>
        <v>0</v>
      </c>
      <c r="HN22" s="16">
        <f t="shared" si="25"/>
        <v>0</v>
      </c>
      <c r="HO22" s="18"/>
      <c r="ID22" s="16">
        <f t="shared" si="26"/>
        <v>0</v>
      </c>
      <c r="IE22" s="16">
        <f t="shared" si="27"/>
        <v>0</v>
      </c>
      <c r="IF22" s="18"/>
      <c r="IU22" s="16">
        <f t="shared" si="28"/>
        <v>0</v>
      </c>
      <c r="IV22" s="16">
        <f t="shared" si="29"/>
        <v>0</v>
      </c>
    </row>
    <row r="23" spans="1:256" s="16" customFormat="1" x14ac:dyDescent="0.25">
      <c r="A23" s="14"/>
      <c r="B23" s="49"/>
      <c r="Q23" s="16">
        <f t="shared" si="0"/>
        <v>0</v>
      </c>
      <c r="R23" s="16">
        <f t="shared" si="1"/>
        <v>0</v>
      </c>
      <c r="S23" s="17"/>
      <c r="AH23" s="16">
        <f t="shared" si="2"/>
        <v>0</v>
      </c>
      <c r="AI23" s="16">
        <f t="shared" si="3"/>
        <v>0</v>
      </c>
      <c r="AJ23" s="18"/>
      <c r="AY23" s="16">
        <f t="shared" si="4"/>
        <v>0</v>
      </c>
      <c r="AZ23" s="16">
        <f t="shared" si="5"/>
        <v>0</v>
      </c>
      <c r="BA23" s="18"/>
      <c r="BP23" s="16">
        <f t="shared" si="6"/>
        <v>0</v>
      </c>
      <c r="BQ23" s="16">
        <f t="shared" si="7"/>
        <v>0</v>
      </c>
      <c r="BR23" s="18"/>
      <c r="CG23" s="16">
        <f t="shared" si="8"/>
        <v>0</v>
      </c>
      <c r="CH23" s="16">
        <f t="shared" si="9"/>
        <v>0</v>
      </c>
      <c r="CI23" s="18"/>
      <c r="CX23" s="16">
        <f t="shared" si="10"/>
        <v>0</v>
      </c>
      <c r="CY23" s="16">
        <f t="shared" si="11"/>
        <v>0</v>
      </c>
      <c r="CZ23" s="18"/>
      <c r="DO23" s="16">
        <f t="shared" si="12"/>
        <v>0</v>
      </c>
      <c r="DP23" s="16">
        <f t="shared" si="13"/>
        <v>0</v>
      </c>
      <c r="DQ23" s="18"/>
      <c r="EF23" s="16">
        <f t="shared" si="14"/>
        <v>0</v>
      </c>
      <c r="EG23" s="16">
        <f t="shared" si="15"/>
        <v>0</v>
      </c>
      <c r="EH23" s="18"/>
      <c r="EW23" s="16">
        <f t="shared" si="16"/>
        <v>0</v>
      </c>
      <c r="EX23" s="16">
        <f t="shared" si="17"/>
        <v>0</v>
      </c>
      <c r="EY23" s="18"/>
      <c r="FN23" s="16">
        <f t="shared" si="18"/>
        <v>0</v>
      </c>
      <c r="FO23" s="16">
        <f t="shared" si="19"/>
        <v>0</v>
      </c>
      <c r="FP23" s="18"/>
      <c r="GE23" s="16">
        <f t="shared" si="20"/>
        <v>0</v>
      </c>
      <c r="GF23" s="16">
        <f t="shared" si="21"/>
        <v>0</v>
      </c>
      <c r="GG23" s="18"/>
      <c r="GV23" s="16">
        <f t="shared" si="22"/>
        <v>0</v>
      </c>
      <c r="GW23" s="16">
        <f t="shared" si="23"/>
        <v>0</v>
      </c>
      <c r="GX23" s="18"/>
      <c r="HM23" s="16">
        <f t="shared" si="24"/>
        <v>0</v>
      </c>
      <c r="HN23" s="16">
        <f t="shared" si="25"/>
        <v>0</v>
      </c>
      <c r="HO23" s="18"/>
      <c r="ID23" s="16">
        <f t="shared" si="26"/>
        <v>0</v>
      </c>
      <c r="IE23" s="16">
        <f t="shared" si="27"/>
        <v>0</v>
      </c>
      <c r="IF23" s="18"/>
      <c r="IU23" s="16">
        <f t="shared" si="28"/>
        <v>0</v>
      </c>
      <c r="IV23" s="16">
        <f t="shared" si="29"/>
        <v>0</v>
      </c>
    </row>
    <row r="24" spans="1:256" s="16" customFormat="1" x14ac:dyDescent="0.25">
      <c r="A24" s="14"/>
      <c r="B24" s="49"/>
      <c r="Q24" s="16">
        <f t="shared" si="0"/>
        <v>0</v>
      </c>
      <c r="R24" s="16">
        <f t="shared" si="1"/>
        <v>0</v>
      </c>
      <c r="S24" s="17"/>
      <c r="AH24" s="16">
        <f t="shared" si="2"/>
        <v>0</v>
      </c>
      <c r="AI24" s="16">
        <f t="shared" si="3"/>
        <v>0</v>
      </c>
      <c r="AJ24" s="18"/>
      <c r="AY24" s="16">
        <f t="shared" si="4"/>
        <v>0</v>
      </c>
      <c r="AZ24" s="16">
        <f t="shared" si="5"/>
        <v>0</v>
      </c>
      <c r="BA24" s="18"/>
      <c r="BP24" s="16">
        <f t="shared" si="6"/>
        <v>0</v>
      </c>
      <c r="BQ24" s="16">
        <f t="shared" si="7"/>
        <v>0</v>
      </c>
      <c r="BR24" s="18"/>
      <c r="CG24" s="16">
        <f t="shared" si="8"/>
        <v>0</v>
      </c>
      <c r="CH24" s="16">
        <f t="shared" si="9"/>
        <v>0</v>
      </c>
      <c r="CI24" s="18"/>
      <c r="CX24" s="16">
        <f t="shared" si="10"/>
        <v>0</v>
      </c>
      <c r="CY24" s="16">
        <f t="shared" si="11"/>
        <v>0</v>
      </c>
      <c r="CZ24" s="18"/>
      <c r="DO24" s="16">
        <f t="shared" si="12"/>
        <v>0</v>
      </c>
      <c r="DP24" s="16">
        <f t="shared" si="13"/>
        <v>0</v>
      </c>
      <c r="DQ24" s="18"/>
      <c r="EF24" s="16">
        <f t="shared" si="14"/>
        <v>0</v>
      </c>
      <c r="EG24" s="16">
        <f t="shared" si="15"/>
        <v>0</v>
      </c>
      <c r="EH24" s="18"/>
      <c r="EW24" s="16">
        <f t="shared" si="16"/>
        <v>0</v>
      </c>
      <c r="EX24" s="16">
        <f t="shared" si="17"/>
        <v>0</v>
      </c>
      <c r="EY24" s="18"/>
      <c r="FN24" s="16">
        <f t="shared" si="18"/>
        <v>0</v>
      </c>
      <c r="FO24" s="16">
        <f t="shared" si="19"/>
        <v>0</v>
      </c>
      <c r="FP24" s="18"/>
      <c r="GE24" s="16">
        <f t="shared" si="20"/>
        <v>0</v>
      </c>
      <c r="GF24" s="16">
        <f t="shared" si="21"/>
        <v>0</v>
      </c>
      <c r="GG24" s="18"/>
      <c r="GV24" s="16">
        <f t="shared" si="22"/>
        <v>0</v>
      </c>
      <c r="GW24" s="16">
        <f t="shared" si="23"/>
        <v>0</v>
      </c>
      <c r="GX24" s="18"/>
      <c r="HM24" s="16">
        <f t="shared" si="24"/>
        <v>0</v>
      </c>
      <c r="HN24" s="16">
        <f t="shared" si="25"/>
        <v>0</v>
      </c>
      <c r="HO24" s="18"/>
      <c r="ID24" s="16">
        <f t="shared" si="26"/>
        <v>0</v>
      </c>
      <c r="IE24" s="16">
        <f t="shared" si="27"/>
        <v>0</v>
      </c>
      <c r="IF24" s="18"/>
      <c r="IU24" s="16">
        <f t="shared" si="28"/>
        <v>0</v>
      </c>
      <c r="IV24" s="16">
        <f t="shared" si="29"/>
        <v>0</v>
      </c>
    </row>
    <row r="25" spans="1:256" s="16" customFormat="1" x14ac:dyDescent="0.25">
      <c r="A25" s="14"/>
      <c r="B25" s="49"/>
      <c r="Q25" s="16">
        <f t="shared" si="0"/>
        <v>0</v>
      </c>
      <c r="R25" s="16">
        <f t="shared" si="1"/>
        <v>0</v>
      </c>
      <c r="S25" s="17"/>
      <c r="AH25" s="16">
        <f t="shared" si="2"/>
        <v>0</v>
      </c>
      <c r="AI25" s="16">
        <f t="shared" si="3"/>
        <v>0</v>
      </c>
      <c r="AJ25" s="18"/>
      <c r="AY25" s="16">
        <f t="shared" si="4"/>
        <v>0</v>
      </c>
      <c r="AZ25" s="16">
        <f t="shared" si="5"/>
        <v>0</v>
      </c>
      <c r="BA25" s="18"/>
      <c r="BP25" s="16">
        <f t="shared" si="6"/>
        <v>0</v>
      </c>
      <c r="BQ25" s="16">
        <f t="shared" si="7"/>
        <v>0</v>
      </c>
      <c r="BR25" s="18"/>
      <c r="CG25" s="16">
        <f t="shared" si="8"/>
        <v>0</v>
      </c>
      <c r="CH25" s="16">
        <f t="shared" si="9"/>
        <v>0</v>
      </c>
      <c r="CI25" s="18"/>
      <c r="CX25" s="16">
        <f t="shared" si="10"/>
        <v>0</v>
      </c>
      <c r="CY25" s="16">
        <f t="shared" si="11"/>
        <v>0</v>
      </c>
      <c r="CZ25" s="18"/>
      <c r="DO25" s="16">
        <f t="shared" si="12"/>
        <v>0</v>
      </c>
      <c r="DP25" s="16">
        <f t="shared" si="13"/>
        <v>0</v>
      </c>
      <c r="DQ25" s="18"/>
      <c r="EF25" s="16">
        <f t="shared" si="14"/>
        <v>0</v>
      </c>
      <c r="EG25" s="16">
        <f t="shared" si="15"/>
        <v>0</v>
      </c>
      <c r="EH25" s="18"/>
      <c r="EW25" s="16">
        <f t="shared" si="16"/>
        <v>0</v>
      </c>
      <c r="EX25" s="16">
        <f t="shared" si="17"/>
        <v>0</v>
      </c>
      <c r="EY25" s="18"/>
      <c r="FN25" s="16">
        <f t="shared" si="18"/>
        <v>0</v>
      </c>
      <c r="FO25" s="16">
        <f t="shared" si="19"/>
        <v>0</v>
      </c>
      <c r="FP25" s="18"/>
      <c r="GE25" s="16">
        <f t="shared" si="20"/>
        <v>0</v>
      </c>
      <c r="GF25" s="16">
        <f t="shared" si="21"/>
        <v>0</v>
      </c>
      <c r="GG25" s="18"/>
      <c r="GV25" s="16">
        <f t="shared" si="22"/>
        <v>0</v>
      </c>
      <c r="GW25" s="16">
        <f t="shared" si="23"/>
        <v>0</v>
      </c>
      <c r="GX25" s="18"/>
      <c r="HM25" s="16">
        <f t="shared" si="24"/>
        <v>0</v>
      </c>
      <c r="HN25" s="16">
        <f t="shared" si="25"/>
        <v>0</v>
      </c>
      <c r="HO25" s="18"/>
      <c r="ID25" s="16">
        <f t="shared" si="26"/>
        <v>0</v>
      </c>
      <c r="IE25" s="16">
        <f t="shared" si="27"/>
        <v>0</v>
      </c>
      <c r="IF25" s="18"/>
      <c r="IU25" s="16">
        <f t="shared" si="28"/>
        <v>0</v>
      </c>
      <c r="IV25" s="16">
        <f t="shared" si="29"/>
        <v>0</v>
      </c>
    </row>
    <row r="26" spans="1:256" s="20" customFormat="1" ht="13.8" thickBot="1" x14ac:dyDescent="0.3">
      <c r="A26" s="14"/>
      <c r="B26" s="49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>
        <f t="shared" si="0"/>
        <v>0</v>
      </c>
      <c r="R26" s="16">
        <f t="shared" si="1"/>
        <v>0</v>
      </c>
      <c r="S26" s="17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>
        <f t="shared" si="2"/>
        <v>0</v>
      </c>
      <c r="AI26" s="16">
        <f t="shared" si="3"/>
        <v>0</v>
      </c>
      <c r="AJ26" s="18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>
        <f t="shared" si="4"/>
        <v>0</v>
      </c>
      <c r="AZ26" s="16">
        <f t="shared" si="5"/>
        <v>0</v>
      </c>
      <c r="BA26" s="18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>
        <f t="shared" si="6"/>
        <v>0</v>
      </c>
      <c r="BQ26" s="16">
        <f t="shared" si="7"/>
        <v>0</v>
      </c>
      <c r="BR26" s="18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>
        <f t="shared" si="8"/>
        <v>0</v>
      </c>
      <c r="CH26" s="16">
        <f t="shared" si="9"/>
        <v>0</v>
      </c>
      <c r="CI26" s="18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>
        <f t="shared" si="10"/>
        <v>0</v>
      </c>
      <c r="CY26" s="16">
        <f t="shared" si="11"/>
        <v>0</v>
      </c>
      <c r="CZ26" s="18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>
        <f t="shared" si="12"/>
        <v>0</v>
      </c>
      <c r="DP26" s="16">
        <f t="shared" si="13"/>
        <v>0</v>
      </c>
      <c r="DQ26" s="18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>
        <f t="shared" si="14"/>
        <v>0</v>
      </c>
      <c r="EG26" s="16">
        <f t="shared" si="15"/>
        <v>0</v>
      </c>
      <c r="EH26" s="18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>
        <f t="shared" si="16"/>
        <v>0</v>
      </c>
      <c r="EX26" s="16">
        <f t="shared" si="17"/>
        <v>0</v>
      </c>
      <c r="EY26" s="18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>
        <f t="shared" si="18"/>
        <v>0</v>
      </c>
      <c r="FO26" s="16">
        <f t="shared" si="19"/>
        <v>0</v>
      </c>
      <c r="FP26" s="18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>
        <f t="shared" si="20"/>
        <v>0</v>
      </c>
      <c r="GF26" s="16">
        <f t="shared" si="21"/>
        <v>0</v>
      </c>
      <c r="GG26" s="18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>
        <f t="shared" si="22"/>
        <v>0</v>
      </c>
      <c r="GW26" s="16">
        <f t="shared" si="23"/>
        <v>0</v>
      </c>
      <c r="GX26" s="18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>
        <f t="shared" si="24"/>
        <v>0</v>
      </c>
      <c r="HN26" s="16">
        <f t="shared" si="25"/>
        <v>0</v>
      </c>
      <c r="HO26" s="18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>
        <f t="shared" si="26"/>
        <v>0</v>
      </c>
      <c r="IE26" s="16">
        <f t="shared" si="27"/>
        <v>0</v>
      </c>
      <c r="IF26" s="18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>
        <f t="shared" si="28"/>
        <v>0</v>
      </c>
      <c r="IV26" s="16">
        <f t="shared" si="29"/>
        <v>0</v>
      </c>
    </row>
    <row r="27" spans="1:256" s="22" customFormat="1" ht="13.8" thickBot="1" x14ac:dyDescent="0.3">
      <c r="A27" s="64" t="s">
        <v>48</v>
      </c>
      <c r="B27" s="64"/>
      <c r="C27" s="21">
        <f>SUM(C8:C26)</f>
        <v>25</v>
      </c>
      <c r="D27" s="21">
        <f t="shared" ref="D27:P27" si="30">SUM(D8:D26)</f>
        <v>10</v>
      </c>
      <c r="E27" s="21">
        <f t="shared" si="30"/>
        <v>9</v>
      </c>
      <c r="F27" s="21">
        <f t="shared" si="30"/>
        <v>2</v>
      </c>
      <c r="G27" s="21">
        <f t="shared" si="30"/>
        <v>1</v>
      </c>
      <c r="H27" s="21">
        <f t="shared" si="30"/>
        <v>0</v>
      </c>
      <c r="I27" s="21">
        <f t="shared" si="30"/>
        <v>4</v>
      </c>
      <c r="J27" s="21">
        <f t="shared" si="30"/>
        <v>4</v>
      </c>
      <c r="K27" s="21">
        <f t="shared" si="30"/>
        <v>5</v>
      </c>
      <c r="L27" s="21">
        <f t="shared" si="30"/>
        <v>9</v>
      </c>
      <c r="M27" s="21">
        <f t="shared" si="30"/>
        <v>0</v>
      </c>
      <c r="N27" s="21">
        <f t="shared" si="30"/>
        <v>0</v>
      </c>
      <c r="O27" s="21">
        <f t="shared" si="30"/>
        <v>0</v>
      </c>
      <c r="P27" s="21">
        <f t="shared" si="30"/>
        <v>0</v>
      </c>
      <c r="Q27" s="21">
        <f>SUM(Q8:Q26)</f>
        <v>13</v>
      </c>
      <c r="R27" s="21">
        <f>SUM(R8:R26)</f>
        <v>30</v>
      </c>
      <c r="T27" s="21">
        <f>SUM(T8:T26)</f>
        <v>0</v>
      </c>
      <c r="U27" s="21">
        <f t="shared" ref="U27:AG27" si="31">SUM(U8:U26)</f>
        <v>0</v>
      </c>
      <c r="V27" s="21">
        <f t="shared" si="31"/>
        <v>0</v>
      </c>
      <c r="W27" s="21">
        <f t="shared" si="31"/>
        <v>0</v>
      </c>
      <c r="X27" s="21">
        <f t="shared" si="31"/>
        <v>0</v>
      </c>
      <c r="Y27" s="21">
        <f t="shared" si="31"/>
        <v>0</v>
      </c>
      <c r="Z27" s="21">
        <f t="shared" si="31"/>
        <v>0</v>
      </c>
      <c r="AA27" s="21">
        <f t="shared" si="31"/>
        <v>0</v>
      </c>
      <c r="AB27" s="21">
        <f t="shared" si="31"/>
        <v>0</v>
      </c>
      <c r="AC27" s="21">
        <f t="shared" si="31"/>
        <v>0</v>
      </c>
      <c r="AD27" s="21">
        <f t="shared" si="31"/>
        <v>0</v>
      </c>
      <c r="AE27" s="21">
        <f t="shared" si="31"/>
        <v>0</v>
      </c>
      <c r="AF27" s="21">
        <f t="shared" si="31"/>
        <v>0</v>
      </c>
      <c r="AG27" s="21">
        <f t="shared" si="31"/>
        <v>0</v>
      </c>
      <c r="AH27" s="21">
        <f>SUM(AH8:AH26)</f>
        <v>0</v>
      </c>
      <c r="AI27" s="21">
        <f>SUM(AI8:AI26)</f>
        <v>0</v>
      </c>
      <c r="AK27" s="21">
        <f>SUM(AK8:AK26)</f>
        <v>0</v>
      </c>
      <c r="AL27" s="21">
        <f t="shared" ref="AL27:AX27" si="32">SUM(AL8:AL26)</f>
        <v>0</v>
      </c>
      <c r="AM27" s="21">
        <f t="shared" si="32"/>
        <v>0</v>
      </c>
      <c r="AN27" s="21">
        <f t="shared" si="32"/>
        <v>0</v>
      </c>
      <c r="AO27" s="21">
        <f t="shared" si="32"/>
        <v>0</v>
      </c>
      <c r="AP27" s="21">
        <f t="shared" si="32"/>
        <v>0</v>
      </c>
      <c r="AQ27" s="21">
        <f t="shared" si="32"/>
        <v>0</v>
      </c>
      <c r="AR27" s="21">
        <f t="shared" si="32"/>
        <v>0</v>
      </c>
      <c r="AS27" s="21">
        <f t="shared" si="32"/>
        <v>0</v>
      </c>
      <c r="AT27" s="21">
        <f t="shared" si="32"/>
        <v>0</v>
      </c>
      <c r="AU27" s="21">
        <f t="shared" si="32"/>
        <v>0</v>
      </c>
      <c r="AV27" s="21">
        <f t="shared" si="32"/>
        <v>0</v>
      </c>
      <c r="AW27" s="21">
        <f t="shared" si="32"/>
        <v>0</v>
      </c>
      <c r="AX27" s="21">
        <f t="shared" si="32"/>
        <v>0</v>
      </c>
      <c r="AY27" s="21">
        <f>SUM(AY8:AY26)</f>
        <v>0</v>
      </c>
      <c r="AZ27" s="21">
        <f>SUM(AZ8:AZ26)</f>
        <v>0</v>
      </c>
      <c r="BB27" s="21">
        <f>SUM(BB8:BB26)</f>
        <v>0</v>
      </c>
      <c r="BC27" s="21">
        <f t="shared" ref="BC27:BO27" si="33">SUM(BC8:BC26)</f>
        <v>0</v>
      </c>
      <c r="BD27" s="21">
        <f t="shared" si="33"/>
        <v>0</v>
      </c>
      <c r="BE27" s="21">
        <f t="shared" si="33"/>
        <v>0</v>
      </c>
      <c r="BF27" s="21">
        <f t="shared" si="33"/>
        <v>0</v>
      </c>
      <c r="BG27" s="21">
        <f t="shared" si="33"/>
        <v>0</v>
      </c>
      <c r="BH27" s="21">
        <f t="shared" si="33"/>
        <v>0</v>
      </c>
      <c r="BI27" s="21">
        <f t="shared" si="33"/>
        <v>0</v>
      </c>
      <c r="BJ27" s="21">
        <f t="shared" si="33"/>
        <v>0</v>
      </c>
      <c r="BK27" s="21">
        <f t="shared" si="33"/>
        <v>0</v>
      </c>
      <c r="BL27" s="21">
        <f t="shared" si="33"/>
        <v>0</v>
      </c>
      <c r="BM27" s="21">
        <f t="shared" si="33"/>
        <v>0</v>
      </c>
      <c r="BN27" s="21">
        <f t="shared" si="33"/>
        <v>0</v>
      </c>
      <c r="BO27" s="21">
        <f t="shared" si="33"/>
        <v>0</v>
      </c>
      <c r="BP27" s="21">
        <f>SUM(BP8:BP26)</f>
        <v>0</v>
      </c>
      <c r="BQ27" s="21">
        <f>SUM(BQ8:BQ26)</f>
        <v>0</v>
      </c>
      <c r="BS27" s="21">
        <f>SUM(BS8:BS26)</f>
        <v>0</v>
      </c>
      <c r="BT27" s="21">
        <f t="shared" ref="BT27:CF27" si="34">SUM(BT8:BT26)</f>
        <v>0</v>
      </c>
      <c r="BU27" s="21">
        <f t="shared" si="34"/>
        <v>0</v>
      </c>
      <c r="BV27" s="21">
        <f t="shared" si="34"/>
        <v>0</v>
      </c>
      <c r="BW27" s="21">
        <f t="shared" si="34"/>
        <v>0</v>
      </c>
      <c r="BX27" s="21">
        <f t="shared" si="34"/>
        <v>0</v>
      </c>
      <c r="BY27" s="21">
        <f t="shared" si="34"/>
        <v>0</v>
      </c>
      <c r="BZ27" s="21">
        <f t="shared" si="34"/>
        <v>0</v>
      </c>
      <c r="CA27" s="21">
        <f t="shared" si="34"/>
        <v>0</v>
      </c>
      <c r="CB27" s="21">
        <f t="shared" si="34"/>
        <v>0</v>
      </c>
      <c r="CC27" s="21">
        <f t="shared" si="34"/>
        <v>0</v>
      </c>
      <c r="CD27" s="21">
        <f t="shared" si="34"/>
        <v>0</v>
      </c>
      <c r="CE27" s="21">
        <f t="shared" si="34"/>
        <v>0</v>
      </c>
      <c r="CF27" s="21">
        <f t="shared" si="34"/>
        <v>0</v>
      </c>
      <c r="CG27" s="21">
        <f>SUM(CG8:CG26)</f>
        <v>0</v>
      </c>
      <c r="CH27" s="21">
        <f>SUM(CH8:CH26)</f>
        <v>0</v>
      </c>
      <c r="CJ27" s="21">
        <f>SUM(CJ8:CJ26)</f>
        <v>0</v>
      </c>
      <c r="CK27" s="21">
        <f t="shared" ref="CK27:CW27" si="35">SUM(CK8:CK26)</f>
        <v>0</v>
      </c>
      <c r="CL27" s="21">
        <f t="shared" si="35"/>
        <v>0</v>
      </c>
      <c r="CM27" s="21">
        <f t="shared" si="35"/>
        <v>0</v>
      </c>
      <c r="CN27" s="21">
        <f t="shared" si="35"/>
        <v>0</v>
      </c>
      <c r="CO27" s="21">
        <f t="shared" si="35"/>
        <v>0</v>
      </c>
      <c r="CP27" s="21">
        <f t="shared" si="35"/>
        <v>0</v>
      </c>
      <c r="CQ27" s="21">
        <f t="shared" si="35"/>
        <v>0</v>
      </c>
      <c r="CR27" s="21">
        <f t="shared" si="35"/>
        <v>0</v>
      </c>
      <c r="CS27" s="21">
        <f t="shared" si="35"/>
        <v>0</v>
      </c>
      <c r="CT27" s="21">
        <f t="shared" si="35"/>
        <v>0</v>
      </c>
      <c r="CU27" s="21">
        <f t="shared" si="35"/>
        <v>0</v>
      </c>
      <c r="CV27" s="21">
        <f t="shared" si="35"/>
        <v>0</v>
      </c>
      <c r="CW27" s="21">
        <f t="shared" si="35"/>
        <v>0</v>
      </c>
      <c r="CX27" s="21">
        <f>SUM(CX8:CX26)</f>
        <v>0</v>
      </c>
      <c r="CY27" s="21">
        <f>SUM(CY8:CY26)</f>
        <v>0</v>
      </c>
      <c r="DA27" s="21">
        <f>SUM(DA8:DA26)</f>
        <v>0</v>
      </c>
      <c r="DB27" s="21">
        <f t="shared" ref="DB27:DN27" si="36">SUM(DB8:DB26)</f>
        <v>0</v>
      </c>
      <c r="DC27" s="21">
        <f t="shared" si="36"/>
        <v>0</v>
      </c>
      <c r="DD27" s="21">
        <f t="shared" si="36"/>
        <v>0</v>
      </c>
      <c r="DE27" s="21">
        <f t="shared" si="36"/>
        <v>0</v>
      </c>
      <c r="DF27" s="21">
        <f t="shared" si="36"/>
        <v>0</v>
      </c>
      <c r="DG27" s="21">
        <f t="shared" si="36"/>
        <v>0</v>
      </c>
      <c r="DH27" s="21">
        <f t="shared" si="36"/>
        <v>0</v>
      </c>
      <c r="DI27" s="21">
        <f t="shared" si="36"/>
        <v>0</v>
      </c>
      <c r="DJ27" s="21">
        <f t="shared" si="36"/>
        <v>0</v>
      </c>
      <c r="DK27" s="21">
        <f t="shared" si="36"/>
        <v>0</v>
      </c>
      <c r="DL27" s="21">
        <f t="shared" si="36"/>
        <v>0</v>
      </c>
      <c r="DM27" s="21">
        <f t="shared" si="36"/>
        <v>0</v>
      </c>
      <c r="DN27" s="21">
        <f t="shared" si="36"/>
        <v>0</v>
      </c>
      <c r="DO27" s="21">
        <f>SUM(DO8:DO26)</f>
        <v>0</v>
      </c>
      <c r="DP27" s="21">
        <f>SUM(DP8:DP26)</f>
        <v>0</v>
      </c>
      <c r="DR27" s="21">
        <f>SUM(DR8:DR26)</f>
        <v>0</v>
      </c>
      <c r="DS27" s="21">
        <f t="shared" ref="DS27:EE27" si="37">SUM(DS8:DS26)</f>
        <v>0</v>
      </c>
      <c r="DT27" s="21">
        <f t="shared" si="37"/>
        <v>0</v>
      </c>
      <c r="DU27" s="21">
        <f t="shared" si="37"/>
        <v>0</v>
      </c>
      <c r="DV27" s="21">
        <f t="shared" si="37"/>
        <v>0</v>
      </c>
      <c r="DW27" s="21">
        <f t="shared" si="37"/>
        <v>0</v>
      </c>
      <c r="DX27" s="21">
        <f t="shared" si="37"/>
        <v>0</v>
      </c>
      <c r="DY27" s="21">
        <f t="shared" si="37"/>
        <v>0</v>
      </c>
      <c r="DZ27" s="21">
        <f t="shared" si="37"/>
        <v>0</v>
      </c>
      <c r="EA27" s="21">
        <f t="shared" si="37"/>
        <v>0</v>
      </c>
      <c r="EB27" s="21">
        <f t="shared" si="37"/>
        <v>0</v>
      </c>
      <c r="EC27" s="21">
        <f t="shared" si="37"/>
        <v>0</v>
      </c>
      <c r="ED27" s="21">
        <f t="shared" si="37"/>
        <v>0</v>
      </c>
      <c r="EE27" s="21">
        <f t="shared" si="37"/>
        <v>0</v>
      </c>
      <c r="EF27" s="21">
        <f>SUM(EF8:EF26)</f>
        <v>0</v>
      </c>
      <c r="EG27" s="21">
        <f>SUM(EG8:EG26)</f>
        <v>0</v>
      </c>
      <c r="EI27" s="21">
        <f>SUM(EI8:EI26)</f>
        <v>0</v>
      </c>
      <c r="EJ27" s="21">
        <f t="shared" ref="EJ27:EV27" si="38">SUM(EJ8:EJ26)</f>
        <v>0</v>
      </c>
      <c r="EK27" s="21">
        <f t="shared" si="38"/>
        <v>0</v>
      </c>
      <c r="EL27" s="21">
        <f t="shared" si="38"/>
        <v>0</v>
      </c>
      <c r="EM27" s="21">
        <f t="shared" si="38"/>
        <v>0</v>
      </c>
      <c r="EN27" s="21">
        <f t="shared" si="38"/>
        <v>0</v>
      </c>
      <c r="EO27" s="21">
        <f t="shared" si="38"/>
        <v>0</v>
      </c>
      <c r="EP27" s="21">
        <f t="shared" si="38"/>
        <v>0</v>
      </c>
      <c r="EQ27" s="21">
        <f t="shared" si="38"/>
        <v>0</v>
      </c>
      <c r="ER27" s="21">
        <f t="shared" si="38"/>
        <v>0</v>
      </c>
      <c r="ES27" s="21">
        <f t="shared" si="38"/>
        <v>0</v>
      </c>
      <c r="ET27" s="21">
        <f t="shared" si="38"/>
        <v>0</v>
      </c>
      <c r="EU27" s="21">
        <f t="shared" si="38"/>
        <v>0</v>
      </c>
      <c r="EV27" s="21">
        <f t="shared" si="38"/>
        <v>0</v>
      </c>
      <c r="EW27" s="21">
        <f>SUM(EW8:EW26)</f>
        <v>0</v>
      </c>
      <c r="EX27" s="21">
        <f>SUM(EX8:EX26)</f>
        <v>0</v>
      </c>
      <c r="EZ27" s="21">
        <f>SUM(EZ8:EZ26)</f>
        <v>0</v>
      </c>
      <c r="FA27" s="21">
        <f t="shared" ref="FA27:FM27" si="39">SUM(FA8:FA26)</f>
        <v>0</v>
      </c>
      <c r="FB27" s="21">
        <f t="shared" si="39"/>
        <v>0</v>
      </c>
      <c r="FC27" s="21">
        <f t="shared" si="39"/>
        <v>0</v>
      </c>
      <c r="FD27" s="21">
        <f t="shared" si="39"/>
        <v>0</v>
      </c>
      <c r="FE27" s="21">
        <f t="shared" si="39"/>
        <v>0</v>
      </c>
      <c r="FF27" s="21">
        <f t="shared" si="39"/>
        <v>0</v>
      </c>
      <c r="FG27" s="21">
        <f t="shared" si="39"/>
        <v>0</v>
      </c>
      <c r="FH27" s="21">
        <f t="shared" si="39"/>
        <v>0</v>
      </c>
      <c r="FI27" s="21">
        <f t="shared" si="39"/>
        <v>0</v>
      </c>
      <c r="FJ27" s="21">
        <f t="shared" si="39"/>
        <v>0</v>
      </c>
      <c r="FK27" s="21">
        <f t="shared" si="39"/>
        <v>0</v>
      </c>
      <c r="FL27" s="21">
        <f t="shared" si="39"/>
        <v>0</v>
      </c>
      <c r="FM27" s="21">
        <f t="shared" si="39"/>
        <v>0</v>
      </c>
      <c r="FN27" s="21">
        <f>SUM(FN8:FN26)</f>
        <v>0</v>
      </c>
      <c r="FO27" s="21">
        <f>SUM(FO8:FO26)</f>
        <v>0</v>
      </c>
      <c r="FQ27" s="21">
        <f>SUM(FQ8:FQ26)</f>
        <v>0</v>
      </c>
      <c r="FR27" s="21">
        <f t="shared" ref="FR27:GD27" si="40">SUM(FR8:FR26)</f>
        <v>0</v>
      </c>
      <c r="FS27" s="21">
        <f t="shared" si="40"/>
        <v>0</v>
      </c>
      <c r="FT27" s="21">
        <f t="shared" si="40"/>
        <v>0</v>
      </c>
      <c r="FU27" s="21">
        <f t="shared" si="40"/>
        <v>0</v>
      </c>
      <c r="FV27" s="21">
        <f t="shared" si="40"/>
        <v>0</v>
      </c>
      <c r="FW27" s="21">
        <f t="shared" si="40"/>
        <v>0</v>
      </c>
      <c r="FX27" s="21">
        <f t="shared" si="40"/>
        <v>0</v>
      </c>
      <c r="FY27" s="21">
        <f t="shared" si="40"/>
        <v>0</v>
      </c>
      <c r="FZ27" s="21">
        <f t="shared" si="40"/>
        <v>0</v>
      </c>
      <c r="GA27" s="21">
        <f t="shared" si="40"/>
        <v>0</v>
      </c>
      <c r="GB27" s="21">
        <f t="shared" si="40"/>
        <v>0</v>
      </c>
      <c r="GC27" s="21">
        <f t="shared" si="40"/>
        <v>0</v>
      </c>
      <c r="GD27" s="21">
        <f t="shared" si="40"/>
        <v>0</v>
      </c>
      <c r="GE27" s="21">
        <f>SUM(GE8:GE26)</f>
        <v>0</v>
      </c>
      <c r="GF27" s="21">
        <f>SUM(GF8:GF26)</f>
        <v>0</v>
      </c>
      <c r="GH27" s="21">
        <f>SUM(GH8:GH26)</f>
        <v>0</v>
      </c>
      <c r="GI27" s="21">
        <f t="shared" ref="GI27:GU27" si="41">SUM(GI8:GI26)</f>
        <v>0</v>
      </c>
      <c r="GJ27" s="21">
        <f t="shared" si="41"/>
        <v>0</v>
      </c>
      <c r="GK27" s="21">
        <f t="shared" si="41"/>
        <v>0</v>
      </c>
      <c r="GL27" s="21">
        <f t="shared" si="41"/>
        <v>0</v>
      </c>
      <c r="GM27" s="21">
        <f t="shared" si="41"/>
        <v>0</v>
      </c>
      <c r="GN27" s="21">
        <f t="shared" si="41"/>
        <v>0</v>
      </c>
      <c r="GO27" s="21">
        <f t="shared" si="41"/>
        <v>0</v>
      </c>
      <c r="GP27" s="21">
        <f t="shared" si="41"/>
        <v>0</v>
      </c>
      <c r="GQ27" s="21">
        <f t="shared" si="41"/>
        <v>0</v>
      </c>
      <c r="GR27" s="21">
        <f t="shared" si="41"/>
        <v>0</v>
      </c>
      <c r="GS27" s="21">
        <f t="shared" si="41"/>
        <v>0</v>
      </c>
      <c r="GT27" s="21">
        <f t="shared" si="41"/>
        <v>0</v>
      </c>
      <c r="GU27" s="21">
        <f t="shared" si="41"/>
        <v>0</v>
      </c>
      <c r="GV27" s="21">
        <f>SUM(GV8:GV26)</f>
        <v>0</v>
      </c>
      <c r="GW27" s="21">
        <f>SUM(GW8:GW26)</f>
        <v>0</v>
      </c>
      <c r="GY27" s="21">
        <f>SUM(GY8:GY26)</f>
        <v>0</v>
      </c>
      <c r="GZ27" s="21">
        <f t="shared" ref="GZ27:HL27" si="42">SUM(GZ8:GZ26)</f>
        <v>0</v>
      </c>
      <c r="HA27" s="21">
        <f t="shared" si="42"/>
        <v>0</v>
      </c>
      <c r="HB27" s="21">
        <f t="shared" si="42"/>
        <v>0</v>
      </c>
      <c r="HC27" s="21">
        <f t="shared" si="42"/>
        <v>0</v>
      </c>
      <c r="HD27" s="21">
        <f t="shared" si="42"/>
        <v>0</v>
      </c>
      <c r="HE27" s="21">
        <f t="shared" si="42"/>
        <v>0</v>
      </c>
      <c r="HF27" s="21">
        <f t="shared" si="42"/>
        <v>0</v>
      </c>
      <c r="HG27" s="21">
        <f t="shared" si="42"/>
        <v>0</v>
      </c>
      <c r="HH27" s="21">
        <f t="shared" si="42"/>
        <v>0</v>
      </c>
      <c r="HI27" s="21">
        <f t="shared" si="42"/>
        <v>0</v>
      </c>
      <c r="HJ27" s="21">
        <f t="shared" si="42"/>
        <v>0</v>
      </c>
      <c r="HK27" s="21">
        <f t="shared" si="42"/>
        <v>0</v>
      </c>
      <c r="HL27" s="21">
        <f t="shared" si="42"/>
        <v>0</v>
      </c>
      <c r="HM27" s="21">
        <f>SUM(HM8:HM26)</f>
        <v>0</v>
      </c>
      <c r="HN27" s="21">
        <f>SUM(HN8:HN26)</f>
        <v>0</v>
      </c>
      <c r="HP27" s="21">
        <f>SUM(HP8:HP26)</f>
        <v>0</v>
      </c>
      <c r="HQ27" s="21">
        <f t="shared" ref="HQ27:IC27" si="43">SUM(HQ8:HQ26)</f>
        <v>0</v>
      </c>
      <c r="HR27" s="21">
        <f t="shared" si="43"/>
        <v>0</v>
      </c>
      <c r="HS27" s="21">
        <f t="shared" si="43"/>
        <v>0</v>
      </c>
      <c r="HT27" s="21">
        <f t="shared" si="43"/>
        <v>0</v>
      </c>
      <c r="HU27" s="21">
        <f t="shared" si="43"/>
        <v>0</v>
      </c>
      <c r="HV27" s="21">
        <f t="shared" si="43"/>
        <v>0</v>
      </c>
      <c r="HW27" s="21">
        <f t="shared" si="43"/>
        <v>0</v>
      </c>
      <c r="HX27" s="21">
        <f t="shared" si="43"/>
        <v>0</v>
      </c>
      <c r="HY27" s="21">
        <f t="shared" si="43"/>
        <v>0</v>
      </c>
      <c r="HZ27" s="21">
        <f t="shared" si="43"/>
        <v>0</v>
      </c>
      <c r="IA27" s="21">
        <f t="shared" si="43"/>
        <v>0</v>
      </c>
      <c r="IB27" s="21">
        <f t="shared" si="43"/>
        <v>0</v>
      </c>
      <c r="IC27" s="21">
        <f t="shared" si="43"/>
        <v>0</v>
      </c>
      <c r="ID27" s="21">
        <f>SUM(ID8:ID26)</f>
        <v>0</v>
      </c>
      <c r="IE27" s="21">
        <f>SUM(IE8:IE26)</f>
        <v>0</v>
      </c>
      <c r="IG27" s="21">
        <f>SUM(IG8:IG26)</f>
        <v>0</v>
      </c>
      <c r="IH27" s="21">
        <f t="shared" ref="IH27:IT27" si="44">SUM(IH8:IH26)</f>
        <v>0</v>
      </c>
      <c r="II27" s="21">
        <f t="shared" si="44"/>
        <v>0</v>
      </c>
      <c r="IJ27" s="21">
        <f t="shared" si="44"/>
        <v>0</v>
      </c>
      <c r="IK27" s="21">
        <f t="shared" si="44"/>
        <v>0</v>
      </c>
      <c r="IL27" s="21">
        <f t="shared" si="44"/>
        <v>0</v>
      </c>
      <c r="IM27" s="21">
        <f t="shared" si="44"/>
        <v>0</v>
      </c>
      <c r="IN27" s="21">
        <f t="shared" si="44"/>
        <v>0</v>
      </c>
      <c r="IO27" s="21">
        <f t="shared" si="44"/>
        <v>0</v>
      </c>
      <c r="IP27" s="21">
        <f t="shared" si="44"/>
        <v>0</v>
      </c>
      <c r="IQ27" s="21">
        <f t="shared" si="44"/>
        <v>0</v>
      </c>
      <c r="IR27" s="21">
        <f t="shared" si="44"/>
        <v>0</v>
      </c>
      <c r="IS27" s="21">
        <f t="shared" si="44"/>
        <v>0</v>
      </c>
      <c r="IT27" s="21">
        <f t="shared" si="44"/>
        <v>0</v>
      </c>
      <c r="IU27" s="21">
        <f>SUM(IU8:IU26)</f>
        <v>0</v>
      </c>
      <c r="IV27" s="21">
        <f>SUM(IV8:IV26)</f>
        <v>0</v>
      </c>
    </row>
    <row r="28" spans="1:256" s="23" customFormat="1" ht="10.199999999999999" x14ac:dyDescent="0.2">
      <c r="B28" s="46"/>
      <c r="S28" s="24"/>
      <c r="AJ28" s="24"/>
      <c r="BA28" s="24"/>
      <c r="BR28" s="24"/>
      <c r="CI28" s="24"/>
      <c r="CZ28" s="24"/>
      <c r="DQ28" s="24"/>
      <c r="EH28" s="24"/>
      <c r="EY28" s="24"/>
      <c r="FP28" s="24"/>
      <c r="GG28" s="24"/>
      <c r="GX28" s="24"/>
      <c r="HO28" s="24"/>
      <c r="IF28" s="24"/>
    </row>
    <row r="29" spans="1:256" s="23" customFormat="1" ht="10.199999999999999" x14ac:dyDescent="0.2">
      <c r="B29" s="46"/>
      <c r="S29" s="24"/>
      <c r="AJ29" s="24"/>
      <c r="BA29" s="24"/>
      <c r="BR29" s="24"/>
      <c r="CI29" s="24"/>
      <c r="CZ29" s="24"/>
      <c r="DQ29" s="24"/>
      <c r="EH29" s="24"/>
      <c r="EY29" s="24"/>
      <c r="FP29" s="24"/>
      <c r="GG29" s="24"/>
      <c r="GX29" s="24"/>
      <c r="HO29" s="24"/>
      <c r="IF29" s="24"/>
    </row>
    <row r="30" spans="1:256" s="23" customFormat="1" x14ac:dyDescent="0.25">
      <c r="A30" s="65" t="s">
        <v>49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AJ30" s="24"/>
      <c r="BA30" s="24"/>
      <c r="BR30" s="24"/>
      <c r="CI30" s="24"/>
      <c r="CZ30" s="24"/>
      <c r="DQ30" s="24"/>
      <c r="EH30" s="24"/>
      <c r="EY30" s="24"/>
      <c r="FP30" s="24"/>
      <c r="GG30" s="24"/>
      <c r="GX30" s="24"/>
      <c r="HO30" s="24"/>
      <c r="IF30" s="24"/>
    </row>
    <row r="31" spans="1:256" s="23" customFormat="1" x14ac:dyDescent="0.25">
      <c r="A31" s="26" t="s">
        <v>19</v>
      </c>
      <c r="B31" s="58" t="s">
        <v>74</v>
      </c>
      <c r="C31" s="13" t="s">
        <v>20</v>
      </c>
      <c r="D31" s="11" t="s">
        <v>21</v>
      </c>
      <c r="E31" s="11" t="s">
        <v>22</v>
      </c>
      <c r="F31" s="11" t="s">
        <v>23</v>
      </c>
      <c r="G31" s="11" t="s">
        <v>24</v>
      </c>
      <c r="H31" s="11" t="s">
        <v>25</v>
      </c>
      <c r="I31" s="11" t="s">
        <v>26</v>
      </c>
      <c r="J31" s="11" t="s">
        <v>27</v>
      </c>
      <c r="K31" s="11" t="s">
        <v>28</v>
      </c>
      <c r="L31" s="11" t="s">
        <v>29</v>
      </c>
      <c r="M31" s="11" t="s">
        <v>30</v>
      </c>
      <c r="N31" s="11" t="s">
        <v>31</v>
      </c>
      <c r="O31" s="11" t="s">
        <v>32</v>
      </c>
      <c r="P31" s="12" t="s">
        <v>33</v>
      </c>
      <c r="Q31" s="11" t="s">
        <v>34</v>
      </c>
      <c r="R31" s="27" t="s">
        <v>35</v>
      </c>
      <c r="S31" s="24"/>
      <c r="T31" s="28" t="s">
        <v>50</v>
      </c>
      <c r="U31" s="29" t="s">
        <v>51</v>
      </c>
      <c r="AJ31" s="24"/>
      <c r="BA31" s="24"/>
      <c r="BR31" s="24"/>
      <c r="CI31" s="24"/>
      <c r="CZ31" s="24"/>
      <c r="DQ31" s="24"/>
      <c r="EH31" s="24"/>
      <c r="EY31" s="24"/>
      <c r="FP31" s="24"/>
      <c r="GG31" s="24"/>
      <c r="GX31" s="24"/>
      <c r="HO31" s="24"/>
      <c r="IF31" s="24"/>
    </row>
    <row r="32" spans="1:256" s="23" customFormat="1" x14ac:dyDescent="0.25">
      <c r="A32" s="30" t="str">
        <f t="shared" ref="A32:B50" si="45">IF(A8="","",A8)</f>
        <v>LUIS HERNANDEZ EQUIPO7</v>
      </c>
      <c r="B32" s="47">
        <f t="shared" si="45"/>
        <v>5</v>
      </c>
      <c r="C32" s="16">
        <f t="shared" ref="C32:C50" si="46">+C8+T8+AK8+BB8+BS8+CJ8+DA8+DR8+EI8+EZ8+FQ8+GH8+GY8+HP8+IG8</f>
        <v>4</v>
      </c>
      <c r="D32" s="16">
        <f t="shared" ref="D32:D50" si="47">+D8+U8+AL8+BC8+BT8+CK8+DB8+DS8+EJ8+FA8+FR8+GI8+GZ8+HQ8+IH8</f>
        <v>2</v>
      </c>
      <c r="E32" s="16">
        <f t="shared" ref="E32:E50" si="48">+E8+V8+AM8+BD8+BU8+CL8+DC8+DT8+EK8+FB8+FS8+GJ8+HA8+HR8+II8</f>
        <v>1</v>
      </c>
      <c r="F32" s="16">
        <f t="shared" ref="F32:F50" si="49">+F8+W8+AN8+BE8+BV8+CM8+DD8+DU8+EL8+FC8+FT8+GK8+HB8+HS8+IJ8</f>
        <v>0</v>
      </c>
      <c r="G32" s="16">
        <f t="shared" ref="G32:G50" si="50">+G8+X8+AO8+BF8+BW8+CN8+DE8+DV8+EM8+FD8+FU8+GL8+HC8+HT8+IK8</f>
        <v>0</v>
      </c>
      <c r="H32" s="16">
        <f t="shared" ref="H32:H50" si="51">+H8+Y8+AP8+BG8+BX8+CO8+DF8+DW8+EN8+FE8+FV8+GM8+HD8+HU8+IL8</f>
        <v>0</v>
      </c>
      <c r="I32" s="16">
        <f t="shared" ref="I32:I50" si="52">+I8+Z8+AQ8+BH8+BY8+CP8+DG8+DX8+EO8+FF8+FW8+GN8+HE8+HV8+IM8</f>
        <v>0</v>
      </c>
      <c r="J32" s="16">
        <f t="shared" ref="J32:J50" si="53">+J8+AA8+AR8+BI8+BZ8+CQ8+DH8+DY8+EP8+FG8+FX8+GO8+HF8+HW8+IN8</f>
        <v>0</v>
      </c>
      <c r="K32" s="16">
        <f t="shared" ref="K32:K50" si="54">+K8+AB8+AS8+BJ8+CA8+CR8+DI8+DZ8+EQ8+FH8+FY8+GP8+HG8+HX8+IO8</f>
        <v>0</v>
      </c>
      <c r="L32" s="16">
        <f t="shared" ref="L32:L50" si="55">+L8+AC8+AT8+BK8+CB8+CS8+DJ8+EA8+ER8+FI8+FZ8+GQ8+HH8+HY8+IP8</f>
        <v>1</v>
      </c>
      <c r="M32" s="16">
        <f t="shared" ref="M32:M50" si="56">+M8+AD8+AU8+BL8+CC8+CT8+DK8+EB8+ES8+FJ8+GA8+GR8+HI8+HZ8+IQ8</f>
        <v>0</v>
      </c>
      <c r="N32" s="16">
        <f t="shared" ref="N32:N50" si="57">+N8+AE8+AV8+BM8+CD8+CU8+DL8+EC8+ET8+FK8+GB8+GS8+HJ8+IA8+IR8</f>
        <v>0</v>
      </c>
      <c r="O32" s="16">
        <f t="shared" ref="O32:O50" si="58">+O8+AF8+AW8+BN8+CE8+CV8+DM8+ED8+EU8+FL8+GC8+GT8+HK8+IB8+IS8</f>
        <v>0</v>
      </c>
      <c r="P32" s="16">
        <f t="shared" ref="P32:P50" si="59">+P8+AG8+AX8+BO8+CF8+CW8+DN8+EE8+EV8+FM8+GD8+GU8+HL8+IC8+IT8</f>
        <v>0</v>
      </c>
      <c r="Q32" s="16">
        <f t="shared" ref="Q32:Q50" si="60">+Q8+AH8+AY8+BP8+CG8+CX8+DO8+EF8+EW8+FN8+GE8+GV8+HM8+ID8+IU8</f>
        <v>1</v>
      </c>
      <c r="R32" s="16">
        <f t="shared" ref="R32:R50" si="61">+R8+AI8+AZ8+BQ8+CH8+CY8+DP8+EG8+EX8+FO8+GF8+GW8+HN8+IE8+IV8</f>
        <v>4</v>
      </c>
      <c r="S32" s="24"/>
      <c r="T32" s="31">
        <f t="shared" ref="T32:T51" si="62">IF(C32=0,0,E32*1000/C32)</f>
        <v>250</v>
      </c>
      <c r="U32" s="31">
        <f t="shared" ref="U32:U51" si="63">IF(C32=0,0,Q32*1000/C32)</f>
        <v>250</v>
      </c>
      <c r="AJ32" s="24"/>
      <c r="BA32" s="24"/>
      <c r="BR32" s="24"/>
      <c r="CI32" s="24"/>
      <c r="CZ32" s="24"/>
      <c r="DQ32" s="24"/>
      <c r="EH32" s="24"/>
      <c r="EY32" s="24"/>
      <c r="FP32" s="24"/>
      <c r="GG32" s="24"/>
      <c r="GX32" s="24"/>
      <c r="HO32" s="24"/>
      <c r="IF32" s="24"/>
    </row>
    <row r="33" spans="1:240" s="23" customFormat="1" x14ac:dyDescent="0.25">
      <c r="A33" s="30" t="str">
        <f t="shared" si="45"/>
        <v>JOSEPH MENDOZA</v>
      </c>
      <c r="B33" s="47">
        <f t="shared" si="45"/>
        <v>6</v>
      </c>
      <c r="C33" s="16">
        <f t="shared" si="46"/>
        <v>3</v>
      </c>
      <c r="D33" s="16">
        <f t="shared" si="47"/>
        <v>1</v>
      </c>
      <c r="E33" s="16">
        <f t="shared" si="48"/>
        <v>1</v>
      </c>
      <c r="F33" s="16">
        <f t="shared" si="49"/>
        <v>1</v>
      </c>
      <c r="G33" s="16">
        <f t="shared" si="50"/>
        <v>0</v>
      </c>
      <c r="H33" s="16">
        <f t="shared" si="51"/>
        <v>0</v>
      </c>
      <c r="I33" s="16">
        <f t="shared" si="52"/>
        <v>0</v>
      </c>
      <c r="J33" s="16">
        <f t="shared" si="53"/>
        <v>0</v>
      </c>
      <c r="K33" s="16">
        <f t="shared" si="54"/>
        <v>1</v>
      </c>
      <c r="L33" s="16">
        <f t="shared" si="55"/>
        <v>0</v>
      </c>
      <c r="M33" s="16">
        <f t="shared" si="56"/>
        <v>0</v>
      </c>
      <c r="N33" s="16">
        <f t="shared" si="57"/>
        <v>0</v>
      </c>
      <c r="O33" s="16">
        <f t="shared" si="58"/>
        <v>0</v>
      </c>
      <c r="P33" s="16">
        <f t="shared" si="59"/>
        <v>0</v>
      </c>
      <c r="Q33" s="16">
        <f t="shared" si="60"/>
        <v>2</v>
      </c>
      <c r="R33" s="16">
        <f t="shared" si="61"/>
        <v>4</v>
      </c>
      <c r="S33" s="24"/>
      <c r="T33" s="31">
        <f t="shared" si="62"/>
        <v>333.33333333333331</v>
      </c>
      <c r="U33" s="31">
        <f t="shared" si="63"/>
        <v>666.66666666666663</v>
      </c>
      <c r="AJ33" s="24"/>
      <c r="BA33" s="24"/>
      <c r="BR33" s="24"/>
      <c r="CI33" s="24"/>
      <c r="CZ33" s="24"/>
      <c r="DQ33" s="24"/>
      <c r="EH33" s="24"/>
      <c r="EY33" s="24"/>
      <c r="FP33" s="24"/>
      <c r="GG33" s="24"/>
      <c r="GX33" s="24"/>
      <c r="HO33" s="24"/>
      <c r="IF33" s="24"/>
    </row>
    <row r="34" spans="1:240" s="23" customFormat="1" x14ac:dyDescent="0.25">
      <c r="A34" s="30" t="str">
        <f t="shared" si="45"/>
        <v>ABRAHAN RODRIGUZ</v>
      </c>
      <c r="B34" s="47" t="str">
        <f t="shared" si="45"/>
        <v/>
      </c>
      <c r="C34" s="16">
        <f t="shared" si="46"/>
        <v>4</v>
      </c>
      <c r="D34" s="16">
        <f t="shared" si="47"/>
        <v>0</v>
      </c>
      <c r="E34" s="16">
        <f t="shared" si="48"/>
        <v>1</v>
      </c>
      <c r="F34" s="16">
        <f t="shared" si="49"/>
        <v>0</v>
      </c>
      <c r="G34" s="16">
        <f t="shared" si="50"/>
        <v>0</v>
      </c>
      <c r="H34" s="16">
        <f t="shared" si="51"/>
        <v>0</v>
      </c>
      <c r="I34" s="16">
        <f t="shared" si="52"/>
        <v>0</v>
      </c>
      <c r="J34" s="16">
        <f t="shared" si="53"/>
        <v>0</v>
      </c>
      <c r="K34" s="16">
        <f t="shared" si="54"/>
        <v>0</v>
      </c>
      <c r="L34" s="16">
        <f t="shared" si="55"/>
        <v>0</v>
      </c>
      <c r="M34" s="16">
        <f t="shared" si="56"/>
        <v>0</v>
      </c>
      <c r="N34" s="16">
        <f t="shared" si="57"/>
        <v>0</v>
      </c>
      <c r="O34" s="16">
        <f t="shared" si="58"/>
        <v>0</v>
      </c>
      <c r="P34" s="16">
        <f t="shared" si="59"/>
        <v>0</v>
      </c>
      <c r="Q34" s="16">
        <f t="shared" si="60"/>
        <v>1</v>
      </c>
      <c r="R34" s="16">
        <f t="shared" si="61"/>
        <v>4</v>
      </c>
      <c r="S34" s="24"/>
      <c r="T34" s="31">
        <f t="shared" si="62"/>
        <v>250</v>
      </c>
      <c r="U34" s="31">
        <f t="shared" si="63"/>
        <v>250</v>
      </c>
      <c r="AJ34" s="24"/>
      <c r="BA34" s="24"/>
      <c r="BR34" s="24"/>
      <c r="CI34" s="24"/>
      <c r="CZ34" s="24"/>
      <c r="DQ34" s="24"/>
      <c r="EH34" s="24"/>
      <c r="EY34" s="24"/>
      <c r="FP34" s="24"/>
      <c r="GG34" s="24"/>
      <c r="GX34" s="24"/>
      <c r="HO34" s="24"/>
      <c r="IF34" s="24"/>
    </row>
    <row r="35" spans="1:240" s="23" customFormat="1" x14ac:dyDescent="0.25">
      <c r="A35" s="30" t="str">
        <f t="shared" si="45"/>
        <v>ALEXANDER HERNANDEZ</v>
      </c>
      <c r="B35" s="47" t="str">
        <f t="shared" si="45"/>
        <v/>
      </c>
      <c r="C35" s="16">
        <f t="shared" si="46"/>
        <v>0</v>
      </c>
      <c r="D35" s="16">
        <f t="shared" si="47"/>
        <v>1</v>
      </c>
      <c r="E35" s="16">
        <f t="shared" si="48"/>
        <v>0</v>
      </c>
      <c r="F35" s="16">
        <f t="shared" si="49"/>
        <v>0</v>
      </c>
      <c r="G35" s="16">
        <f t="shared" si="50"/>
        <v>0</v>
      </c>
      <c r="H35" s="16">
        <f t="shared" si="51"/>
        <v>0</v>
      </c>
      <c r="I35" s="16">
        <f t="shared" si="52"/>
        <v>1</v>
      </c>
      <c r="J35" s="16">
        <f t="shared" si="53"/>
        <v>0</v>
      </c>
      <c r="K35" s="16">
        <f t="shared" si="54"/>
        <v>3</v>
      </c>
      <c r="L35" s="16">
        <f t="shared" si="55"/>
        <v>3</v>
      </c>
      <c r="M35" s="16">
        <f t="shared" si="56"/>
        <v>0</v>
      </c>
      <c r="N35" s="16">
        <f t="shared" si="57"/>
        <v>0</v>
      </c>
      <c r="O35" s="16">
        <f t="shared" si="58"/>
        <v>0</v>
      </c>
      <c r="P35" s="16">
        <f t="shared" si="59"/>
        <v>0</v>
      </c>
      <c r="Q35" s="16">
        <f t="shared" si="60"/>
        <v>0</v>
      </c>
      <c r="R35" s="16">
        <f t="shared" si="61"/>
        <v>3</v>
      </c>
      <c r="S35" s="24"/>
      <c r="T35" s="31">
        <f t="shared" si="62"/>
        <v>0</v>
      </c>
      <c r="U35" s="31">
        <f t="shared" si="63"/>
        <v>0</v>
      </c>
      <c r="AJ35" s="24"/>
      <c r="BA35" s="24"/>
      <c r="BR35" s="24"/>
      <c r="CI35" s="24"/>
      <c r="CZ35" s="24"/>
      <c r="DQ35" s="24"/>
      <c r="EH35" s="24"/>
      <c r="EY35" s="24"/>
      <c r="FP35" s="24"/>
      <c r="GG35" s="24"/>
      <c r="GX35" s="24"/>
      <c r="HO35" s="24"/>
      <c r="IF35" s="24"/>
    </row>
    <row r="36" spans="1:240" s="23" customFormat="1" x14ac:dyDescent="0.25">
      <c r="A36" s="30" t="str">
        <f t="shared" si="45"/>
        <v>DANIEL LIENDO</v>
      </c>
      <c r="B36" s="47" t="str">
        <f t="shared" si="45"/>
        <v/>
      </c>
      <c r="C36" s="16">
        <f t="shared" si="46"/>
        <v>1</v>
      </c>
      <c r="D36" s="16">
        <f t="shared" si="47"/>
        <v>0</v>
      </c>
      <c r="E36" s="16">
        <f t="shared" si="48"/>
        <v>0</v>
      </c>
      <c r="F36" s="16">
        <f t="shared" si="49"/>
        <v>0</v>
      </c>
      <c r="G36" s="16">
        <f t="shared" si="50"/>
        <v>0</v>
      </c>
      <c r="H36" s="16">
        <f t="shared" si="51"/>
        <v>0</v>
      </c>
      <c r="I36" s="16">
        <f t="shared" si="52"/>
        <v>0</v>
      </c>
      <c r="J36" s="16">
        <f t="shared" si="53"/>
        <v>0</v>
      </c>
      <c r="K36" s="16">
        <f t="shared" si="54"/>
        <v>0</v>
      </c>
      <c r="L36" s="16">
        <f t="shared" si="55"/>
        <v>0</v>
      </c>
      <c r="M36" s="16">
        <f t="shared" si="56"/>
        <v>0</v>
      </c>
      <c r="N36" s="16">
        <f t="shared" si="57"/>
        <v>0</v>
      </c>
      <c r="O36" s="16">
        <f t="shared" si="58"/>
        <v>0</v>
      </c>
      <c r="P36" s="16">
        <f t="shared" si="59"/>
        <v>0</v>
      </c>
      <c r="Q36" s="16">
        <f t="shared" si="60"/>
        <v>0</v>
      </c>
      <c r="R36" s="16">
        <f t="shared" si="61"/>
        <v>1</v>
      </c>
      <c r="S36" s="24"/>
      <c r="T36" s="31">
        <f t="shared" si="62"/>
        <v>0</v>
      </c>
      <c r="U36" s="31">
        <f t="shared" si="63"/>
        <v>0</v>
      </c>
      <c r="AJ36" s="24"/>
      <c r="BA36" s="24"/>
      <c r="BR36" s="24"/>
      <c r="CI36" s="24"/>
      <c r="CZ36" s="24"/>
      <c r="DQ36" s="24"/>
      <c r="EH36" s="24"/>
      <c r="EY36" s="24"/>
      <c r="FP36" s="24"/>
      <c r="GG36" s="24"/>
      <c r="GX36" s="24"/>
      <c r="HO36" s="24"/>
      <c r="IF36" s="24"/>
    </row>
    <row r="37" spans="1:240" s="23" customFormat="1" x14ac:dyDescent="0.25">
      <c r="A37" s="30" t="str">
        <f t="shared" si="45"/>
        <v>SEBASTIAN MUJICA</v>
      </c>
      <c r="B37" s="47" t="str">
        <f t="shared" si="45"/>
        <v/>
      </c>
      <c r="C37" s="16">
        <f t="shared" si="46"/>
        <v>2</v>
      </c>
      <c r="D37" s="16">
        <f t="shared" si="47"/>
        <v>0</v>
      </c>
      <c r="E37" s="16">
        <f t="shared" si="48"/>
        <v>0</v>
      </c>
      <c r="F37" s="16">
        <f t="shared" si="49"/>
        <v>0</v>
      </c>
      <c r="G37" s="16">
        <f t="shared" si="50"/>
        <v>0</v>
      </c>
      <c r="H37" s="16">
        <f t="shared" si="51"/>
        <v>0</v>
      </c>
      <c r="I37" s="16">
        <f t="shared" si="52"/>
        <v>0</v>
      </c>
      <c r="J37" s="16">
        <f t="shared" si="53"/>
        <v>1</v>
      </c>
      <c r="K37" s="16">
        <f t="shared" si="54"/>
        <v>0</v>
      </c>
      <c r="L37" s="16">
        <f t="shared" si="55"/>
        <v>0</v>
      </c>
      <c r="M37" s="16">
        <f t="shared" si="56"/>
        <v>0</v>
      </c>
      <c r="N37" s="16">
        <f t="shared" si="57"/>
        <v>0</v>
      </c>
      <c r="O37" s="16">
        <f t="shared" si="58"/>
        <v>0</v>
      </c>
      <c r="P37" s="16">
        <f t="shared" si="59"/>
        <v>0</v>
      </c>
      <c r="Q37" s="16">
        <f t="shared" si="60"/>
        <v>0</v>
      </c>
      <c r="R37" s="16">
        <f t="shared" si="61"/>
        <v>2</v>
      </c>
      <c r="S37" s="24"/>
      <c r="T37" s="31">
        <f t="shared" si="62"/>
        <v>0</v>
      </c>
      <c r="U37" s="31">
        <f t="shared" si="63"/>
        <v>0</v>
      </c>
      <c r="AJ37" s="24"/>
      <c r="BA37" s="24"/>
      <c r="BR37" s="24"/>
      <c r="CI37" s="24"/>
      <c r="CZ37" s="24"/>
      <c r="DQ37" s="24"/>
      <c r="EH37" s="24"/>
      <c r="EY37" s="24"/>
      <c r="FP37" s="24"/>
      <c r="GG37" s="24"/>
      <c r="GX37" s="24"/>
      <c r="HO37" s="24"/>
      <c r="IF37" s="24"/>
    </row>
    <row r="38" spans="1:240" s="23" customFormat="1" x14ac:dyDescent="0.25">
      <c r="A38" s="30" t="str">
        <f t="shared" si="45"/>
        <v>ANGEL RODRIGUEZ</v>
      </c>
      <c r="B38" s="47" t="str">
        <f t="shared" si="45"/>
        <v/>
      </c>
      <c r="C38" s="16">
        <f t="shared" si="46"/>
        <v>3</v>
      </c>
      <c r="D38" s="16">
        <f t="shared" si="47"/>
        <v>2</v>
      </c>
      <c r="E38" s="16">
        <f t="shared" si="48"/>
        <v>2</v>
      </c>
      <c r="F38" s="16">
        <f t="shared" si="49"/>
        <v>0</v>
      </c>
      <c r="G38" s="16">
        <f t="shared" si="50"/>
        <v>0</v>
      </c>
      <c r="H38" s="16">
        <f t="shared" si="51"/>
        <v>0</v>
      </c>
      <c r="I38" s="16">
        <f t="shared" si="52"/>
        <v>1</v>
      </c>
      <c r="J38" s="16">
        <f t="shared" si="53"/>
        <v>1</v>
      </c>
      <c r="K38" s="16">
        <f t="shared" si="54"/>
        <v>0</v>
      </c>
      <c r="L38" s="16">
        <f t="shared" si="55"/>
        <v>1</v>
      </c>
      <c r="M38" s="16">
        <f t="shared" si="56"/>
        <v>0</v>
      </c>
      <c r="N38" s="16">
        <f t="shared" si="57"/>
        <v>0</v>
      </c>
      <c r="O38" s="16">
        <f t="shared" si="58"/>
        <v>0</v>
      </c>
      <c r="P38" s="16">
        <f t="shared" si="59"/>
        <v>0</v>
      </c>
      <c r="Q38" s="16">
        <f t="shared" si="60"/>
        <v>2</v>
      </c>
      <c r="R38" s="16">
        <f t="shared" si="61"/>
        <v>3</v>
      </c>
      <c r="S38" s="24"/>
      <c r="T38" s="31">
        <f t="shared" si="62"/>
        <v>666.66666666666663</v>
      </c>
      <c r="U38" s="31">
        <f t="shared" si="63"/>
        <v>666.66666666666663</v>
      </c>
      <c r="AJ38" s="24"/>
      <c r="BA38" s="24"/>
      <c r="BR38" s="24"/>
      <c r="CI38" s="24"/>
      <c r="CZ38" s="24"/>
      <c r="DQ38" s="24"/>
      <c r="EH38" s="24"/>
      <c r="EY38" s="24"/>
      <c r="FP38" s="24"/>
      <c r="GG38" s="24"/>
      <c r="GX38" s="24"/>
      <c r="HO38" s="24"/>
      <c r="IF38" s="24"/>
    </row>
    <row r="39" spans="1:240" s="23" customFormat="1" x14ac:dyDescent="0.25">
      <c r="A39" s="30" t="str">
        <f t="shared" si="45"/>
        <v>FRANCISCO MONASTERIO</v>
      </c>
      <c r="B39" s="47" t="str">
        <f t="shared" si="45"/>
        <v/>
      </c>
      <c r="C39" s="16">
        <f t="shared" si="46"/>
        <v>3</v>
      </c>
      <c r="D39" s="16">
        <f t="shared" si="47"/>
        <v>1</v>
      </c>
      <c r="E39" s="16">
        <f t="shared" si="48"/>
        <v>2</v>
      </c>
      <c r="F39" s="16">
        <f t="shared" si="49"/>
        <v>0</v>
      </c>
      <c r="G39" s="16">
        <f t="shared" si="50"/>
        <v>1</v>
      </c>
      <c r="H39" s="16">
        <f t="shared" si="51"/>
        <v>0</v>
      </c>
      <c r="I39" s="16">
        <f t="shared" si="52"/>
        <v>0</v>
      </c>
      <c r="J39" s="16">
        <f t="shared" si="53"/>
        <v>0</v>
      </c>
      <c r="K39" s="16">
        <f t="shared" si="54"/>
        <v>0</v>
      </c>
      <c r="L39" s="16">
        <f t="shared" si="55"/>
        <v>0</v>
      </c>
      <c r="M39" s="16">
        <f t="shared" si="56"/>
        <v>0</v>
      </c>
      <c r="N39" s="16">
        <f t="shared" si="57"/>
        <v>0</v>
      </c>
      <c r="O39" s="16">
        <f t="shared" si="58"/>
        <v>0</v>
      </c>
      <c r="P39" s="16">
        <f t="shared" si="59"/>
        <v>0</v>
      </c>
      <c r="Q39" s="16">
        <f t="shared" si="60"/>
        <v>4</v>
      </c>
      <c r="R39" s="16">
        <f t="shared" si="61"/>
        <v>3</v>
      </c>
      <c r="S39" s="24"/>
      <c r="T39" s="31">
        <f t="shared" si="62"/>
        <v>666.66666666666663</v>
      </c>
      <c r="U39" s="31">
        <f t="shared" si="63"/>
        <v>1333.3333333333333</v>
      </c>
      <c r="AJ39" s="24"/>
      <c r="BA39" s="24"/>
      <c r="BR39" s="24"/>
      <c r="CI39" s="24"/>
      <c r="CZ39" s="24"/>
      <c r="DQ39" s="24"/>
      <c r="EH39" s="24"/>
      <c r="EY39" s="24"/>
      <c r="FP39" s="24"/>
      <c r="GG39" s="24"/>
      <c r="GX39" s="24"/>
      <c r="HO39" s="24"/>
      <c r="IF39" s="24"/>
    </row>
    <row r="40" spans="1:240" s="23" customFormat="1" x14ac:dyDescent="0.25">
      <c r="A40" s="30" t="str">
        <f t="shared" si="45"/>
        <v>MARCOS MORALES</v>
      </c>
      <c r="B40" s="47" t="str">
        <f t="shared" si="45"/>
        <v/>
      </c>
      <c r="C40" s="16">
        <f t="shared" si="46"/>
        <v>3</v>
      </c>
      <c r="D40" s="16">
        <f t="shared" si="47"/>
        <v>2</v>
      </c>
      <c r="E40" s="16">
        <f t="shared" si="48"/>
        <v>2</v>
      </c>
      <c r="F40" s="16">
        <f t="shared" si="49"/>
        <v>1</v>
      </c>
      <c r="G40" s="16">
        <f t="shared" si="50"/>
        <v>0</v>
      </c>
      <c r="H40" s="16">
        <f t="shared" si="51"/>
        <v>0</v>
      </c>
      <c r="I40" s="16">
        <f t="shared" si="52"/>
        <v>2</v>
      </c>
      <c r="J40" s="16">
        <f t="shared" si="53"/>
        <v>1</v>
      </c>
      <c r="K40" s="16">
        <f t="shared" si="54"/>
        <v>0</v>
      </c>
      <c r="L40" s="16">
        <f t="shared" si="55"/>
        <v>3</v>
      </c>
      <c r="M40" s="16">
        <f t="shared" si="56"/>
        <v>0</v>
      </c>
      <c r="N40" s="16">
        <f t="shared" si="57"/>
        <v>0</v>
      </c>
      <c r="O40" s="16">
        <f t="shared" si="58"/>
        <v>0</v>
      </c>
      <c r="P40" s="16">
        <f t="shared" si="59"/>
        <v>0</v>
      </c>
      <c r="Q40" s="16">
        <f t="shared" si="60"/>
        <v>3</v>
      </c>
      <c r="R40" s="16">
        <f t="shared" si="61"/>
        <v>3</v>
      </c>
      <c r="S40" s="24"/>
      <c r="T40" s="31">
        <f t="shared" si="62"/>
        <v>666.66666666666663</v>
      </c>
      <c r="U40" s="31">
        <f t="shared" si="63"/>
        <v>1000</v>
      </c>
      <c r="AJ40" s="24"/>
      <c r="BA40" s="24"/>
      <c r="BR40" s="24"/>
      <c r="CI40" s="24"/>
      <c r="CZ40" s="24"/>
      <c r="DQ40" s="24"/>
      <c r="EH40" s="24"/>
      <c r="EY40" s="24"/>
      <c r="FP40" s="24"/>
      <c r="GG40" s="24"/>
      <c r="GX40" s="24"/>
      <c r="HO40" s="24"/>
      <c r="IF40" s="24"/>
    </row>
    <row r="41" spans="1:240" s="23" customFormat="1" x14ac:dyDescent="0.25">
      <c r="A41" s="30" t="str">
        <f t="shared" si="45"/>
        <v>ADRIAN MURILLO</v>
      </c>
      <c r="B41" s="47" t="str">
        <f t="shared" si="45"/>
        <v/>
      </c>
      <c r="C41" s="16">
        <f t="shared" si="46"/>
        <v>2</v>
      </c>
      <c r="D41" s="16">
        <f t="shared" si="47"/>
        <v>1</v>
      </c>
      <c r="E41" s="16">
        <f t="shared" si="48"/>
        <v>0</v>
      </c>
      <c r="F41" s="16">
        <f t="shared" si="49"/>
        <v>0</v>
      </c>
      <c r="G41" s="16">
        <f t="shared" si="50"/>
        <v>0</v>
      </c>
      <c r="H41" s="16">
        <f t="shared" si="51"/>
        <v>0</v>
      </c>
      <c r="I41" s="16">
        <f t="shared" si="52"/>
        <v>0</v>
      </c>
      <c r="J41" s="16">
        <f t="shared" si="53"/>
        <v>1</v>
      </c>
      <c r="K41" s="16">
        <f t="shared" si="54"/>
        <v>1</v>
      </c>
      <c r="L41" s="16">
        <f t="shared" si="55"/>
        <v>1</v>
      </c>
      <c r="M41" s="16">
        <f t="shared" si="56"/>
        <v>0</v>
      </c>
      <c r="N41" s="16">
        <f t="shared" si="57"/>
        <v>0</v>
      </c>
      <c r="O41" s="16">
        <f t="shared" si="58"/>
        <v>0</v>
      </c>
      <c r="P41" s="16">
        <f t="shared" si="59"/>
        <v>0</v>
      </c>
      <c r="Q41" s="16">
        <f t="shared" si="60"/>
        <v>0</v>
      </c>
      <c r="R41" s="16">
        <f t="shared" si="61"/>
        <v>3</v>
      </c>
      <c r="S41" s="24"/>
      <c r="T41" s="31">
        <f t="shared" si="62"/>
        <v>0</v>
      </c>
      <c r="U41" s="31">
        <f t="shared" si="63"/>
        <v>0</v>
      </c>
      <c r="AJ41" s="24"/>
      <c r="BA41" s="24"/>
      <c r="BR41" s="24"/>
      <c r="CI41" s="24"/>
      <c r="CZ41" s="24"/>
      <c r="DQ41" s="24"/>
      <c r="EH41" s="24"/>
      <c r="EY41" s="24"/>
      <c r="FP41" s="24"/>
      <c r="GG41" s="24"/>
      <c r="GX41" s="24"/>
      <c r="HO41" s="24"/>
      <c r="IF41" s="24"/>
    </row>
    <row r="42" spans="1:240" s="23" customFormat="1" x14ac:dyDescent="0.25">
      <c r="A42" s="30" t="str">
        <f t="shared" si="45"/>
        <v>DARGREYBER RODRIGUEZ</v>
      </c>
      <c r="B42" s="47" t="str">
        <f t="shared" si="45"/>
        <v/>
      </c>
      <c r="C42" s="16">
        <f t="shared" si="46"/>
        <v>0</v>
      </c>
      <c r="D42" s="16">
        <f t="shared" si="47"/>
        <v>0</v>
      </c>
      <c r="E42" s="16">
        <f t="shared" si="48"/>
        <v>0</v>
      </c>
      <c r="F42" s="16">
        <f t="shared" si="49"/>
        <v>0</v>
      </c>
      <c r="G42" s="16">
        <f t="shared" si="50"/>
        <v>0</v>
      </c>
      <c r="H42" s="16">
        <f t="shared" si="51"/>
        <v>0</v>
      </c>
      <c r="I42" s="16">
        <f t="shared" si="52"/>
        <v>0</v>
      </c>
      <c r="J42" s="16">
        <f t="shared" si="53"/>
        <v>0</v>
      </c>
      <c r="K42" s="16">
        <f t="shared" si="54"/>
        <v>0</v>
      </c>
      <c r="L42" s="16">
        <f t="shared" si="55"/>
        <v>0</v>
      </c>
      <c r="M42" s="16">
        <f t="shared" si="56"/>
        <v>0</v>
      </c>
      <c r="N42" s="16">
        <f t="shared" si="57"/>
        <v>0</v>
      </c>
      <c r="O42" s="16">
        <f t="shared" si="58"/>
        <v>0</v>
      </c>
      <c r="P42" s="16">
        <f t="shared" si="59"/>
        <v>0</v>
      </c>
      <c r="Q42" s="16">
        <f t="shared" si="60"/>
        <v>0</v>
      </c>
      <c r="R42" s="16">
        <f t="shared" si="61"/>
        <v>0</v>
      </c>
      <c r="S42" s="24"/>
      <c r="T42" s="31">
        <f t="shared" si="62"/>
        <v>0</v>
      </c>
      <c r="U42" s="31">
        <f t="shared" si="63"/>
        <v>0</v>
      </c>
      <c r="AJ42" s="24"/>
      <c r="BA42" s="24"/>
      <c r="BR42" s="24"/>
      <c r="CI42" s="24"/>
      <c r="CZ42" s="24"/>
      <c r="DQ42" s="24"/>
      <c r="EH42" s="24"/>
      <c r="EY42" s="24"/>
      <c r="FP42" s="24"/>
      <c r="GG42" s="24"/>
      <c r="GX42" s="24"/>
      <c r="HO42" s="24"/>
      <c r="IF42" s="24"/>
    </row>
    <row r="43" spans="1:240" s="23" customFormat="1" x14ac:dyDescent="0.25">
      <c r="A43" s="30" t="str">
        <f t="shared" si="45"/>
        <v>JENSE FLORES</v>
      </c>
      <c r="B43" s="47" t="str">
        <f t="shared" si="45"/>
        <v/>
      </c>
      <c r="C43" s="16">
        <f t="shared" si="46"/>
        <v>0</v>
      </c>
      <c r="D43" s="16">
        <f t="shared" si="47"/>
        <v>0</v>
      </c>
      <c r="E43" s="16">
        <f t="shared" si="48"/>
        <v>0</v>
      </c>
      <c r="F43" s="16">
        <f t="shared" si="49"/>
        <v>0</v>
      </c>
      <c r="G43" s="16">
        <f t="shared" si="50"/>
        <v>0</v>
      </c>
      <c r="H43" s="16">
        <f t="shared" si="51"/>
        <v>0</v>
      </c>
      <c r="I43" s="16">
        <f t="shared" si="52"/>
        <v>0</v>
      </c>
      <c r="J43" s="16">
        <f t="shared" si="53"/>
        <v>0</v>
      </c>
      <c r="K43" s="16">
        <f t="shared" si="54"/>
        <v>0</v>
      </c>
      <c r="L43" s="16">
        <f t="shared" si="55"/>
        <v>0</v>
      </c>
      <c r="M43" s="16">
        <f t="shared" si="56"/>
        <v>0</v>
      </c>
      <c r="N43" s="16">
        <f t="shared" si="57"/>
        <v>0</v>
      </c>
      <c r="O43" s="16">
        <f t="shared" si="58"/>
        <v>0</v>
      </c>
      <c r="P43" s="16">
        <f t="shared" si="59"/>
        <v>0</v>
      </c>
      <c r="Q43" s="16">
        <f t="shared" si="60"/>
        <v>0</v>
      </c>
      <c r="R43" s="16">
        <f t="shared" si="61"/>
        <v>0</v>
      </c>
      <c r="S43" s="24"/>
      <c r="T43" s="31">
        <f t="shared" si="62"/>
        <v>0</v>
      </c>
      <c r="U43" s="31">
        <f t="shared" si="63"/>
        <v>0</v>
      </c>
      <c r="AJ43" s="24"/>
      <c r="BA43" s="24"/>
      <c r="BR43" s="24"/>
      <c r="CI43" s="24"/>
      <c r="CZ43" s="24"/>
      <c r="DQ43" s="24"/>
      <c r="EH43" s="24"/>
      <c r="EY43" s="24"/>
      <c r="FP43" s="24"/>
      <c r="GG43" s="24"/>
      <c r="GX43" s="24"/>
      <c r="HO43" s="24"/>
      <c r="IF43" s="24"/>
    </row>
    <row r="44" spans="1:240" s="23" customFormat="1" x14ac:dyDescent="0.25">
      <c r="A44" s="30" t="str">
        <f t="shared" si="45"/>
        <v/>
      </c>
      <c r="B44" s="47" t="str">
        <f t="shared" si="45"/>
        <v/>
      </c>
      <c r="C44" s="16">
        <f t="shared" si="46"/>
        <v>0</v>
      </c>
      <c r="D44" s="16">
        <f t="shared" si="47"/>
        <v>0</v>
      </c>
      <c r="E44" s="16">
        <f t="shared" si="48"/>
        <v>0</v>
      </c>
      <c r="F44" s="16">
        <f t="shared" si="49"/>
        <v>0</v>
      </c>
      <c r="G44" s="16">
        <f t="shared" si="50"/>
        <v>0</v>
      </c>
      <c r="H44" s="16">
        <f t="shared" si="51"/>
        <v>0</v>
      </c>
      <c r="I44" s="16">
        <f t="shared" si="52"/>
        <v>0</v>
      </c>
      <c r="J44" s="16">
        <f t="shared" si="53"/>
        <v>0</v>
      </c>
      <c r="K44" s="16">
        <f t="shared" si="54"/>
        <v>0</v>
      </c>
      <c r="L44" s="16">
        <f t="shared" si="55"/>
        <v>0</v>
      </c>
      <c r="M44" s="16">
        <f t="shared" si="56"/>
        <v>0</v>
      </c>
      <c r="N44" s="16">
        <f t="shared" si="57"/>
        <v>0</v>
      </c>
      <c r="O44" s="16">
        <f t="shared" si="58"/>
        <v>0</v>
      </c>
      <c r="P44" s="16">
        <f t="shared" si="59"/>
        <v>0</v>
      </c>
      <c r="Q44" s="16">
        <f t="shared" si="60"/>
        <v>0</v>
      </c>
      <c r="R44" s="16">
        <f t="shared" si="61"/>
        <v>0</v>
      </c>
      <c r="S44" s="24"/>
      <c r="T44" s="31">
        <f t="shared" si="62"/>
        <v>0</v>
      </c>
      <c r="U44" s="31">
        <f t="shared" si="63"/>
        <v>0</v>
      </c>
      <c r="AJ44" s="24"/>
      <c r="BA44" s="24"/>
      <c r="BR44" s="24"/>
      <c r="CI44" s="24"/>
      <c r="CZ44" s="24"/>
      <c r="DQ44" s="24"/>
      <c r="EH44" s="24"/>
      <c r="EY44" s="24"/>
      <c r="FP44" s="24"/>
      <c r="GG44" s="24"/>
      <c r="GX44" s="24"/>
      <c r="HO44" s="24"/>
      <c r="IF44" s="24"/>
    </row>
    <row r="45" spans="1:240" s="23" customFormat="1" x14ac:dyDescent="0.25">
      <c r="A45" s="30" t="str">
        <f t="shared" si="45"/>
        <v/>
      </c>
      <c r="B45" s="47" t="str">
        <f t="shared" si="45"/>
        <v/>
      </c>
      <c r="C45" s="16">
        <f t="shared" si="46"/>
        <v>0</v>
      </c>
      <c r="D45" s="16">
        <f t="shared" si="47"/>
        <v>0</v>
      </c>
      <c r="E45" s="16">
        <f t="shared" si="48"/>
        <v>0</v>
      </c>
      <c r="F45" s="16">
        <f t="shared" si="49"/>
        <v>0</v>
      </c>
      <c r="G45" s="16">
        <f t="shared" si="50"/>
        <v>0</v>
      </c>
      <c r="H45" s="16">
        <f t="shared" si="51"/>
        <v>0</v>
      </c>
      <c r="I45" s="16">
        <f t="shared" si="52"/>
        <v>0</v>
      </c>
      <c r="J45" s="16">
        <f t="shared" si="53"/>
        <v>0</v>
      </c>
      <c r="K45" s="16">
        <f t="shared" si="54"/>
        <v>0</v>
      </c>
      <c r="L45" s="16">
        <f t="shared" si="55"/>
        <v>0</v>
      </c>
      <c r="M45" s="16">
        <f t="shared" si="56"/>
        <v>0</v>
      </c>
      <c r="N45" s="16">
        <f t="shared" si="57"/>
        <v>0</v>
      </c>
      <c r="O45" s="16">
        <f t="shared" si="58"/>
        <v>0</v>
      </c>
      <c r="P45" s="16">
        <f t="shared" si="59"/>
        <v>0</v>
      </c>
      <c r="Q45" s="16">
        <f t="shared" si="60"/>
        <v>0</v>
      </c>
      <c r="R45" s="16">
        <f t="shared" si="61"/>
        <v>0</v>
      </c>
      <c r="S45" s="24"/>
      <c r="T45" s="31">
        <f t="shared" si="62"/>
        <v>0</v>
      </c>
      <c r="U45" s="31">
        <f t="shared" si="63"/>
        <v>0</v>
      </c>
      <c r="AJ45" s="24"/>
      <c r="BA45" s="24"/>
      <c r="BR45" s="24"/>
      <c r="CI45" s="24"/>
      <c r="CZ45" s="24"/>
      <c r="DQ45" s="24"/>
      <c r="EH45" s="24"/>
      <c r="EY45" s="24"/>
      <c r="FP45" s="24"/>
      <c r="GG45" s="24"/>
      <c r="GX45" s="24"/>
      <c r="HO45" s="24"/>
      <c r="IF45" s="24"/>
    </row>
    <row r="46" spans="1:240" s="23" customFormat="1" x14ac:dyDescent="0.25">
      <c r="A46" s="30" t="str">
        <f t="shared" si="45"/>
        <v/>
      </c>
      <c r="B46" s="47" t="str">
        <f t="shared" si="45"/>
        <v/>
      </c>
      <c r="C46" s="16">
        <f t="shared" si="46"/>
        <v>0</v>
      </c>
      <c r="D46" s="16">
        <f t="shared" si="47"/>
        <v>0</v>
      </c>
      <c r="E46" s="16">
        <f t="shared" si="48"/>
        <v>0</v>
      </c>
      <c r="F46" s="16">
        <f t="shared" si="49"/>
        <v>0</v>
      </c>
      <c r="G46" s="16">
        <f t="shared" si="50"/>
        <v>0</v>
      </c>
      <c r="H46" s="16">
        <f t="shared" si="51"/>
        <v>0</v>
      </c>
      <c r="I46" s="16">
        <f t="shared" si="52"/>
        <v>0</v>
      </c>
      <c r="J46" s="16">
        <f t="shared" si="53"/>
        <v>0</v>
      </c>
      <c r="K46" s="16">
        <f t="shared" si="54"/>
        <v>0</v>
      </c>
      <c r="L46" s="16">
        <f t="shared" si="55"/>
        <v>0</v>
      </c>
      <c r="M46" s="16">
        <f t="shared" si="56"/>
        <v>0</v>
      </c>
      <c r="N46" s="16">
        <f t="shared" si="57"/>
        <v>0</v>
      </c>
      <c r="O46" s="16">
        <f t="shared" si="58"/>
        <v>0</v>
      </c>
      <c r="P46" s="16">
        <f t="shared" si="59"/>
        <v>0</v>
      </c>
      <c r="Q46" s="16">
        <f t="shared" si="60"/>
        <v>0</v>
      </c>
      <c r="R46" s="16">
        <f t="shared" si="61"/>
        <v>0</v>
      </c>
      <c r="S46" s="24"/>
      <c r="T46" s="31">
        <f t="shared" si="62"/>
        <v>0</v>
      </c>
      <c r="U46" s="31">
        <f t="shared" si="63"/>
        <v>0</v>
      </c>
      <c r="AJ46" s="24"/>
      <c r="BA46" s="24"/>
      <c r="BR46" s="24"/>
      <c r="CI46" s="24"/>
      <c r="CZ46" s="24"/>
      <c r="DQ46" s="24"/>
      <c r="EH46" s="24"/>
      <c r="EY46" s="24"/>
      <c r="FP46" s="24"/>
      <c r="GG46" s="24"/>
      <c r="GX46" s="24"/>
      <c r="HO46" s="24"/>
      <c r="IF46" s="24"/>
    </row>
    <row r="47" spans="1:240" x14ac:dyDescent="0.25">
      <c r="A47" s="30" t="str">
        <f t="shared" si="45"/>
        <v/>
      </c>
      <c r="B47" s="47" t="str">
        <f t="shared" si="45"/>
        <v/>
      </c>
      <c r="C47" s="16">
        <f t="shared" si="46"/>
        <v>0</v>
      </c>
      <c r="D47" s="16">
        <f t="shared" si="47"/>
        <v>0</v>
      </c>
      <c r="E47" s="16">
        <f t="shared" si="48"/>
        <v>0</v>
      </c>
      <c r="F47" s="16">
        <f t="shared" si="49"/>
        <v>0</v>
      </c>
      <c r="G47" s="16">
        <f t="shared" si="50"/>
        <v>0</v>
      </c>
      <c r="H47" s="16">
        <f t="shared" si="51"/>
        <v>0</v>
      </c>
      <c r="I47" s="16">
        <f t="shared" si="52"/>
        <v>0</v>
      </c>
      <c r="J47" s="16">
        <f t="shared" si="53"/>
        <v>0</v>
      </c>
      <c r="K47" s="16">
        <f t="shared" si="54"/>
        <v>0</v>
      </c>
      <c r="L47" s="16">
        <f t="shared" si="55"/>
        <v>0</v>
      </c>
      <c r="M47" s="16">
        <f t="shared" si="56"/>
        <v>0</v>
      </c>
      <c r="N47" s="16">
        <f t="shared" si="57"/>
        <v>0</v>
      </c>
      <c r="O47" s="16">
        <f t="shared" si="58"/>
        <v>0</v>
      </c>
      <c r="P47" s="16">
        <f t="shared" si="59"/>
        <v>0</v>
      </c>
      <c r="Q47" s="16">
        <f t="shared" si="60"/>
        <v>0</v>
      </c>
      <c r="R47" s="16">
        <f t="shared" si="61"/>
        <v>0</v>
      </c>
      <c r="S47" s="2"/>
      <c r="T47" s="31">
        <f t="shared" si="62"/>
        <v>0</v>
      </c>
      <c r="U47" s="31">
        <f t="shared" si="63"/>
        <v>0</v>
      </c>
      <c r="AJ47" s="2"/>
      <c r="BA47" s="2"/>
      <c r="BR47" s="2"/>
      <c r="CI47" s="2"/>
      <c r="CZ47" s="2"/>
      <c r="DQ47" s="2"/>
      <c r="EH47" s="2"/>
      <c r="EY47" s="2"/>
      <c r="FP47" s="2"/>
      <c r="GG47" s="2"/>
      <c r="GX47" s="2"/>
      <c r="HO47" s="2"/>
      <c r="IF47" s="2"/>
    </row>
    <row r="48" spans="1:240" x14ac:dyDescent="0.25">
      <c r="A48" s="30" t="str">
        <f t="shared" si="45"/>
        <v/>
      </c>
      <c r="B48" s="47" t="str">
        <f t="shared" si="45"/>
        <v/>
      </c>
      <c r="C48" s="16">
        <f t="shared" si="46"/>
        <v>0</v>
      </c>
      <c r="D48" s="16">
        <f t="shared" si="47"/>
        <v>0</v>
      </c>
      <c r="E48" s="16">
        <f t="shared" si="48"/>
        <v>0</v>
      </c>
      <c r="F48" s="16">
        <f t="shared" si="49"/>
        <v>0</v>
      </c>
      <c r="G48" s="16">
        <f t="shared" si="50"/>
        <v>0</v>
      </c>
      <c r="H48" s="16">
        <f t="shared" si="51"/>
        <v>0</v>
      </c>
      <c r="I48" s="16">
        <f t="shared" si="52"/>
        <v>0</v>
      </c>
      <c r="J48" s="16">
        <f t="shared" si="53"/>
        <v>0</v>
      </c>
      <c r="K48" s="16">
        <f t="shared" si="54"/>
        <v>0</v>
      </c>
      <c r="L48" s="16">
        <f t="shared" si="55"/>
        <v>0</v>
      </c>
      <c r="M48" s="16">
        <f t="shared" si="56"/>
        <v>0</v>
      </c>
      <c r="N48" s="16">
        <f t="shared" si="57"/>
        <v>0</v>
      </c>
      <c r="O48" s="16">
        <f t="shared" si="58"/>
        <v>0</v>
      </c>
      <c r="P48" s="16">
        <f t="shared" si="59"/>
        <v>0</v>
      </c>
      <c r="Q48" s="16">
        <f t="shared" si="60"/>
        <v>0</v>
      </c>
      <c r="R48" s="16">
        <f t="shared" si="61"/>
        <v>0</v>
      </c>
      <c r="S48" s="2"/>
      <c r="T48" s="31">
        <f t="shared" si="62"/>
        <v>0</v>
      </c>
      <c r="U48" s="31">
        <f t="shared" si="63"/>
        <v>0</v>
      </c>
      <c r="AJ48" s="2"/>
      <c r="BA48" s="2"/>
      <c r="BR48" s="2"/>
      <c r="CI48" s="2"/>
      <c r="CZ48" s="2"/>
      <c r="DQ48" s="2"/>
      <c r="EH48" s="2"/>
      <c r="EY48" s="2"/>
      <c r="FP48" s="2"/>
      <c r="GG48" s="2"/>
      <c r="GX48" s="2"/>
      <c r="HO48" s="2"/>
      <c r="IF48" s="2"/>
    </row>
    <row r="49" spans="1:240" x14ac:dyDescent="0.25">
      <c r="A49" s="30" t="str">
        <f t="shared" si="45"/>
        <v/>
      </c>
      <c r="B49" s="47" t="str">
        <f t="shared" si="45"/>
        <v/>
      </c>
      <c r="C49" s="16">
        <f t="shared" si="46"/>
        <v>0</v>
      </c>
      <c r="D49" s="16">
        <f t="shared" si="47"/>
        <v>0</v>
      </c>
      <c r="E49" s="16">
        <f t="shared" si="48"/>
        <v>0</v>
      </c>
      <c r="F49" s="16">
        <f t="shared" si="49"/>
        <v>0</v>
      </c>
      <c r="G49" s="16">
        <f t="shared" si="50"/>
        <v>0</v>
      </c>
      <c r="H49" s="16">
        <f t="shared" si="51"/>
        <v>0</v>
      </c>
      <c r="I49" s="16">
        <f t="shared" si="52"/>
        <v>0</v>
      </c>
      <c r="J49" s="16">
        <f t="shared" si="53"/>
        <v>0</v>
      </c>
      <c r="K49" s="16">
        <f t="shared" si="54"/>
        <v>0</v>
      </c>
      <c r="L49" s="16">
        <f t="shared" si="55"/>
        <v>0</v>
      </c>
      <c r="M49" s="16">
        <f t="shared" si="56"/>
        <v>0</v>
      </c>
      <c r="N49" s="16">
        <f t="shared" si="57"/>
        <v>0</v>
      </c>
      <c r="O49" s="16">
        <f t="shared" si="58"/>
        <v>0</v>
      </c>
      <c r="P49" s="16">
        <f t="shared" si="59"/>
        <v>0</v>
      </c>
      <c r="Q49" s="16">
        <f t="shared" si="60"/>
        <v>0</v>
      </c>
      <c r="R49" s="16">
        <f t="shared" si="61"/>
        <v>0</v>
      </c>
      <c r="S49" s="2"/>
      <c r="T49" s="31">
        <f t="shared" si="62"/>
        <v>0</v>
      </c>
      <c r="U49" s="31">
        <f t="shared" si="63"/>
        <v>0</v>
      </c>
      <c r="AJ49" s="2"/>
      <c r="BA49" s="2"/>
      <c r="BR49" s="2"/>
      <c r="CI49" s="2"/>
      <c r="CZ49" s="2"/>
      <c r="DQ49" s="2"/>
      <c r="EH49" s="2"/>
      <c r="EY49" s="2"/>
      <c r="FP49" s="2"/>
      <c r="GG49" s="2"/>
      <c r="GX49" s="2"/>
      <c r="HO49" s="2"/>
      <c r="IF49" s="2"/>
    </row>
    <row r="50" spans="1:240" ht="13.8" thickBot="1" x14ac:dyDescent="0.3">
      <c r="A50" s="30" t="str">
        <f t="shared" si="45"/>
        <v/>
      </c>
      <c r="B50" s="47" t="str">
        <f t="shared" si="45"/>
        <v/>
      </c>
      <c r="C50" s="16">
        <f t="shared" si="46"/>
        <v>0</v>
      </c>
      <c r="D50" s="16">
        <f t="shared" si="47"/>
        <v>0</v>
      </c>
      <c r="E50" s="16">
        <f t="shared" si="48"/>
        <v>0</v>
      </c>
      <c r="F50" s="16">
        <f t="shared" si="49"/>
        <v>0</v>
      </c>
      <c r="G50" s="16">
        <f t="shared" si="50"/>
        <v>0</v>
      </c>
      <c r="H50" s="16">
        <f t="shared" si="51"/>
        <v>0</v>
      </c>
      <c r="I50" s="16">
        <f t="shared" si="52"/>
        <v>0</v>
      </c>
      <c r="J50" s="16">
        <f t="shared" si="53"/>
        <v>0</v>
      </c>
      <c r="K50" s="16">
        <f t="shared" si="54"/>
        <v>0</v>
      </c>
      <c r="L50" s="16">
        <f t="shared" si="55"/>
        <v>0</v>
      </c>
      <c r="M50" s="16">
        <f t="shared" si="56"/>
        <v>0</v>
      </c>
      <c r="N50" s="16">
        <f t="shared" si="57"/>
        <v>0</v>
      </c>
      <c r="O50" s="16">
        <f t="shared" si="58"/>
        <v>0</v>
      </c>
      <c r="P50" s="16">
        <f t="shared" si="59"/>
        <v>0</v>
      </c>
      <c r="Q50" s="16">
        <f t="shared" si="60"/>
        <v>0</v>
      </c>
      <c r="R50" s="16">
        <f t="shared" si="61"/>
        <v>0</v>
      </c>
      <c r="S50" s="2"/>
      <c r="T50" s="31">
        <f t="shared" si="62"/>
        <v>0</v>
      </c>
      <c r="U50" s="31">
        <f t="shared" si="63"/>
        <v>0</v>
      </c>
      <c r="AJ50" s="2"/>
      <c r="BA50" s="2"/>
      <c r="BR50" s="2"/>
      <c r="CI50" s="2"/>
      <c r="CZ50" s="2"/>
      <c r="DQ50" s="2"/>
      <c r="EH50" s="2"/>
      <c r="EY50" s="2"/>
      <c r="FP50" s="2"/>
      <c r="GG50" s="2"/>
      <c r="GX50" s="2"/>
      <c r="HO50" s="2"/>
      <c r="IF50" s="2"/>
    </row>
    <row r="51" spans="1:240" ht="13.8" thickBot="1" x14ac:dyDescent="0.3">
      <c r="A51" s="62" t="s">
        <v>48</v>
      </c>
      <c r="B51" s="63"/>
      <c r="C51" s="32">
        <f>SUM(C32:C50)</f>
        <v>25</v>
      </c>
      <c r="D51" s="32">
        <f t="shared" ref="D51:P51" si="64">SUM(D32:D50)</f>
        <v>10</v>
      </c>
      <c r="E51" s="32">
        <f t="shared" si="64"/>
        <v>9</v>
      </c>
      <c r="F51" s="32">
        <f t="shared" si="64"/>
        <v>2</v>
      </c>
      <c r="G51" s="32">
        <f t="shared" si="64"/>
        <v>1</v>
      </c>
      <c r="H51" s="32">
        <f t="shared" si="64"/>
        <v>0</v>
      </c>
      <c r="I51" s="32">
        <f t="shared" si="64"/>
        <v>4</v>
      </c>
      <c r="J51" s="32">
        <f t="shared" si="64"/>
        <v>4</v>
      </c>
      <c r="K51" s="32">
        <f t="shared" si="64"/>
        <v>5</v>
      </c>
      <c r="L51" s="32">
        <f t="shared" si="64"/>
        <v>9</v>
      </c>
      <c r="M51" s="32">
        <f t="shared" si="64"/>
        <v>0</v>
      </c>
      <c r="N51" s="32">
        <f t="shared" si="64"/>
        <v>0</v>
      </c>
      <c r="O51" s="32">
        <f t="shared" si="64"/>
        <v>0</v>
      </c>
      <c r="P51" s="32">
        <f t="shared" si="64"/>
        <v>0</v>
      </c>
      <c r="Q51" s="32">
        <f>SUM(Q32:Q50)</f>
        <v>13</v>
      </c>
      <c r="R51" s="32">
        <f>SUM(R32:R50)</f>
        <v>30</v>
      </c>
      <c r="S51" s="33"/>
      <c r="T51" s="34">
        <f t="shared" si="62"/>
        <v>360</v>
      </c>
      <c r="U51" s="35">
        <f t="shared" si="63"/>
        <v>520</v>
      </c>
      <c r="AJ51" s="2"/>
      <c r="BA51" s="2"/>
      <c r="BR51" s="2"/>
      <c r="CI51" s="2"/>
      <c r="CZ51" s="2"/>
      <c r="DQ51" s="2"/>
      <c r="EH51" s="2"/>
      <c r="EY51" s="2"/>
      <c r="FP51" s="2"/>
      <c r="GG51" s="2"/>
      <c r="GX51" s="2"/>
      <c r="HO51" s="2"/>
      <c r="IF51" s="2"/>
    </row>
    <row r="52" spans="1:240" x14ac:dyDescent="0.25">
      <c r="S52" s="2"/>
      <c r="AJ52" s="2"/>
      <c r="BA52" s="2"/>
      <c r="BR52" s="2"/>
      <c r="CI52" s="2"/>
      <c r="CZ52" s="2"/>
      <c r="DQ52" s="2"/>
      <c r="EH52" s="2"/>
      <c r="EY52" s="2"/>
      <c r="FP52" s="2"/>
      <c r="GG52" s="2"/>
      <c r="GX52" s="2"/>
      <c r="HO52" s="2"/>
      <c r="IF52" s="2"/>
    </row>
    <row r="53" spans="1:240" x14ac:dyDescent="0.25">
      <c r="S53" s="2"/>
      <c r="AJ53" s="2"/>
      <c r="BA53" s="2"/>
      <c r="BR53" s="2"/>
      <c r="CI53" s="2"/>
      <c r="CZ53" s="2"/>
      <c r="DQ53" s="2"/>
      <c r="EH53" s="2"/>
      <c r="EY53" s="2"/>
      <c r="FP53" s="2"/>
      <c r="GG53" s="2"/>
      <c r="GX53" s="2"/>
      <c r="HO53" s="2"/>
      <c r="IF53" s="2"/>
    </row>
    <row r="54" spans="1:240" x14ac:dyDescent="0.25">
      <c r="S54" s="2"/>
      <c r="AJ54" s="2"/>
      <c r="BA54" s="2"/>
      <c r="BR54" s="2"/>
      <c r="CI54" s="2"/>
      <c r="CZ54" s="2"/>
      <c r="DQ54" s="2"/>
      <c r="EH54" s="2"/>
      <c r="EY54" s="2"/>
      <c r="FP54" s="2"/>
      <c r="GG54" s="2"/>
      <c r="GX54" s="2"/>
      <c r="HO54" s="2"/>
      <c r="IF54" s="2"/>
    </row>
    <row r="55" spans="1:240" x14ac:dyDescent="0.25">
      <c r="S55" s="2"/>
      <c r="AJ55" s="2"/>
      <c r="BA55" s="2"/>
      <c r="BR55" s="2"/>
      <c r="CI55" s="2"/>
      <c r="CZ55" s="2"/>
      <c r="DQ55" s="2"/>
      <c r="EH55" s="2"/>
      <c r="EY55" s="2"/>
      <c r="FP55" s="2"/>
      <c r="GG55" s="2"/>
      <c r="GX55" s="2"/>
      <c r="HO55" s="2"/>
      <c r="IF55" s="2"/>
    </row>
    <row r="56" spans="1:240" x14ac:dyDescent="0.25">
      <c r="S56" s="2"/>
      <c r="AJ56" s="2"/>
      <c r="BA56" s="2"/>
      <c r="BR56" s="2"/>
      <c r="CI56" s="2"/>
      <c r="CZ56" s="2"/>
      <c r="DQ56" s="2"/>
      <c r="EH56" s="2"/>
      <c r="EY56" s="2"/>
      <c r="FP56" s="2"/>
      <c r="GG56" s="2"/>
      <c r="GX56" s="2"/>
      <c r="HO56" s="2"/>
      <c r="IF56" s="2"/>
    </row>
    <row r="57" spans="1:240" x14ac:dyDescent="0.25">
      <c r="S57" s="2"/>
      <c r="AJ57" s="2"/>
      <c r="BA57" s="2"/>
      <c r="BR57" s="2"/>
      <c r="CI57" s="2"/>
      <c r="CZ57" s="2"/>
      <c r="DQ57" s="2"/>
      <c r="EH57" s="2"/>
      <c r="EY57" s="2"/>
      <c r="FP57" s="2"/>
      <c r="GG57" s="2"/>
      <c r="GX57" s="2"/>
      <c r="HO57" s="2"/>
      <c r="IF57" s="2"/>
    </row>
    <row r="58" spans="1:240" x14ac:dyDescent="0.25">
      <c r="S58" s="2"/>
      <c r="AJ58" s="2"/>
      <c r="BA58" s="2"/>
      <c r="BR58" s="2"/>
      <c r="CI58" s="2"/>
      <c r="CZ58" s="2"/>
      <c r="DQ58" s="2"/>
      <c r="EH58" s="2"/>
      <c r="EY58" s="2"/>
      <c r="FP58" s="2"/>
      <c r="GG58" s="2"/>
      <c r="GX58" s="2"/>
      <c r="HO58" s="2"/>
      <c r="IF58" s="2"/>
    </row>
    <row r="59" spans="1:240" x14ac:dyDescent="0.25">
      <c r="S59" s="2"/>
      <c r="AJ59" s="2"/>
      <c r="BA59" s="2"/>
      <c r="BR59" s="2"/>
      <c r="CI59" s="2"/>
      <c r="CZ59" s="2"/>
      <c r="DQ59" s="2"/>
      <c r="EH59" s="2"/>
      <c r="EY59" s="2"/>
      <c r="FP59" s="2"/>
      <c r="GG59" s="2"/>
      <c r="GX59" s="2"/>
      <c r="HO59" s="2"/>
      <c r="IF59" s="2"/>
    </row>
    <row r="60" spans="1:240" x14ac:dyDescent="0.25">
      <c r="S60" s="2"/>
      <c r="AJ60" s="2"/>
      <c r="BA60" s="2"/>
      <c r="BR60" s="2"/>
      <c r="CI60" s="2"/>
      <c r="CZ60" s="2"/>
      <c r="DQ60" s="2"/>
      <c r="EH60" s="2"/>
      <c r="EY60" s="2"/>
      <c r="FP60" s="2"/>
      <c r="GG60" s="2"/>
      <c r="GX60" s="2"/>
      <c r="HO60" s="2"/>
      <c r="IF60" s="2"/>
    </row>
  </sheetData>
  <sheetProtection selectLockedCells="1" selectUnlockedCells="1"/>
  <mergeCells count="18">
    <mergeCell ref="GH6:GW6"/>
    <mergeCell ref="GY6:HN6"/>
    <mergeCell ref="HP6:IE6"/>
    <mergeCell ref="A27:B27"/>
    <mergeCell ref="A30:U30"/>
    <mergeCell ref="A51:B51"/>
    <mergeCell ref="CJ6:CY6"/>
    <mergeCell ref="DA6:DP6"/>
    <mergeCell ref="DR6:EG6"/>
    <mergeCell ref="EI6:EX6"/>
    <mergeCell ref="EZ6:FO6"/>
    <mergeCell ref="FQ6:GF6"/>
    <mergeCell ref="A6:B6"/>
    <mergeCell ref="C6:R6"/>
    <mergeCell ref="T6:AI6"/>
    <mergeCell ref="AK6:AZ6"/>
    <mergeCell ref="BB6:BQ6"/>
    <mergeCell ref="BS6:CH6"/>
  </mergeCell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 alignWithMargins="0"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6200-C4FB-40F8-9319-0E0C98CFD9AC}">
  <dimension ref="A1:IV67"/>
  <sheetViews>
    <sheetView zoomScale="180" zoomScaleNormal="180" workbookViewId="0">
      <selection activeCell="E9" sqref="E9"/>
    </sheetView>
  </sheetViews>
  <sheetFormatPr baseColWidth="10" defaultColWidth="4.33203125" defaultRowHeight="13.2" x14ac:dyDescent="0.25"/>
  <cols>
    <col min="1" max="1" width="25.88671875" customWidth="1"/>
    <col min="2" max="2" width="3" style="46" customWidth="1"/>
    <col min="19" max="19" width="1" customWidth="1"/>
    <col min="36" max="36" width="1.5546875" customWidth="1"/>
    <col min="53" max="53" width="1.33203125" customWidth="1"/>
    <col min="70" max="70" width="1.33203125" customWidth="1"/>
    <col min="87" max="87" width="1.109375" customWidth="1"/>
    <col min="104" max="104" width="1.44140625" customWidth="1"/>
    <col min="121" max="121" width="1.5546875" customWidth="1"/>
    <col min="138" max="138" width="1.44140625" customWidth="1"/>
    <col min="155" max="155" width="1.33203125" customWidth="1"/>
    <col min="172" max="172" width="1.33203125" customWidth="1"/>
    <col min="189" max="189" width="1.33203125" customWidth="1"/>
    <col min="206" max="206" width="1.109375" customWidth="1"/>
    <col min="223" max="223" width="1.33203125" customWidth="1"/>
    <col min="240" max="240" width="1.44140625" customWidth="1"/>
  </cols>
  <sheetData>
    <row r="1" spans="1:256" x14ac:dyDescent="0.25">
      <c r="A1" s="1" t="s">
        <v>0</v>
      </c>
      <c r="B1" s="56"/>
      <c r="C1" s="1"/>
      <c r="D1" s="1"/>
      <c r="E1" s="1"/>
      <c r="F1" s="1"/>
      <c r="G1" s="1"/>
      <c r="S1" s="2"/>
      <c r="AJ1" s="2"/>
      <c r="BA1" s="2"/>
      <c r="BR1" s="2"/>
      <c r="CI1" s="2"/>
      <c r="CZ1" s="2"/>
      <c r="DQ1" s="2"/>
      <c r="EH1" s="2"/>
      <c r="EY1" s="2"/>
      <c r="FP1" s="2"/>
      <c r="GG1" s="2"/>
      <c r="GX1" s="2"/>
      <c r="HO1" s="2"/>
      <c r="IF1" s="2"/>
    </row>
    <row r="2" spans="1:256" x14ac:dyDescent="0.25">
      <c r="A2" s="1" t="s">
        <v>1</v>
      </c>
      <c r="B2" s="56"/>
      <c r="C2" s="1"/>
      <c r="D2" s="1"/>
      <c r="E2" s="1"/>
      <c r="F2" s="1"/>
      <c r="G2" s="1"/>
      <c r="S2" s="2"/>
      <c r="AJ2" s="2"/>
      <c r="BA2" s="2"/>
      <c r="BR2" s="2"/>
      <c r="CI2" s="2"/>
      <c r="CZ2" s="2"/>
      <c r="DQ2" s="2"/>
      <c r="EH2" s="2"/>
      <c r="EY2" s="2"/>
      <c r="FP2" s="2"/>
      <c r="GG2" s="2"/>
      <c r="GX2" s="2"/>
      <c r="HO2" s="2"/>
      <c r="IF2" s="2"/>
    </row>
    <row r="3" spans="1:256" x14ac:dyDescent="0.25">
      <c r="B3" s="57" t="s">
        <v>2</v>
      </c>
      <c r="C3" s="3"/>
      <c r="D3" s="3"/>
      <c r="E3" s="3"/>
      <c r="F3" s="3"/>
      <c r="G3" s="3"/>
      <c r="S3" s="2"/>
      <c r="AJ3" s="2"/>
      <c r="BA3" s="2"/>
      <c r="BR3" s="2"/>
      <c r="CI3" s="2"/>
      <c r="CZ3" s="2"/>
      <c r="DQ3" s="2"/>
      <c r="EH3" s="2"/>
      <c r="EY3" s="2"/>
      <c r="FP3" s="2"/>
      <c r="GG3" s="2"/>
      <c r="GX3" s="2"/>
      <c r="HO3" s="2"/>
      <c r="IF3" s="2"/>
    </row>
    <row r="4" spans="1:256" x14ac:dyDescent="0.25">
      <c r="B4" s="46" t="s">
        <v>3</v>
      </c>
      <c r="S4" s="2"/>
      <c r="AJ4" s="2"/>
      <c r="BA4" s="2"/>
      <c r="BR4" s="2"/>
      <c r="CI4" s="2"/>
      <c r="CZ4" s="2"/>
      <c r="DQ4" s="2"/>
      <c r="EH4" s="2"/>
      <c r="EY4" s="2"/>
      <c r="FP4" s="2"/>
      <c r="GG4" s="2"/>
      <c r="GX4" s="2"/>
      <c r="HO4" s="2"/>
      <c r="IF4" s="2"/>
    </row>
    <row r="5" spans="1:256" ht="13.8" thickBot="1" x14ac:dyDescent="0.3">
      <c r="C5" t="s">
        <v>4</v>
      </c>
      <c r="F5" t="s">
        <v>5</v>
      </c>
      <c r="S5" s="2"/>
      <c r="U5" s="4" t="s">
        <v>6</v>
      </c>
      <c r="Y5" s="4" t="s">
        <v>7</v>
      </c>
      <c r="AC5">
        <v>2</v>
      </c>
      <c r="AJ5" s="2"/>
      <c r="AL5" s="4" t="s">
        <v>6</v>
      </c>
      <c r="AP5" t="s">
        <v>8</v>
      </c>
      <c r="AT5">
        <v>3</v>
      </c>
      <c r="BA5" s="2"/>
      <c r="BC5" s="4" t="s">
        <v>6</v>
      </c>
      <c r="BG5" t="s">
        <v>9</v>
      </c>
      <c r="BK5">
        <v>4</v>
      </c>
      <c r="BR5" s="2"/>
      <c r="BT5" s="4" t="s">
        <v>6</v>
      </c>
      <c r="BY5" t="s">
        <v>10</v>
      </c>
      <c r="CB5">
        <v>5</v>
      </c>
      <c r="CI5" s="2"/>
      <c r="CK5" s="4" t="s">
        <v>6</v>
      </c>
      <c r="CO5" t="s">
        <v>11</v>
      </c>
      <c r="CS5">
        <v>6</v>
      </c>
      <c r="CZ5" s="2"/>
      <c r="DB5" s="4" t="s">
        <v>6</v>
      </c>
      <c r="DF5" t="s">
        <v>12</v>
      </c>
      <c r="DJ5">
        <v>7</v>
      </c>
      <c r="DQ5" s="2"/>
      <c r="DS5" s="4" t="s">
        <v>6</v>
      </c>
      <c r="DW5" t="s">
        <v>13</v>
      </c>
      <c r="EA5">
        <v>8</v>
      </c>
      <c r="EH5" s="2"/>
      <c r="EJ5" s="4" t="s">
        <v>6</v>
      </c>
      <c r="EN5" t="s">
        <v>14</v>
      </c>
      <c r="ER5">
        <v>9</v>
      </c>
      <c r="EY5" s="2"/>
      <c r="FA5" s="4" t="s">
        <v>6</v>
      </c>
      <c r="FE5" t="s">
        <v>15</v>
      </c>
      <c r="FI5">
        <v>10</v>
      </c>
      <c r="FP5" s="2"/>
      <c r="FR5" s="4" t="s">
        <v>6</v>
      </c>
      <c r="FV5" t="s">
        <v>15</v>
      </c>
      <c r="FZ5">
        <v>11</v>
      </c>
      <c r="GG5" s="2"/>
      <c r="GI5" s="4" t="s">
        <v>6</v>
      </c>
      <c r="GM5" t="s">
        <v>16</v>
      </c>
      <c r="GQ5">
        <v>12</v>
      </c>
      <c r="GX5" s="2"/>
      <c r="GZ5" s="4" t="s">
        <v>6</v>
      </c>
      <c r="HH5">
        <v>13</v>
      </c>
      <c r="HO5" s="2"/>
      <c r="HQ5" s="4" t="s">
        <v>6</v>
      </c>
      <c r="HY5">
        <v>14</v>
      </c>
      <c r="IF5" s="2"/>
      <c r="IH5" s="4" t="s">
        <v>6</v>
      </c>
      <c r="IP5">
        <v>15</v>
      </c>
    </row>
    <row r="6" spans="1:256" s="5" customFormat="1" x14ac:dyDescent="0.25">
      <c r="A6" s="60" t="s">
        <v>60</v>
      </c>
      <c r="B6" s="60"/>
      <c r="C6" s="61" t="s">
        <v>17</v>
      </c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2"/>
      <c r="T6" s="59" t="s">
        <v>17</v>
      </c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2"/>
      <c r="AK6" s="59" t="s">
        <v>17</v>
      </c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2"/>
      <c r="BB6" s="59" t="s">
        <v>17</v>
      </c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59"/>
      <c r="BN6" s="59"/>
      <c r="BO6" s="59"/>
      <c r="BP6" s="59"/>
      <c r="BQ6" s="59"/>
      <c r="BR6" s="2"/>
      <c r="BS6" s="59" t="s">
        <v>17</v>
      </c>
      <c r="BT6" s="59"/>
      <c r="BU6" s="59"/>
      <c r="BV6" s="59"/>
      <c r="BW6" s="59"/>
      <c r="BX6" s="59"/>
      <c r="BY6" s="59"/>
      <c r="BZ6" s="59"/>
      <c r="CA6" s="59"/>
      <c r="CB6" s="59"/>
      <c r="CC6" s="59"/>
      <c r="CD6" s="59"/>
      <c r="CE6" s="59"/>
      <c r="CF6" s="59"/>
      <c r="CG6" s="59"/>
      <c r="CH6" s="59"/>
      <c r="CI6" s="2"/>
      <c r="CJ6" s="59" t="s">
        <v>17</v>
      </c>
      <c r="CK6" s="59"/>
      <c r="CL6" s="59"/>
      <c r="CM6" s="59"/>
      <c r="CN6" s="59"/>
      <c r="CO6" s="59"/>
      <c r="CP6" s="59"/>
      <c r="CQ6" s="59"/>
      <c r="CR6" s="59"/>
      <c r="CS6" s="59"/>
      <c r="CT6" s="59"/>
      <c r="CU6" s="59"/>
      <c r="CV6" s="59"/>
      <c r="CW6" s="59"/>
      <c r="CX6" s="59"/>
      <c r="CY6" s="59"/>
      <c r="CZ6" s="2"/>
      <c r="DA6" s="59" t="s">
        <v>17</v>
      </c>
      <c r="DB6" s="59"/>
      <c r="DC6" s="59"/>
      <c r="DD6" s="59"/>
      <c r="DE6" s="59"/>
      <c r="DF6" s="59"/>
      <c r="DG6" s="59"/>
      <c r="DH6" s="59"/>
      <c r="DI6" s="59"/>
      <c r="DJ6" s="59"/>
      <c r="DK6" s="59"/>
      <c r="DL6" s="59"/>
      <c r="DM6" s="59"/>
      <c r="DN6" s="59"/>
      <c r="DO6" s="59"/>
      <c r="DP6" s="59"/>
      <c r="DQ6" s="2"/>
      <c r="DR6" s="59" t="s">
        <v>17</v>
      </c>
      <c r="DS6" s="59"/>
      <c r="DT6" s="59"/>
      <c r="DU6" s="59"/>
      <c r="DV6" s="59"/>
      <c r="DW6" s="59"/>
      <c r="DX6" s="59"/>
      <c r="DY6" s="59"/>
      <c r="DZ6" s="59"/>
      <c r="EA6" s="59"/>
      <c r="EB6" s="59"/>
      <c r="EC6" s="59"/>
      <c r="ED6" s="59"/>
      <c r="EE6" s="59"/>
      <c r="EF6" s="59"/>
      <c r="EG6" s="59"/>
      <c r="EH6" s="2"/>
      <c r="EI6" s="59" t="s">
        <v>17</v>
      </c>
      <c r="EJ6" s="59"/>
      <c r="EK6" s="59"/>
      <c r="EL6" s="59"/>
      <c r="EM6" s="59"/>
      <c r="EN6" s="59"/>
      <c r="EO6" s="59"/>
      <c r="EP6" s="59"/>
      <c r="EQ6" s="59"/>
      <c r="ER6" s="59"/>
      <c r="ES6" s="59"/>
      <c r="ET6" s="59"/>
      <c r="EU6" s="59"/>
      <c r="EV6" s="59"/>
      <c r="EW6" s="59"/>
      <c r="EX6" s="59"/>
      <c r="EY6" s="2"/>
      <c r="EZ6" s="59" t="s">
        <v>17</v>
      </c>
      <c r="FA6" s="59"/>
      <c r="FB6" s="59"/>
      <c r="FC6" s="59"/>
      <c r="FD6" s="59"/>
      <c r="FE6" s="59"/>
      <c r="FF6" s="59"/>
      <c r="FG6" s="59"/>
      <c r="FH6" s="59"/>
      <c r="FI6" s="59"/>
      <c r="FJ6" s="59"/>
      <c r="FK6" s="59"/>
      <c r="FL6" s="59"/>
      <c r="FM6" s="59"/>
      <c r="FN6" s="59"/>
      <c r="FO6" s="59"/>
      <c r="FP6" s="2"/>
      <c r="FQ6" s="59" t="s">
        <v>17</v>
      </c>
      <c r="FR6" s="59"/>
      <c r="FS6" s="59"/>
      <c r="FT6" s="59"/>
      <c r="FU6" s="59"/>
      <c r="FV6" s="59"/>
      <c r="FW6" s="59"/>
      <c r="FX6" s="59"/>
      <c r="FY6" s="59"/>
      <c r="FZ6" s="59"/>
      <c r="GA6" s="59"/>
      <c r="GB6" s="59"/>
      <c r="GC6" s="59"/>
      <c r="GD6" s="59"/>
      <c r="GE6" s="59"/>
      <c r="GF6" s="59"/>
      <c r="GG6" s="2"/>
      <c r="GH6" s="59" t="s">
        <v>17</v>
      </c>
      <c r="GI6" s="59"/>
      <c r="GJ6" s="59"/>
      <c r="GK6" s="59"/>
      <c r="GL6" s="59"/>
      <c r="GM6" s="59"/>
      <c r="GN6" s="59"/>
      <c r="GO6" s="59"/>
      <c r="GP6" s="59"/>
      <c r="GQ6" s="59"/>
      <c r="GR6" s="59"/>
      <c r="GS6" s="59"/>
      <c r="GT6" s="59"/>
      <c r="GU6" s="59"/>
      <c r="GV6" s="59"/>
      <c r="GW6" s="59"/>
      <c r="GX6" s="2"/>
      <c r="GY6" s="59" t="s">
        <v>17</v>
      </c>
      <c r="GZ6" s="59"/>
      <c r="HA6" s="59"/>
      <c r="HB6" s="59"/>
      <c r="HC6" s="59"/>
      <c r="HD6" s="59"/>
      <c r="HE6" s="59"/>
      <c r="HF6" s="59"/>
      <c r="HG6" s="59"/>
      <c r="HH6" s="59"/>
      <c r="HI6" s="59"/>
      <c r="HJ6" s="59"/>
      <c r="HK6" s="59"/>
      <c r="HL6" s="59"/>
      <c r="HM6" s="59"/>
      <c r="HN6" s="59"/>
      <c r="HO6" s="2"/>
      <c r="HP6" s="59" t="s">
        <v>17</v>
      </c>
      <c r="HQ6" s="59"/>
      <c r="HR6" s="59"/>
      <c r="HS6" s="59"/>
      <c r="HT6" s="59"/>
      <c r="HU6" s="59"/>
      <c r="HV6" s="59"/>
      <c r="HW6" s="59"/>
      <c r="HX6" s="59"/>
      <c r="HY6" s="59"/>
      <c r="HZ6" s="59"/>
      <c r="IA6" s="59"/>
      <c r="IB6" s="59"/>
      <c r="IC6" s="59"/>
      <c r="ID6" s="59"/>
      <c r="IE6" s="59"/>
      <c r="IF6" s="2"/>
      <c r="IG6" s="6" t="s">
        <v>17</v>
      </c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</row>
    <row r="7" spans="1:256" s="2" customFormat="1" x14ac:dyDescent="0.25">
      <c r="A7" s="8" t="s">
        <v>19</v>
      </c>
      <c r="B7" s="48" t="s">
        <v>73</v>
      </c>
      <c r="C7" s="9" t="s">
        <v>20</v>
      </c>
      <c r="D7" s="9" t="s">
        <v>21</v>
      </c>
      <c r="E7" s="9" t="s">
        <v>22</v>
      </c>
      <c r="F7" s="9" t="s">
        <v>23</v>
      </c>
      <c r="G7" s="9" t="s">
        <v>24</v>
      </c>
      <c r="H7" s="9" t="s">
        <v>25</v>
      </c>
      <c r="I7" s="9" t="s">
        <v>26</v>
      </c>
      <c r="J7" s="9" t="s">
        <v>27</v>
      </c>
      <c r="K7" s="9" t="s">
        <v>28</v>
      </c>
      <c r="L7" s="9" t="s">
        <v>29</v>
      </c>
      <c r="M7" s="9" t="s">
        <v>30</v>
      </c>
      <c r="N7" s="9" t="s">
        <v>31</v>
      </c>
      <c r="O7" s="9" t="s">
        <v>32</v>
      </c>
      <c r="P7" s="9" t="s">
        <v>33</v>
      </c>
      <c r="Q7" s="9" t="s">
        <v>34</v>
      </c>
      <c r="R7" s="9" t="s">
        <v>35</v>
      </c>
      <c r="S7" s="10"/>
      <c r="T7" s="9" t="s">
        <v>20</v>
      </c>
      <c r="U7" s="9" t="s">
        <v>21</v>
      </c>
      <c r="V7" s="9" t="s">
        <v>22</v>
      </c>
      <c r="W7" s="9" t="s">
        <v>23</v>
      </c>
      <c r="X7" s="9" t="s">
        <v>24</v>
      </c>
      <c r="Y7" s="9" t="s">
        <v>25</v>
      </c>
      <c r="Z7" s="9" t="s">
        <v>26</v>
      </c>
      <c r="AA7" s="9" t="s">
        <v>27</v>
      </c>
      <c r="AB7" s="9" t="s">
        <v>28</v>
      </c>
      <c r="AC7" s="9" t="s">
        <v>29</v>
      </c>
      <c r="AD7" s="9" t="s">
        <v>30</v>
      </c>
      <c r="AE7" s="9" t="s">
        <v>31</v>
      </c>
      <c r="AF7" s="9" t="s">
        <v>32</v>
      </c>
      <c r="AG7" s="9" t="s">
        <v>33</v>
      </c>
      <c r="AH7" s="9" t="s">
        <v>34</v>
      </c>
      <c r="AI7" s="9" t="s">
        <v>35</v>
      </c>
      <c r="AK7" s="9" t="s">
        <v>20</v>
      </c>
      <c r="AL7" s="9" t="s">
        <v>21</v>
      </c>
      <c r="AM7" s="9" t="s">
        <v>22</v>
      </c>
      <c r="AN7" s="9" t="s">
        <v>23</v>
      </c>
      <c r="AO7" s="9" t="s">
        <v>24</v>
      </c>
      <c r="AP7" s="9" t="s">
        <v>25</v>
      </c>
      <c r="AQ7" s="9" t="s">
        <v>26</v>
      </c>
      <c r="AR7" s="9" t="s">
        <v>27</v>
      </c>
      <c r="AS7" s="9" t="s">
        <v>28</v>
      </c>
      <c r="AT7" s="9" t="s">
        <v>29</v>
      </c>
      <c r="AU7" s="9" t="s">
        <v>30</v>
      </c>
      <c r="AV7" s="9" t="s">
        <v>31</v>
      </c>
      <c r="AW7" s="9" t="s">
        <v>32</v>
      </c>
      <c r="AX7" s="9" t="s">
        <v>33</v>
      </c>
      <c r="AY7" s="9" t="s">
        <v>34</v>
      </c>
      <c r="AZ7" s="9" t="s">
        <v>35</v>
      </c>
      <c r="BB7" s="9" t="s">
        <v>20</v>
      </c>
      <c r="BC7" s="9" t="s">
        <v>21</v>
      </c>
      <c r="BD7" s="9" t="s">
        <v>22</v>
      </c>
      <c r="BE7" s="9" t="s">
        <v>23</v>
      </c>
      <c r="BF7" s="9" t="s">
        <v>24</v>
      </c>
      <c r="BG7" s="9" t="s">
        <v>25</v>
      </c>
      <c r="BH7" s="9" t="s">
        <v>26</v>
      </c>
      <c r="BI7" s="9" t="s">
        <v>27</v>
      </c>
      <c r="BJ7" s="9" t="s">
        <v>28</v>
      </c>
      <c r="BK7" s="9" t="s">
        <v>29</v>
      </c>
      <c r="BL7" s="9" t="s">
        <v>30</v>
      </c>
      <c r="BM7" s="9" t="s">
        <v>31</v>
      </c>
      <c r="BN7" s="9" t="s">
        <v>32</v>
      </c>
      <c r="BO7" s="9" t="s">
        <v>33</v>
      </c>
      <c r="BP7" s="9" t="s">
        <v>34</v>
      </c>
      <c r="BQ7" s="9" t="s">
        <v>35</v>
      </c>
      <c r="BS7" s="9" t="s">
        <v>20</v>
      </c>
      <c r="BT7" s="9" t="s">
        <v>21</v>
      </c>
      <c r="BU7" s="9" t="s">
        <v>22</v>
      </c>
      <c r="BV7" s="9" t="s">
        <v>23</v>
      </c>
      <c r="BW7" s="9" t="s">
        <v>24</v>
      </c>
      <c r="BX7" s="9" t="s">
        <v>25</v>
      </c>
      <c r="BY7" s="9" t="s">
        <v>26</v>
      </c>
      <c r="BZ7" s="9" t="s">
        <v>27</v>
      </c>
      <c r="CA7" s="9" t="s">
        <v>28</v>
      </c>
      <c r="CB7" s="9" t="s">
        <v>29</v>
      </c>
      <c r="CC7" s="9" t="s">
        <v>30</v>
      </c>
      <c r="CD7" s="9" t="s">
        <v>31</v>
      </c>
      <c r="CE7" s="9" t="s">
        <v>32</v>
      </c>
      <c r="CF7" s="9" t="s">
        <v>33</v>
      </c>
      <c r="CG7" s="9" t="s">
        <v>34</v>
      </c>
      <c r="CH7" s="9" t="s">
        <v>35</v>
      </c>
      <c r="CJ7" s="9" t="s">
        <v>20</v>
      </c>
      <c r="CK7" s="9" t="s">
        <v>21</v>
      </c>
      <c r="CL7" s="9" t="s">
        <v>22</v>
      </c>
      <c r="CM7" s="9" t="s">
        <v>23</v>
      </c>
      <c r="CN7" s="9" t="s">
        <v>24</v>
      </c>
      <c r="CO7" s="9" t="s">
        <v>25</v>
      </c>
      <c r="CP7" s="9" t="s">
        <v>26</v>
      </c>
      <c r="CQ7" s="9" t="s">
        <v>27</v>
      </c>
      <c r="CR7" s="9" t="s">
        <v>28</v>
      </c>
      <c r="CS7" s="9" t="s">
        <v>29</v>
      </c>
      <c r="CT7" s="9" t="s">
        <v>30</v>
      </c>
      <c r="CU7" s="9" t="s">
        <v>31</v>
      </c>
      <c r="CV7" s="9" t="s">
        <v>32</v>
      </c>
      <c r="CW7" s="9" t="s">
        <v>33</v>
      </c>
      <c r="CX7" s="9" t="s">
        <v>34</v>
      </c>
      <c r="CY7" s="9" t="s">
        <v>35</v>
      </c>
      <c r="DA7" s="9" t="s">
        <v>20</v>
      </c>
      <c r="DB7" s="9" t="s">
        <v>21</v>
      </c>
      <c r="DC7" s="9" t="s">
        <v>22</v>
      </c>
      <c r="DD7" s="9" t="s">
        <v>23</v>
      </c>
      <c r="DE7" s="9" t="s">
        <v>24</v>
      </c>
      <c r="DF7" s="9" t="s">
        <v>25</v>
      </c>
      <c r="DG7" s="9" t="s">
        <v>26</v>
      </c>
      <c r="DH7" s="9" t="s">
        <v>27</v>
      </c>
      <c r="DI7" s="9" t="s">
        <v>28</v>
      </c>
      <c r="DJ7" s="9" t="s">
        <v>29</v>
      </c>
      <c r="DK7" s="9" t="s">
        <v>30</v>
      </c>
      <c r="DL7" s="9" t="s">
        <v>31</v>
      </c>
      <c r="DM7" s="9" t="s">
        <v>32</v>
      </c>
      <c r="DN7" s="9" t="s">
        <v>33</v>
      </c>
      <c r="DO7" s="9" t="s">
        <v>34</v>
      </c>
      <c r="DP7" s="9" t="s">
        <v>35</v>
      </c>
      <c r="DR7" s="9" t="s">
        <v>20</v>
      </c>
      <c r="DS7" s="9" t="s">
        <v>21</v>
      </c>
      <c r="DT7" s="9" t="s">
        <v>22</v>
      </c>
      <c r="DU7" s="9" t="s">
        <v>23</v>
      </c>
      <c r="DV7" s="9" t="s">
        <v>24</v>
      </c>
      <c r="DW7" s="9" t="s">
        <v>25</v>
      </c>
      <c r="DX7" s="9" t="s">
        <v>26</v>
      </c>
      <c r="DY7" s="9" t="s">
        <v>27</v>
      </c>
      <c r="DZ7" s="9" t="s">
        <v>28</v>
      </c>
      <c r="EA7" s="9" t="s">
        <v>29</v>
      </c>
      <c r="EB7" s="9" t="s">
        <v>30</v>
      </c>
      <c r="EC7" s="9" t="s">
        <v>31</v>
      </c>
      <c r="ED7" s="9" t="s">
        <v>32</v>
      </c>
      <c r="EE7" s="9" t="s">
        <v>33</v>
      </c>
      <c r="EF7" s="9" t="s">
        <v>34</v>
      </c>
      <c r="EG7" s="9" t="s">
        <v>35</v>
      </c>
      <c r="EI7" s="9" t="s">
        <v>20</v>
      </c>
      <c r="EJ7" s="9" t="s">
        <v>21</v>
      </c>
      <c r="EK7" s="9" t="s">
        <v>22</v>
      </c>
      <c r="EL7" s="9" t="s">
        <v>23</v>
      </c>
      <c r="EM7" s="9" t="s">
        <v>24</v>
      </c>
      <c r="EN7" s="9" t="s">
        <v>25</v>
      </c>
      <c r="EO7" s="9" t="s">
        <v>26</v>
      </c>
      <c r="EP7" s="9" t="s">
        <v>27</v>
      </c>
      <c r="EQ7" s="9" t="s">
        <v>28</v>
      </c>
      <c r="ER7" s="9" t="s">
        <v>29</v>
      </c>
      <c r="ES7" s="9" t="s">
        <v>30</v>
      </c>
      <c r="ET7" s="9" t="s">
        <v>31</v>
      </c>
      <c r="EU7" s="9" t="s">
        <v>32</v>
      </c>
      <c r="EV7" s="9" t="s">
        <v>33</v>
      </c>
      <c r="EW7" s="9" t="s">
        <v>34</v>
      </c>
      <c r="EX7" s="9" t="s">
        <v>35</v>
      </c>
      <c r="EZ7" s="9" t="s">
        <v>20</v>
      </c>
      <c r="FA7" s="9" t="s">
        <v>21</v>
      </c>
      <c r="FB7" s="9" t="s">
        <v>22</v>
      </c>
      <c r="FC7" s="9" t="s">
        <v>23</v>
      </c>
      <c r="FD7" s="9" t="s">
        <v>24</v>
      </c>
      <c r="FE7" s="9" t="s">
        <v>25</v>
      </c>
      <c r="FF7" s="9" t="s">
        <v>26</v>
      </c>
      <c r="FG7" s="9" t="s">
        <v>27</v>
      </c>
      <c r="FH7" s="9" t="s">
        <v>28</v>
      </c>
      <c r="FI7" s="9" t="s">
        <v>29</v>
      </c>
      <c r="FJ7" s="9" t="s">
        <v>30</v>
      </c>
      <c r="FK7" s="9" t="s">
        <v>31</v>
      </c>
      <c r="FL7" s="9" t="s">
        <v>32</v>
      </c>
      <c r="FM7" s="9" t="s">
        <v>33</v>
      </c>
      <c r="FN7" s="9" t="s">
        <v>34</v>
      </c>
      <c r="FO7" s="9" t="s">
        <v>35</v>
      </c>
      <c r="FQ7" s="9" t="s">
        <v>20</v>
      </c>
      <c r="FR7" s="9" t="s">
        <v>21</v>
      </c>
      <c r="FS7" s="9" t="s">
        <v>22</v>
      </c>
      <c r="FT7" s="9" t="s">
        <v>23</v>
      </c>
      <c r="FU7" s="9" t="s">
        <v>24</v>
      </c>
      <c r="FV7" s="9" t="s">
        <v>25</v>
      </c>
      <c r="FW7" s="9" t="s">
        <v>26</v>
      </c>
      <c r="FX7" s="9" t="s">
        <v>27</v>
      </c>
      <c r="FY7" s="9" t="s">
        <v>28</v>
      </c>
      <c r="FZ7" s="9" t="s">
        <v>29</v>
      </c>
      <c r="GA7" s="9" t="s">
        <v>30</v>
      </c>
      <c r="GB7" s="9" t="s">
        <v>31</v>
      </c>
      <c r="GC7" s="9" t="s">
        <v>32</v>
      </c>
      <c r="GD7" s="9" t="s">
        <v>33</v>
      </c>
      <c r="GE7" s="9" t="s">
        <v>34</v>
      </c>
      <c r="GF7" s="9" t="s">
        <v>35</v>
      </c>
      <c r="GH7" s="9" t="s">
        <v>20</v>
      </c>
      <c r="GI7" s="9" t="s">
        <v>21</v>
      </c>
      <c r="GJ7" s="9" t="s">
        <v>22</v>
      </c>
      <c r="GK7" s="9" t="s">
        <v>23</v>
      </c>
      <c r="GL7" s="9" t="s">
        <v>24</v>
      </c>
      <c r="GM7" s="9" t="s">
        <v>25</v>
      </c>
      <c r="GN7" s="9" t="s">
        <v>26</v>
      </c>
      <c r="GO7" s="9" t="s">
        <v>27</v>
      </c>
      <c r="GP7" s="9" t="s">
        <v>28</v>
      </c>
      <c r="GQ7" s="9" t="s">
        <v>29</v>
      </c>
      <c r="GR7" s="9" t="s">
        <v>30</v>
      </c>
      <c r="GS7" s="9" t="s">
        <v>31</v>
      </c>
      <c r="GT7" s="9" t="s">
        <v>32</v>
      </c>
      <c r="GU7" s="9" t="s">
        <v>33</v>
      </c>
      <c r="GV7" s="9" t="s">
        <v>34</v>
      </c>
      <c r="GW7" s="9" t="s">
        <v>35</v>
      </c>
      <c r="GY7" s="9" t="s">
        <v>20</v>
      </c>
      <c r="GZ7" s="9" t="s">
        <v>21</v>
      </c>
      <c r="HA7" s="9" t="s">
        <v>22</v>
      </c>
      <c r="HB7" s="9" t="s">
        <v>23</v>
      </c>
      <c r="HC7" s="9" t="s">
        <v>24</v>
      </c>
      <c r="HD7" s="9" t="s">
        <v>25</v>
      </c>
      <c r="HE7" s="9" t="s">
        <v>26</v>
      </c>
      <c r="HF7" s="9" t="s">
        <v>27</v>
      </c>
      <c r="HG7" s="9" t="s">
        <v>28</v>
      </c>
      <c r="HH7" s="9" t="s">
        <v>29</v>
      </c>
      <c r="HI7" s="9" t="s">
        <v>30</v>
      </c>
      <c r="HJ7" s="9" t="s">
        <v>31</v>
      </c>
      <c r="HK7" s="9" t="s">
        <v>32</v>
      </c>
      <c r="HL7" s="9" t="s">
        <v>33</v>
      </c>
      <c r="HM7" s="9" t="s">
        <v>34</v>
      </c>
      <c r="HN7" s="9" t="s">
        <v>35</v>
      </c>
      <c r="HP7" s="9" t="s">
        <v>20</v>
      </c>
      <c r="HQ7" s="9" t="s">
        <v>21</v>
      </c>
      <c r="HR7" s="9" t="s">
        <v>22</v>
      </c>
      <c r="HS7" s="9" t="s">
        <v>23</v>
      </c>
      <c r="HT7" s="9" t="s">
        <v>24</v>
      </c>
      <c r="HU7" s="9" t="s">
        <v>25</v>
      </c>
      <c r="HV7" s="9" t="s">
        <v>26</v>
      </c>
      <c r="HW7" s="9" t="s">
        <v>27</v>
      </c>
      <c r="HX7" s="9" t="s">
        <v>28</v>
      </c>
      <c r="HY7" s="9" t="s">
        <v>29</v>
      </c>
      <c r="HZ7" s="9" t="s">
        <v>30</v>
      </c>
      <c r="IA7" s="9" t="s">
        <v>31</v>
      </c>
      <c r="IB7" s="9" t="s">
        <v>32</v>
      </c>
      <c r="IC7" s="9" t="s">
        <v>33</v>
      </c>
      <c r="ID7" s="9" t="s">
        <v>34</v>
      </c>
      <c r="IE7" s="9" t="s">
        <v>35</v>
      </c>
      <c r="IG7" s="9" t="s">
        <v>20</v>
      </c>
      <c r="IH7" s="9" t="s">
        <v>21</v>
      </c>
      <c r="II7" s="9" t="s">
        <v>22</v>
      </c>
      <c r="IJ7" s="9" t="s">
        <v>23</v>
      </c>
      <c r="IK7" s="9" t="s">
        <v>24</v>
      </c>
      <c r="IL7" s="9" t="s">
        <v>25</v>
      </c>
      <c r="IM7" s="9" t="s">
        <v>26</v>
      </c>
      <c r="IN7" s="9" t="s">
        <v>27</v>
      </c>
      <c r="IO7" s="9" t="s">
        <v>28</v>
      </c>
      <c r="IP7" s="9" t="s">
        <v>29</v>
      </c>
      <c r="IQ7" s="9" t="s">
        <v>30</v>
      </c>
      <c r="IR7" s="9" t="s">
        <v>31</v>
      </c>
      <c r="IS7" s="9" t="s">
        <v>32</v>
      </c>
      <c r="IT7" s="9" t="s">
        <v>33</v>
      </c>
      <c r="IU7" s="9" t="s">
        <v>34</v>
      </c>
      <c r="IV7" s="9" t="s">
        <v>35</v>
      </c>
    </row>
    <row r="8" spans="1:256" s="16" customFormat="1" x14ac:dyDescent="0.25">
      <c r="A8" s="15" t="s">
        <v>69</v>
      </c>
      <c r="B8" s="49">
        <v>8</v>
      </c>
      <c r="C8" s="16">
        <v>4</v>
      </c>
      <c r="D8" s="16">
        <v>2</v>
      </c>
      <c r="E8" s="16">
        <v>1</v>
      </c>
      <c r="L8" s="16">
        <v>1</v>
      </c>
      <c r="Q8" s="16">
        <f t="shared" ref="Q8:Q26" si="0">(E8-(F8+G8+H8))+(F8*2)+(G8*3)+(H8*4)</f>
        <v>1</v>
      </c>
      <c r="R8" s="16">
        <f t="shared" ref="R8:R26" si="1">+C8+K8+M8+N8+O8+P8</f>
        <v>4</v>
      </c>
      <c r="S8" s="17"/>
      <c r="AH8" s="16">
        <f t="shared" ref="AH8:AH26" si="2">(V8-(W8+X8+Y8))+(W8*2)+(X8*3)+(Y8*4)</f>
        <v>0</v>
      </c>
      <c r="AI8" s="16">
        <f t="shared" ref="AI8:AI26" si="3">+T8+AB8+AD8+AE8+AF8+AG8</f>
        <v>0</v>
      </c>
      <c r="AJ8" s="18"/>
      <c r="AY8" s="16">
        <f t="shared" ref="AY8:AY26" si="4">(AM8-(AN8+AO8+AP8))+(AN8*2)+(AO8*3)+(AP8*4)</f>
        <v>0</v>
      </c>
      <c r="AZ8" s="16">
        <f t="shared" ref="AZ8:AZ26" si="5">+AK8+AS8+AU8+AV8+AW8+AX8</f>
        <v>0</v>
      </c>
      <c r="BA8" s="18"/>
      <c r="BP8" s="16">
        <f t="shared" ref="BP8:BP26" si="6">(BD8-(BE8+BF8+BG8))+(BE8*2)+(BF8*3)+(BG8*4)</f>
        <v>0</v>
      </c>
      <c r="BQ8" s="16">
        <f t="shared" ref="BQ8:BQ26" si="7">+BB8+BJ8+BL8+BM8+BN8+BO8</f>
        <v>0</v>
      </c>
      <c r="BR8" s="18"/>
      <c r="CG8" s="16">
        <f t="shared" ref="CG8:CG26" si="8">(BU8-(BV8+BW8+BX8))+(BV8*2)+(BW8*3)+(BX8*4)</f>
        <v>0</v>
      </c>
      <c r="CH8" s="16">
        <f t="shared" ref="CH8:CH26" si="9">+BS8+CA8+CC8+CD8+CE8+CF8</f>
        <v>0</v>
      </c>
      <c r="CI8" s="18"/>
      <c r="CX8" s="16">
        <f t="shared" ref="CX8:CX26" si="10">(CL8-(CM8+CN8+CO8))+(CM8*2)+(CN8*3)+(CO8*4)</f>
        <v>0</v>
      </c>
      <c r="CY8" s="16">
        <f t="shared" ref="CY8:CY26" si="11">+CJ8+CR8+CT8+CU8+CV8+CW8</f>
        <v>0</v>
      </c>
      <c r="CZ8" s="18"/>
      <c r="DO8" s="16">
        <f t="shared" ref="DO8:DO26" si="12">(DC8-(DD8+DE8+DF8))+(DD8*2)+(DE8*3)+(DF8*4)</f>
        <v>0</v>
      </c>
      <c r="DP8" s="16">
        <f t="shared" ref="DP8:DP26" si="13">+DA8+DI8+DK8+DL8+DM8+DN8</f>
        <v>0</v>
      </c>
      <c r="DQ8" s="18"/>
      <c r="EF8" s="16">
        <f t="shared" ref="EF8:EF26" si="14">(DT8-(DU8+DV8+DW8))+(DU8*2)+(DV8*3)+(DW8*4)</f>
        <v>0</v>
      </c>
      <c r="EG8" s="16">
        <f t="shared" ref="EG8:EG26" si="15">+DR8+DZ8+EB8+EC8+ED8+EE8</f>
        <v>0</v>
      </c>
      <c r="EH8" s="18"/>
      <c r="EW8" s="16">
        <f t="shared" ref="EW8:EW26" si="16">(EK8-(EL8+EM8+EN8))+(EL8*2)+(EM8*3)+(EN8*4)</f>
        <v>0</v>
      </c>
      <c r="EX8" s="16">
        <f t="shared" ref="EX8:EX26" si="17">+EI8+EQ8+ES8+ET8+EU8+EV8</f>
        <v>0</v>
      </c>
      <c r="EY8" s="18"/>
      <c r="FN8" s="16">
        <f t="shared" ref="FN8:FN26" si="18">(FB8-(FC8+FD8+FE8))+(FC8*2)+(FD8*3)+(FE8*4)</f>
        <v>0</v>
      </c>
      <c r="FO8" s="16">
        <f t="shared" ref="FO8:FO26" si="19">+EZ8+FH8+FJ8+FK8+FL8+FM8</f>
        <v>0</v>
      </c>
      <c r="FP8" s="18"/>
      <c r="GE8" s="16">
        <f t="shared" ref="GE8:GE26" si="20">(FS8-(FT8+FU8+FV8))+(FT8*2)+(FU8*3)+(FV8*4)</f>
        <v>0</v>
      </c>
      <c r="GF8" s="16">
        <f t="shared" ref="GF8:GF26" si="21">+FQ8+FY8+GA8+GB8+GC8+GD8</f>
        <v>0</v>
      </c>
      <c r="GG8" s="18"/>
      <c r="GV8" s="16">
        <f t="shared" ref="GV8:GV26" si="22">(GJ8-(GK8+GL8+GM8))+(GK8*2)+(GL8*3)+(GM8*4)</f>
        <v>0</v>
      </c>
      <c r="GW8" s="16">
        <f t="shared" ref="GW8:GW26" si="23">+GH8+GP8+GR8+GS8+GT8+GU8</f>
        <v>0</v>
      </c>
      <c r="GX8" s="18"/>
      <c r="HM8" s="16">
        <f t="shared" ref="HM8:HM26" si="24">(HA8-(HB8+HC8+HD8))+(HB8*2)+(HC8*3)+(HD8*4)</f>
        <v>0</v>
      </c>
      <c r="HN8" s="16">
        <f t="shared" ref="HN8:HN26" si="25">+GY8+HG8+HI8+HJ8+HK8+HL8</f>
        <v>0</v>
      </c>
      <c r="HO8" s="18"/>
      <c r="ID8" s="16">
        <f t="shared" ref="ID8:ID26" si="26">(HR8-(HS8+HT8+HU8))+(HS8*2)+(HT8*3)+(HU8*4)</f>
        <v>0</v>
      </c>
      <c r="IE8" s="16">
        <f t="shared" ref="IE8:IE26" si="27">+HP8+HX8+HZ8+IA8+IB8+IC8</f>
        <v>0</v>
      </c>
      <c r="IF8" s="18"/>
      <c r="IU8" s="16">
        <f t="shared" ref="IU8:IU26" si="28">(II8-(IJ8+IK8+IL8))+(IJ8*2)+(IK8*3)+(IL8*4)</f>
        <v>0</v>
      </c>
      <c r="IV8" s="16">
        <f t="shared" ref="IV8:IV26" si="29">+IG8+IO8+IQ8+IR8+IS8+IT8</f>
        <v>0</v>
      </c>
    </row>
    <row r="9" spans="1:256" s="16" customFormat="1" x14ac:dyDescent="0.25">
      <c r="A9" s="15" t="s">
        <v>37</v>
      </c>
      <c r="B9" s="49">
        <v>99</v>
      </c>
      <c r="C9" s="16">
        <v>3</v>
      </c>
      <c r="D9" s="16">
        <v>1</v>
      </c>
      <c r="E9" s="16">
        <v>1</v>
      </c>
      <c r="F9" s="16">
        <v>1</v>
      </c>
      <c r="K9" s="16">
        <v>1</v>
      </c>
      <c r="Q9" s="16">
        <f t="shared" si="0"/>
        <v>2</v>
      </c>
      <c r="R9" s="16">
        <f t="shared" si="1"/>
        <v>4</v>
      </c>
      <c r="S9" s="17"/>
      <c r="AH9" s="16">
        <f t="shared" si="2"/>
        <v>0</v>
      </c>
      <c r="AI9" s="16">
        <f t="shared" si="3"/>
        <v>0</v>
      </c>
      <c r="AJ9" s="18"/>
      <c r="AY9" s="16">
        <f t="shared" si="4"/>
        <v>0</v>
      </c>
      <c r="AZ9" s="16">
        <f t="shared" si="5"/>
        <v>0</v>
      </c>
      <c r="BA9" s="18"/>
      <c r="BP9" s="16">
        <f t="shared" si="6"/>
        <v>0</v>
      </c>
      <c r="BQ9" s="16">
        <f t="shared" si="7"/>
        <v>0</v>
      </c>
      <c r="BR9" s="18"/>
      <c r="CG9" s="16">
        <f t="shared" si="8"/>
        <v>0</v>
      </c>
      <c r="CH9" s="16">
        <f t="shared" si="9"/>
        <v>0</v>
      </c>
      <c r="CI9" s="18"/>
      <c r="CX9" s="16">
        <f t="shared" si="10"/>
        <v>0</v>
      </c>
      <c r="CY9" s="16">
        <f t="shared" si="11"/>
        <v>0</v>
      </c>
      <c r="CZ9" s="18"/>
      <c r="DO9" s="16">
        <f t="shared" si="12"/>
        <v>0</v>
      </c>
      <c r="DP9" s="16">
        <f t="shared" si="13"/>
        <v>0</v>
      </c>
      <c r="DQ9" s="18"/>
      <c r="EF9" s="16">
        <f t="shared" si="14"/>
        <v>0</v>
      </c>
      <c r="EG9" s="16">
        <f t="shared" si="15"/>
        <v>0</v>
      </c>
      <c r="EH9" s="18"/>
      <c r="EW9" s="16">
        <f t="shared" si="16"/>
        <v>0</v>
      </c>
      <c r="EX9" s="16">
        <f t="shared" si="17"/>
        <v>0</v>
      </c>
      <c r="EY9" s="18"/>
      <c r="FN9" s="16">
        <f t="shared" si="18"/>
        <v>0</v>
      </c>
      <c r="FO9" s="16">
        <f t="shared" si="19"/>
        <v>0</v>
      </c>
      <c r="FP9" s="18"/>
      <c r="GE9" s="16">
        <f t="shared" si="20"/>
        <v>0</v>
      </c>
      <c r="GF9" s="16">
        <f t="shared" si="21"/>
        <v>0</v>
      </c>
      <c r="GG9" s="18"/>
      <c r="GV9" s="16">
        <f t="shared" si="22"/>
        <v>0</v>
      </c>
      <c r="GW9" s="16">
        <f t="shared" si="23"/>
        <v>0</v>
      </c>
      <c r="GX9" s="18"/>
      <c r="HM9" s="16">
        <f t="shared" si="24"/>
        <v>0</v>
      </c>
      <c r="HN9" s="16">
        <f t="shared" si="25"/>
        <v>0</v>
      </c>
      <c r="HO9" s="18"/>
      <c r="ID9" s="16">
        <f t="shared" si="26"/>
        <v>0</v>
      </c>
      <c r="IE9" s="16">
        <f t="shared" si="27"/>
        <v>0</v>
      </c>
      <c r="IF9" s="18"/>
      <c r="IU9" s="16">
        <f t="shared" si="28"/>
        <v>0</v>
      </c>
      <c r="IV9" s="16">
        <f t="shared" si="29"/>
        <v>0</v>
      </c>
    </row>
    <row r="10" spans="1:256" s="16" customFormat="1" x14ac:dyDescent="0.25">
      <c r="A10" s="15" t="s">
        <v>38</v>
      </c>
      <c r="B10" s="49"/>
      <c r="C10" s="16">
        <v>4</v>
      </c>
      <c r="E10" s="16">
        <v>1</v>
      </c>
      <c r="Q10" s="16">
        <f t="shared" si="0"/>
        <v>1</v>
      </c>
      <c r="R10" s="16">
        <f t="shared" si="1"/>
        <v>4</v>
      </c>
      <c r="S10" s="17"/>
      <c r="AH10" s="16">
        <f t="shared" si="2"/>
        <v>0</v>
      </c>
      <c r="AI10" s="16">
        <f t="shared" si="3"/>
        <v>0</v>
      </c>
      <c r="AJ10" s="18"/>
      <c r="AY10" s="16">
        <f t="shared" si="4"/>
        <v>0</v>
      </c>
      <c r="AZ10" s="16">
        <f t="shared" si="5"/>
        <v>0</v>
      </c>
      <c r="BA10" s="18"/>
      <c r="BP10" s="16">
        <f t="shared" si="6"/>
        <v>0</v>
      </c>
      <c r="BQ10" s="16">
        <f t="shared" si="7"/>
        <v>0</v>
      </c>
      <c r="BR10" s="18"/>
      <c r="CG10" s="16">
        <f t="shared" si="8"/>
        <v>0</v>
      </c>
      <c r="CH10" s="16">
        <f t="shared" si="9"/>
        <v>0</v>
      </c>
      <c r="CI10" s="18"/>
      <c r="CX10" s="16">
        <f t="shared" si="10"/>
        <v>0</v>
      </c>
      <c r="CY10" s="16">
        <f t="shared" si="11"/>
        <v>0</v>
      </c>
      <c r="CZ10" s="18"/>
      <c r="DO10" s="16">
        <f t="shared" si="12"/>
        <v>0</v>
      </c>
      <c r="DP10" s="16">
        <f t="shared" si="13"/>
        <v>0</v>
      </c>
      <c r="DQ10" s="18"/>
      <c r="EF10" s="16">
        <f t="shared" si="14"/>
        <v>0</v>
      </c>
      <c r="EG10" s="16">
        <f t="shared" si="15"/>
        <v>0</v>
      </c>
      <c r="EH10" s="18"/>
      <c r="EW10" s="16">
        <f t="shared" si="16"/>
        <v>0</v>
      </c>
      <c r="EX10" s="16">
        <f t="shared" si="17"/>
        <v>0</v>
      </c>
      <c r="EY10" s="18"/>
      <c r="FN10" s="16">
        <f t="shared" si="18"/>
        <v>0</v>
      </c>
      <c r="FO10" s="16">
        <f t="shared" si="19"/>
        <v>0</v>
      </c>
      <c r="FP10" s="18"/>
      <c r="GE10" s="16">
        <f t="shared" si="20"/>
        <v>0</v>
      </c>
      <c r="GF10" s="16">
        <f t="shared" si="21"/>
        <v>0</v>
      </c>
      <c r="GG10" s="18"/>
      <c r="GV10" s="16">
        <f t="shared" si="22"/>
        <v>0</v>
      </c>
      <c r="GW10" s="16">
        <f t="shared" si="23"/>
        <v>0</v>
      </c>
      <c r="GX10" s="18"/>
      <c r="HM10" s="16">
        <f t="shared" si="24"/>
        <v>0</v>
      </c>
      <c r="HN10" s="16">
        <f t="shared" si="25"/>
        <v>0</v>
      </c>
      <c r="HO10" s="18"/>
      <c r="ID10" s="16">
        <f t="shared" si="26"/>
        <v>0</v>
      </c>
      <c r="IE10" s="16">
        <f t="shared" si="27"/>
        <v>0</v>
      </c>
      <c r="IF10" s="18"/>
      <c r="IU10" s="16">
        <f t="shared" si="28"/>
        <v>0</v>
      </c>
      <c r="IV10" s="16">
        <f t="shared" si="29"/>
        <v>0</v>
      </c>
    </row>
    <row r="11" spans="1:256" s="16" customFormat="1" x14ac:dyDescent="0.25">
      <c r="A11" s="15" t="s">
        <v>39</v>
      </c>
      <c r="B11" s="49"/>
      <c r="D11" s="16">
        <v>1</v>
      </c>
      <c r="I11" s="16">
        <v>1</v>
      </c>
      <c r="K11" s="16">
        <v>3</v>
      </c>
      <c r="L11" s="16">
        <v>3</v>
      </c>
      <c r="Q11" s="16">
        <f t="shared" si="0"/>
        <v>0</v>
      </c>
      <c r="R11" s="16">
        <f t="shared" si="1"/>
        <v>3</v>
      </c>
      <c r="S11" s="17"/>
      <c r="AH11" s="16">
        <f t="shared" si="2"/>
        <v>0</v>
      </c>
      <c r="AI11" s="16">
        <f t="shared" si="3"/>
        <v>0</v>
      </c>
      <c r="AJ11" s="18"/>
      <c r="AY11" s="16">
        <f t="shared" si="4"/>
        <v>0</v>
      </c>
      <c r="AZ11" s="16">
        <f t="shared" si="5"/>
        <v>0</v>
      </c>
      <c r="BA11" s="18"/>
      <c r="BP11" s="16">
        <f t="shared" si="6"/>
        <v>0</v>
      </c>
      <c r="BQ11" s="16">
        <f t="shared" si="7"/>
        <v>0</v>
      </c>
      <c r="BR11" s="18"/>
      <c r="CG11" s="16">
        <f t="shared" si="8"/>
        <v>0</v>
      </c>
      <c r="CH11" s="16">
        <f t="shared" si="9"/>
        <v>0</v>
      </c>
      <c r="CI11" s="18"/>
      <c r="CX11" s="16">
        <f t="shared" si="10"/>
        <v>0</v>
      </c>
      <c r="CY11" s="16">
        <f t="shared" si="11"/>
        <v>0</v>
      </c>
      <c r="CZ11" s="18"/>
      <c r="DO11" s="16">
        <f t="shared" si="12"/>
        <v>0</v>
      </c>
      <c r="DP11" s="16">
        <f t="shared" si="13"/>
        <v>0</v>
      </c>
      <c r="DQ11" s="18"/>
      <c r="EF11" s="16">
        <f t="shared" si="14"/>
        <v>0</v>
      </c>
      <c r="EG11" s="16">
        <f t="shared" si="15"/>
        <v>0</v>
      </c>
      <c r="EH11" s="18"/>
      <c r="EW11" s="16">
        <f t="shared" si="16"/>
        <v>0</v>
      </c>
      <c r="EX11" s="16">
        <f t="shared" si="17"/>
        <v>0</v>
      </c>
      <c r="EY11" s="18"/>
      <c r="FN11" s="16">
        <f t="shared" si="18"/>
        <v>0</v>
      </c>
      <c r="FO11" s="16">
        <f t="shared" si="19"/>
        <v>0</v>
      </c>
      <c r="FP11" s="18"/>
      <c r="GE11" s="16">
        <f t="shared" si="20"/>
        <v>0</v>
      </c>
      <c r="GF11" s="16">
        <f t="shared" si="21"/>
        <v>0</v>
      </c>
      <c r="GG11" s="18"/>
      <c r="GV11" s="16">
        <f t="shared" si="22"/>
        <v>0</v>
      </c>
      <c r="GW11" s="16">
        <f t="shared" si="23"/>
        <v>0</v>
      </c>
      <c r="GX11" s="18"/>
      <c r="HM11" s="16">
        <f t="shared" si="24"/>
        <v>0</v>
      </c>
      <c r="HN11" s="16">
        <f t="shared" si="25"/>
        <v>0</v>
      </c>
      <c r="HO11" s="18"/>
      <c r="ID11" s="16">
        <f t="shared" si="26"/>
        <v>0</v>
      </c>
      <c r="IE11" s="16">
        <f t="shared" si="27"/>
        <v>0</v>
      </c>
      <c r="IF11" s="18"/>
      <c r="IU11" s="16">
        <f t="shared" si="28"/>
        <v>0</v>
      </c>
      <c r="IV11" s="16">
        <f t="shared" si="29"/>
        <v>0</v>
      </c>
    </row>
    <row r="12" spans="1:256" s="16" customFormat="1" x14ac:dyDescent="0.25">
      <c r="A12" s="15" t="s">
        <v>40</v>
      </c>
      <c r="B12" s="49"/>
      <c r="C12" s="16">
        <v>1</v>
      </c>
      <c r="Q12" s="16">
        <f t="shared" si="0"/>
        <v>0</v>
      </c>
      <c r="R12" s="16">
        <f t="shared" si="1"/>
        <v>1</v>
      </c>
      <c r="S12" s="17"/>
      <c r="AH12" s="16">
        <f t="shared" si="2"/>
        <v>0</v>
      </c>
      <c r="AI12" s="16">
        <f t="shared" si="3"/>
        <v>0</v>
      </c>
      <c r="AJ12" s="18"/>
      <c r="AY12" s="16">
        <f t="shared" si="4"/>
        <v>0</v>
      </c>
      <c r="AZ12" s="16">
        <f t="shared" si="5"/>
        <v>0</v>
      </c>
      <c r="BA12" s="18"/>
      <c r="BP12" s="16">
        <f t="shared" si="6"/>
        <v>0</v>
      </c>
      <c r="BQ12" s="16">
        <f t="shared" si="7"/>
        <v>0</v>
      </c>
      <c r="BR12" s="18"/>
      <c r="CG12" s="16">
        <f t="shared" si="8"/>
        <v>0</v>
      </c>
      <c r="CH12" s="16">
        <f t="shared" si="9"/>
        <v>0</v>
      </c>
      <c r="CI12" s="18"/>
      <c r="CX12" s="16">
        <f t="shared" si="10"/>
        <v>0</v>
      </c>
      <c r="CY12" s="16">
        <f t="shared" si="11"/>
        <v>0</v>
      </c>
      <c r="CZ12" s="18"/>
      <c r="DO12" s="16">
        <f t="shared" si="12"/>
        <v>0</v>
      </c>
      <c r="DP12" s="16">
        <f t="shared" si="13"/>
        <v>0</v>
      </c>
      <c r="DQ12" s="18"/>
      <c r="EF12" s="16">
        <f t="shared" si="14"/>
        <v>0</v>
      </c>
      <c r="EG12" s="16">
        <f t="shared" si="15"/>
        <v>0</v>
      </c>
      <c r="EH12" s="18"/>
      <c r="EW12" s="16">
        <f t="shared" si="16"/>
        <v>0</v>
      </c>
      <c r="EX12" s="16">
        <f t="shared" si="17"/>
        <v>0</v>
      </c>
      <c r="EY12" s="18"/>
      <c r="FN12" s="16">
        <f t="shared" si="18"/>
        <v>0</v>
      </c>
      <c r="FO12" s="16">
        <f t="shared" si="19"/>
        <v>0</v>
      </c>
      <c r="FP12" s="18"/>
      <c r="GE12" s="16">
        <f t="shared" si="20"/>
        <v>0</v>
      </c>
      <c r="GF12" s="16">
        <f t="shared" si="21"/>
        <v>0</v>
      </c>
      <c r="GG12" s="18"/>
      <c r="GV12" s="16">
        <f t="shared" si="22"/>
        <v>0</v>
      </c>
      <c r="GW12" s="16">
        <f t="shared" si="23"/>
        <v>0</v>
      </c>
      <c r="GX12" s="18"/>
      <c r="HM12" s="16">
        <f t="shared" si="24"/>
        <v>0</v>
      </c>
      <c r="HN12" s="16">
        <f t="shared" si="25"/>
        <v>0</v>
      </c>
      <c r="HO12" s="18"/>
      <c r="ID12" s="16">
        <f t="shared" si="26"/>
        <v>0</v>
      </c>
      <c r="IE12" s="16">
        <f t="shared" si="27"/>
        <v>0</v>
      </c>
      <c r="IF12" s="18"/>
      <c r="IU12" s="16">
        <f t="shared" si="28"/>
        <v>0</v>
      </c>
      <c r="IV12" s="16">
        <f t="shared" si="29"/>
        <v>0</v>
      </c>
    </row>
    <row r="13" spans="1:256" s="16" customFormat="1" x14ac:dyDescent="0.25">
      <c r="A13" s="15" t="s">
        <v>41</v>
      </c>
      <c r="B13" s="49"/>
      <c r="C13" s="16">
        <v>2</v>
      </c>
      <c r="J13" s="16">
        <v>1</v>
      </c>
      <c r="Q13" s="16">
        <f t="shared" si="0"/>
        <v>0</v>
      </c>
      <c r="R13" s="16">
        <f t="shared" si="1"/>
        <v>2</v>
      </c>
      <c r="S13" s="17"/>
      <c r="AH13" s="16">
        <f t="shared" si="2"/>
        <v>0</v>
      </c>
      <c r="AI13" s="16">
        <f t="shared" si="3"/>
        <v>0</v>
      </c>
      <c r="AJ13" s="18"/>
      <c r="AY13" s="16">
        <f t="shared" si="4"/>
        <v>0</v>
      </c>
      <c r="AZ13" s="16">
        <f t="shared" si="5"/>
        <v>0</v>
      </c>
      <c r="BA13" s="18"/>
      <c r="BP13" s="16">
        <f t="shared" si="6"/>
        <v>0</v>
      </c>
      <c r="BQ13" s="16">
        <f t="shared" si="7"/>
        <v>0</v>
      </c>
      <c r="BR13" s="18"/>
      <c r="CG13" s="16">
        <f t="shared" si="8"/>
        <v>0</v>
      </c>
      <c r="CH13" s="16">
        <f t="shared" si="9"/>
        <v>0</v>
      </c>
      <c r="CI13" s="18"/>
      <c r="CX13" s="16">
        <f t="shared" si="10"/>
        <v>0</v>
      </c>
      <c r="CY13" s="16">
        <f t="shared" si="11"/>
        <v>0</v>
      </c>
      <c r="CZ13" s="18"/>
      <c r="DO13" s="16">
        <f t="shared" si="12"/>
        <v>0</v>
      </c>
      <c r="DP13" s="16">
        <f t="shared" si="13"/>
        <v>0</v>
      </c>
      <c r="DQ13" s="18"/>
      <c r="EF13" s="16">
        <f t="shared" si="14"/>
        <v>0</v>
      </c>
      <c r="EG13" s="16">
        <f t="shared" si="15"/>
        <v>0</v>
      </c>
      <c r="EH13" s="18"/>
      <c r="EW13" s="16">
        <f t="shared" si="16"/>
        <v>0</v>
      </c>
      <c r="EX13" s="16">
        <f t="shared" si="17"/>
        <v>0</v>
      </c>
      <c r="EY13" s="18"/>
      <c r="FN13" s="16">
        <f t="shared" si="18"/>
        <v>0</v>
      </c>
      <c r="FO13" s="16">
        <f t="shared" si="19"/>
        <v>0</v>
      </c>
      <c r="FP13" s="18"/>
      <c r="GE13" s="16">
        <f t="shared" si="20"/>
        <v>0</v>
      </c>
      <c r="GF13" s="16">
        <f t="shared" si="21"/>
        <v>0</v>
      </c>
      <c r="GG13" s="18"/>
      <c r="GV13" s="16">
        <f t="shared" si="22"/>
        <v>0</v>
      </c>
      <c r="GW13" s="16">
        <f t="shared" si="23"/>
        <v>0</v>
      </c>
      <c r="GX13" s="18"/>
      <c r="HM13" s="16">
        <f t="shared" si="24"/>
        <v>0</v>
      </c>
      <c r="HN13" s="16">
        <f t="shared" si="25"/>
        <v>0</v>
      </c>
      <c r="HO13" s="18"/>
      <c r="ID13" s="16">
        <f t="shared" si="26"/>
        <v>0</v>
      </c>
      <c r="IE13" s="16">
        <f t="shared" si="27"/>
        <v>0</v>
      </c>
      <c r="IF13" s="18"/>
      <c r="IU13" s="16">
        <f t="shared" si="28"/>
        <v>0</v>
      </c>
      <c r="IV13" s="16">
        <f t="shared" si="29"/>
        <v>0</v>
      </c>
    </row>
    <row r="14" spans="1:256" s="16" customFormat="1" x14ac:dyDescent="0.25">
      <c r="A14" s="15" t="s">
        <v>42</v>
      </c>
      <c r="B14" s="49"/>
      <c r="C14" s="16">
        <v>3</v>
      </c>
      <c r="D14" s="16">
        <v>2</v>
      </c>
      <c r="E14" s="16">
        <v>2</v>
      </c>
      <c r="I14" s="16">
        <v>1</v>
      </c>
      <c r="J14" s="16">
        <v>1</v>
      </c>
      <c r="L14" s="16">
        <v>1</v>
      </c>
      <c r="Q14" s="16">
        <f t="shared" si="0"/>
        <v>2</v>
      </c>
      <c r="R14" s="16">
        <f t="shared" si="1"/>
        <v>3</v>
      </c>
      <c r="S14" s="17"/>
      <c r="AH14" s="16">
        <f t="shared" si="2"/>
        <v>0</v>
      </c>
      <c r="AI14" s="16">
        <f t="shared" si="3"/>
        <v>0</v>
      </c>
      <c r="AJ14" s="18"/>
      <c r="AY14" s="16">
        <f t="shared" si="4"/>
        <v>0</v>
      </c>
      <c r="AZ14" s="16">
        <f t="shared" si="5"/>
        <v>0</v>
      </c>
      <c r="BA14" s="18"/>
      <c r="BP14" s="16">
        <f t="shared" si="6"/>
        <v>0</v>
      </c>
      <c r="BQ14" s="16">
        <f t="shared" si="7"/>
        <v>0</v>
      </c>
      <c r="BR14" s="18"/>
      <c r="CG14" s="16">
        <f t="shared" si="8"/>
        <v>0</v>
      </c>
      <c r="CH14" s="16">
        <f t="shared" si="9"/>
        <v>0</v>
      </c>
      <c r="CI14" s="18"/>
      <c r="CX14" s="16">
        <f t="shared" si="10"/>
        <v>0</v>
      </c>
      <c r="CY14" s="16">
        <f t="shared" si="11"/>
        <v>0</v>
      </c>
      <c r="CZ14" s="18"/>
      <c r="DO14" s="16">
        <f t="shared" si="12"/>
        <v>0</v>
      </c>
      <c r="DP14" s="16">
        <f t="shared" si="13"/>
        <v>0</v>
      </c>
      <c r="DQ14" s="18"/>
      <c r="EF14" s="16">
        <f t="shared" si="14"/>
        <v>0</v>
      </c>
      <c r="EG14" s="16">
        <f t="shared" si="15"/>
        <v>0</v>
      </c>
      <c r="EH14" s="18"/>
      <c r="EW14" s="16">
        <f t="shared" si="16"/>
        <v>0</v>
      </c>
      <c r="EX14" s="16">
        <f t="shared" si="17"/>
        <v>0</v>
      </c>
      <c r="EY14" s="18"/>
      <c r="FN14" s="16">
        <f t="shared" si="18"/>
        <v>0</v>
      </c>
      <c r="FO14" s="16">
        <f t="shared" si="19"/>
        <v>0</v>
      </c>
      <c r="FP14" s="18"/>
      <c r="GE14" s="16">
        <f t="shared" si="20"/>
        <v>0</v>
      </c>
      <c r="GF14" s="16">
        <f t="shared" si="21"/>
        <v>0</v>
      </c>
      <c r="GG14" s="18"/>
      <c r="GV14" s="16">
        <f t="shared" si="22"/>
        <v>0</v>
      </c>
      <c r="GW14" s="16">
        <f t="shared" si="23"/>
        <v>0</v>
      </c>
      <c r="GX14" s="18"/>
      <c r="HM14" s="16">
        <f t="shared" si="24"/>
        <v>0</v>
      </c>
      <c r="HN14" s="16">
        <f t="shared" si="25"/>
        <v>0</v>
      </c>
      <c r="HO14" s="18"/>
      <c r="ID14" s="16">
        <f t="shared" si="26"/>
        <v>0</v>
      </c>
      <c r="IE14" s="16">
        <f t="shared" si="27"/>
        <v>0</v>
      </c>
      <c r="IF14" s="18"/>
      <c r="IU14" s="16">
        <f t="shared" si="28"/>
        <v>0</v>
      </c>
      <c r="IV14" s="16">
        <f t="shared" si="29"/>
        <v>0</v>
      </c>
    </row>
    <row r="15" spans="1:256" s="16" customFormat="1" x14ac:dyDescent="0.25">
      <c r="A15" s="15" t="s">
        <v>43</v>
      </c>
      <c r="B15" s="49"/>
      <c r="C15" s="16">
        <v>3</v>
      </c>
      <c r="D15" s="16">
        <v>1</v>
      </c>
      <c r="E15" s="16">
        <v>2</v>
      </c>
      <c r="G15" s="16">
        <v>1</v>
      </c>
      <c r="Q15" s="16">
        <f t="shared" si="0"/>
        <v>4</v>
      </c>
      <c r="R15" s="16">
        <f t="shared" si="1"/>
        <v>3</v>
      </c>
      <c r="S15" s="17"/>
      <c r="AH15" s="16">
        <f t="shared" si="2"/>
        <v>0</v>
      </c>
      <c r="AI15" s="16">
        <f t="shared" si="3"/>
        <v>0</v>
      </c>
      <c r="AJ15" s="18"/>
      <c r="AY15" s="16">
        <f t="shared" si="4"/>
        <v>0</v>
      </c>
      <c r="AZ15" s="16">
        <f t="shared" si="5"/>
        <v>0</v>
      </c>
      <c r="BA15" s="18"/>
      <c r="BP15" s="16">
        <f t="shared" si="6"/>
        <v>0</v>
      </c>
      <c r="BQ15" s="16">
        <f t="shared" si="7"/>
        <v>0</v>
      </c>
      <c r="BR15" s="18"/>
      <c r="CG15" s="16">
        <f t="shared" si="8"/>
        <v>0</v>
      </c>
      <c r="CH15" s="16">
        <f t="shared" si="9"/>
        <v>0</v>
      </c>
      <c r="CI15" s="18"/>
      <c r="CX15" s="16">
        <f t="shared" si="10"/>
        <v>0</v>
      </c>
      <c r="CY15" s="16">
        <f t="shared" si="11"/>
        <v>0</v>
      </c>
      <c r="CZ15" s="18"/>
      <c r="DO15" s="16">
        <f t="shared" si="12"/>
        <v>0</v>
      </c>
      <c r="DP15" s="16">
        <f t="shared" si="13"/>
        <v>0</v>
      </c>
      <c r="DQ15" s="18"/>
      <c r="EF15" s="16">
        <f t="shared" si="14"/>
        <v>0</v>
      </c>
      <c r="EG15" s="16">
        <f t="shared" si="15"/>
        <v>0</v>
      </c>
      <c r="EH15" s="18"/>
      <c r="EW15" s="16">
        <f t="shared" si="16"/>
        <v>0</v>
      </c>
      <c r="EX15" s="16">
        <f t="shared" si="17"/>
        <v>0</v>
      </c>
      <c r="EY15" s="18"/>
      <c r="FN15" s="16">
        <f t="shared" si="18"/>
        <v>0</v>
      </c>
      <c r="FO15" s="16">
        <f t="shared" si="19"/>
        <v>0</v>
      </c>
      <c r="FP15" s="18"/>
      <c r="GE15" s="16">
        <f t="shared" si="20"/>
        <v>0</v>
      </c>
      <c r="GF15" s="16">
        <f t="shared" si="21"/>
        <v>0</v>
      </c>
      <c r="GG15" s="18"/>
      <c r="GV15" s="16">
        <f t="shared" si="22"/>
        <v>0</v>
      </c>
      <c r="GW15" s="16">
        <f t="shared" si="23"/>
        <v>0</v>
      </c>
      <c r="GX15" s="18"/>
      <c r="HM15" s="16">
        <f t="shared" si="24"/>
        <v>0</v>
      </c>
      <c r="HN15" s="16">
        <f t="shared" si="25"/>
        <v>0</v>
      </c>
      <c r="HO15" s="18"/>
      <c r="ID15" s="16">
        <f t="shared" si="26"/>
        <v>0</v>
      </c>
      <c r="IE15" s="16">
        <f t="shared" si="27"/>
        <v>0</v>
      </c>
      <c r="IF15" s="18"/>
      <c r="IU15" s="16">
        <f t="shared" si="28"/>
        <v>0</v>
      </c>
      <c r="IV15" s="16">
        <f t="shared" si="29"/>
        <v>0</v>
      </c>
    </row>
    <row r="16" spans="1:256" s="16" customFormat="1" x14ac:dyDescent="0.25">
      <c r="A16" s="15" t="s">
        <v>44</v>
      </c>
      <c r="B16" s="49"/>
      <c r="C16" s="16">
        <v>3</v>
      </c>
      <c r="D16" s="16">
        <v>2</v>
      </c>
      <c r="E16" s="16">
        <v>2</v>
      </c>
      <c r="F16" s="16">
        <v>1</v>
      </c>
      <c r="I16" s="16">
        <v>2</v>
      </c>
      <c r="J16" s="16">
        <v>1</v>
      </c>
      <c r="L16" s="16">
        <v>3</v>
      </c>
      <c r="Q16" s="16">
        <f t="shared" si="0"/>
        <v>3</v>
      </c>
      <c r="R16" s="16">
        <f t="shared" si="1"/>
        <v>3</v>
      </c>
      <c r="S16" s="17"/>
      <c r="AH16" s="16">
        <f t="shared" si="2"/>
        <v>0</v>
      </c>
      <c r="AI16" s="16">
        <f t="shared" si="3"/>
        <v>0</v>
      </c>
      <c r="AJ16" s="18"/>
      <c r="AY16" s="16">
        <f t="shared" si="4"/>
        <v>0</v>
      </c>
      <c r="AZ16" s="16">
        <f t="shared" si="5"/>
        <v>0</v>
      </c>
      <c r="BA16" s="18"/>
      <c r="BP16" s="16">
        <f t="shared" si="6"/>
        <v>0</v>
      </c>
      <c r="BQ16" s="16">
        <f t="shared" si="7"/>
        <v>0</v>
      </c>
      <c r="BR16" s="18"/>
      <c r="CG16" s="16">
        <f t="shared" si="8"/>
        <v>0</v>
      </c>
      <c r="CH16" s="16">
        <f t="shared" si="9"/>
        <v>0</v>
      </c>
      <c r="CI16" s="18"/>
      <c r="CX16" s="16">
        <f t="shared" si="10"/>
        <v>0</v>
      </c>
      <c r="CY16" s="16">
        <f t="shared" si="11"/>
        <v>0</v>
      </c>
      <c r="CZ16" s="18"/>
      <c r="DO16" s="16">
        <f t="shared" si="12"/>
        <v>0</v>
      </c>
      <c r="DP16" s="16">
        <f t="shared" si="13"/>
        <v>0</v>
      </c>
      <c r="DQ16" s="18"/>
      <c r="EF16" s="16">
        <f t="shared" si="14"/>
        <v>0</v>
      </c>
      <c r="EG16" s="16">
        <f t="shared" si="15"/>
        <v>0</v>
      </c>
      <c r="EH16" s="18"/>
      <c r="EW16" s="16">
        <f t="shared" si="16"/>
        <v>0</v>
      </c>
      <c r="EX16" s="16">
        <f t="shared" si="17"/>
        <v>0</v>
      </c>
      <c r="EY16" s="18"/>
      <c r="FN16" s="16">
        <f t="shared" si="18"/>
        <v>0</v>
      </c>
      <c r="FO16" s="16">
        <f t="shared" si="19"/>
        <v>0</v>
      </c>
      <c r="FP16" s="18"/>
      <c r="GE16" s="16">
        <f t="shared" si="20"/>
        <v>0</v>
      </c>
      <c r="GF16" s="16">
        <f t="shared" si="21"/>
        <v>0</v>
      </c>
      <c r="GG16" s="18"/>
      <c r="GV16" s="16">
        <f t="shared" si="22"/>
        <v>0</v>
      </c>
      <c r="GW16" s="16">
        <f t="shared" si="23"/>
        <v>0</v>
      </c>
      <c r="GX16" s="18"/>
      <c r="HM16" s="16">
        <f t="shared" si="24"/>
        <v>0</v>
      </c>
      <c r="HN16" s="16">
        <f t="shared" si="25"/>
        <v>0</v>
      </c>
      <c r="HO16" s="18"/>
      <c r="ID16" s="16">
        <f t="shared" si="26"/>
        <v>0</v>
      </c>
      <c r="IE16" s="16">
        <f t="shared" si="27"/>
        <v>0</v>
      </c>
      <c r="IF16" s="18"/>
      <c r="IU16" s="16">
        <f t="shared" si="28"/>
        <v>0</v>
      </c>
      <c r="IV16" s="16">
        <f t="shared" si="29"/>
        <v>0</v>
      </c>
    </row>
    <row r="17" spans="1:256" s="16" customFormat="1" x14ac:dyDescent="0.25">
      <c r="A17" s="19" t="s">
        <v>45</v>
      </c>
      <c r="B17" s="49"/>
      <c r="C17" s="16">
        <v>2</v>
      </c>
      <c r="D17" s="16">
        <v>1</v>
      </c>
      <c r="J17" s="16">
        <v>1</v>
      </c>
      <c r="K17" s="16">
        <v>1</v>
      </c>
      <c r="L17" s="16">
        <v>1</v>
      </c>
      <c r="Q17" s="16">
        <f t="shared" si="0"/>
        <v>0</v>
      </c>
      <c r="R17" s="16">
        <f t="shared" si="1"/>
        <v>3</v>
      </c>
      <c r="S17" s="17"/>
      <c r="AH17" s="16">
        <f t="shared" si="2"/>
        <v>0</v>
      </c>
      <c r="AI17" s="16">
        <f t="shared" si="3"/>
        <v>0</v>
      </c>
      <c r="AJ17" s="18"/>
      <c r="AY17" s="16">
        <f t="shared" si="4"/>
        <v>0</v>
      </c>
      <c r="AZ17" s="16">
        <f t="shared" si="5"/>
        <v>0</v>
      </c>
      <c r="BA17" s="18"/>
      <c r="BP17" s="16">
        <f t="shared" si="6"/>
        <v>0</v>
      </c>
      <c r="BQ17" s="16">
        <f t="shared" si="7"/>
        <v>0</v>
      </c>
      <c r="BR17" s="18"/>
      <c r="CG17" s="16">
        <f t="shared" si="8"/>
        <v>0</v>
      </c>
      <c r="CH17" s="16">
        <f t="shared" si="9"/>
        <v>0</v>
      </c>
      <c r="CI17" s="18"/>
      <c r="CX17" s="16">
        <f t="shared" si="10"/>
        <v>0</v>
      </c>
      <c r="CY17" s="16">
        <f t="shared" si="11"/>
        <v>0</v>
      </c>
      <c r="CZ17" s="18"/>
      <c r="DO17" s="16">
        <f t="shared" si="12"/>
        <v>0</v>
      </c>
      <c r="DP17" s="16">
        <f t="shared" si="13"/>
        <v>0</v>
      </c>
      <c r="DQ17" s="18"/>
      <c r="EF17" s="16">
        <f t="shared" si="14"/>
        <v>0</v>
      </c>
      <c r="EG17" s="16">
        <f t="shared" si="15"/>
        <v>0</v>
      </c>
      <c r="EH17" s="18"/>
      <c r="EW17" s="16">
        <f t="shared" si="16"/>
        <v>0</v>
      </c>
      <c r="EX17" s="16">
        <f t="shared" si="17"/>
        <v>0</v>
      </c>
      <c r="EY17" s="18"/>
      <c r="FN17" s="16">
        <f t="shared" si="18"/>
        <v>0</v>
      </c>
      <c r="FO17" s="16">
        <f t="shared" si="19"/>
        <v>0</v>
      </c>
      <c r="FP17" s="18"/>
      <c r="GE17" s="16">
        <f t="shared" si="20"/>
        <v>0</v>
      </c>
      <c r="GF17" s="16">
        <f t="shared" si="21"/>
        <v>0</v>
      </c>
      <c r="GG17" s="18"/>
      <c r="GV17" s="16">
        <f t="shared" si="22"/>
        <v>0</v>
      </c>
      <c r="GW17" s="16">
        <f t="shared" si="23"/>
        <v>0</v>
      </c>
      <c r="GX17" s="18"/>
      <c r="HM17" s="16">
        <f t="shared" si="24"/>
        <v>0</v>
      </c>
      <c r="HN17" s="16">
        <f t="shared" si="25"/>
        <v>0</v>
      </c>
      <c r="HO17" s="18"/>
      <c r="ID17" s="16">
        <f t="shared" si="26"/>
        <v>0</v>
      </c>
      <c r="IE17" s="16">
        <f t="shared" si="27"/>
        <v>0</v>
      </c>
      <c r="IF17" s="18"/>
      <c r="IU17" s="16">
        <f t="shared" si="28"/>
        <v>0</v>
      </c>
      <c r="IV17" s="16">
        <f t="shared" si="29"/>
        <v>0</v>
      </c>
    </row>
    <row r="18" spans="1:256" s="16" customFormat="1" x14ac:dyDescent="0.25">
      <c r="A18" s="19" t="s">
        <v>46</v>
      </c>
      <c r="B18" s="49"/>
      <c r="Q18" s="16">
        <f t="shared" si="0"/>
        <v>0</v>
      </c>
      <c r="R18" s="16">
        <f t="shared" si="1"/>
        <v>0</v>
      </c>
      <c r="S18" s="17"/>
      <c r="AH18" s="16">
        <f t="shared" si="2"/>
        <v>0</v>
      </c>
      <c r="AI18" s="16">
        <f t="shared" si="3"/>
        <v>0</v>
      </c>
      <c r="AJ18" s="18"/>
      <c r="AY18" s="16">
        <f t="shared" si="4"/>
        <v>0</v>
      </c>
      <c r="AZ18" s="16">
        <f t="shared" si="5"/>
        <v>0</v>
      </c>
      <c r="BA18" s="18"/>
      <c r="BP18" s="16">
        <f t="shared" si="6"/>
        <v>0</v>
      </c>
      <c r="BQ18" s="16">
        <f t="shared" si="7"/>
        <v>0</v>
      </c>
      <c r="BR18" s="18"/>
      <c r="CG18" s="16">
        <f t="shared" si="8"/>
        <v>0</v>
      </c>
      <c r="CH18" s="16">
        <f t="shared" si="9"/>
        <v>0</v>
      </c>
      <c r="CI18" s="18"/>
      <c r="CX18" s="16">
        <f t="shared" si="10"/>
        <v>0</v>
      </c>
      <c r="CY18" s="16">
        <f t="shared" si="11"/>
        <v>0</v>
      </c>
      <c r="CZ18" s="18"/>
      <c r="DO18" s="16">
        <f t="shared" si="12"/>
        <v>0</v>
      </c>
      <c r="DP18" s="16">
        <f t="shared" si="13"/>
        <v>0</v>
      </c>
      <c r="DQ18" s="18"/>
      <c r="EF18" s="16">
        <f t="shared" si="14"/>
        <v>0</v>
      </c>
      <c r="EG18" s="16">
        <f t="shared" si="15"/>
        <v>0</v>
      </c>
      <c r="EH18" s="18"/>
      <c r="EW18" s="16">
        <f t="shared" si="16"/>
        <v>0</v>
      </c>
      <c r="EX18" s="16">
        <f t="shared" si="17"/>
        <v>0</v>
      </c>
      <c r="EY18" s="18"/>
      <c r="FN18" s="16">
        <f t="shared" si="18"/>
        <v>0</v>
      </c>
      <c r="FO18" s="16">
        <f t="shared" si="19"/>
        <v>0</v>
      </c>
      <c r="FP18" s="18"/>
      <c r="GE18" s="16">
        <f t="shared" si="20"/>
        <v>0</v>
      </c>
      <c r="GF18" s="16">
        <f t="shared" si="21"/>
        <v>0</v>
      </c>
      <c r="GG18" s="18"/>
      <c r="GV18" s="16">
        <f t="shared" si="22"/>
        <v>0</v>
      </c>
      <c r="GW18" s="16">
        <f t="shared" si="23"/>
        <v>0</v>
      </c>
      <c r="GX18" s="18"/>
      <c r="HM18" s="16">
        <f t="shared" si="24"/>
        <v>0</v>
      </c>
      <c r="HN18" s="16">
        <f t="shared" si="25"/>
        <v>0</v>
      </c>
      <c r="HO18" s="18"/>
      <c r="ID18" s="16">
        <f t="shared" si="26"/>
        <v>0</v>
      </c>
      <c r="IE18" s="16">
        <f t="shared" si="27"/>
        <v>0</v>
      </c>
      <c r="IF18" s="18"/>
      <c r="IU18" s="16">
        <f t="shared" si="28"/>
        <v>0</v>
      </c>
      <c r="IV18" s="16">
        <f t="shared" si="29"/>
        <v>0</v>
      </c>
    </row>
    <row r="19" spans="1:256" s="16" customFormat="1" x14ac:dyDescent="0.25">
      <c r="A19" s="19" t="s">
        <v>47</v>
      </c>
      <c r="B19" s="49"/>
      <c r="Q19" s="16">
        <f t="shared" si="0"/>
        <v>0</v>
      </c>
      <c r="R19" s="16">
        <f t="shared" si="1"/>
        <v>0</v>
      </c>
      <c r="S19" s="17"/>
      <c r="AH19" s="16">
        <f t="shared" si="2"/>
        <v>0</v>
      </c>
      <c r="AI19" s="16">
        <f t="shared" si="3"/>
        <v>0</v>
      </c>
      <c r="AJ19" s="18"/>
      <c r="AY19" s="16">
        <f t="shared" si="4"/>
        <v>0</v>
      </c>
      <c r="AZ19" s="16">
        <f t="shared" si="5"/>
        <v>0</v>
      </c>
      <c r="BA19" s="18"/>
      <c r="BP19" s="16">
        <f t="shared" si="6"/>
        <v>0</v>
      </c>
      <c r="BQ19" s="16">
        <f t="shared" si="7"/>
        <v>0</v>
      </c>
      <c r="BR19" s="18"/>
      <c r="CG19" s="16">
        <f t="shared" si="8"/>
        <v>0</v>
      </c>
      <c r="CH19" s="16">
        <f t="shared" si="9"/>
        <v>0</v>
      </c>
      <c r="CI19" s="18"/>
      <c r="CX19" s="16">
        <f t="shared" si="10"/>
        <v>0</v>
      </c>
      <c r="CY19" s="16">
        <f t="shared" si="11"/>
        <v>0</v>
      </c>
      <c r="CZ19" s="18"/>
      <c r="DO19" s="16">
        <f t="shared" si="12"/>
        <v>0</v>
      </c>
      <c r="DP19" s="16">
        <f t="shared" si="13"/>
        <v>0</v>
      </c>
      <c r="DQ19" s="18"/>
      <c r="EF19" s="16">
        <f t="shared" si="14"/>
        <v>0</v>
      </c>
      <c r="EG19" s="16">
        <f t="shared" si="15"/>
        <v>0</v>
      </c>
      <c r="EH19" s="18"/>
      <c r="EW19" s="16">
        <f t="shared" si="16"/>
        <v>0</v>
      </c>
      <c r="EX19" s="16">
        <f t="shared" si="17"/>
        <v>0</v>
      </c>
      <c r="EY19" s="18"/>
      <c r="FN19" s="16">
        <f t="shared" si="18"/>
        <v>0</v>
      </c>
      <c r="FO19" s="16">
        <f t="shared" si="19"/>
        <v>0</v>
      </c>
      <c r="FP19" s="18"/>
      <c r="GE19" s="16">
        <f t="shared" si="20"/>
        <v>0</v>
      </c>
      <c r="GF19" s="16">
        <f t="shared" si="21"/>
        <v>0</v>
      </c>
      <c r="GG19" s="18"/>
      <c r="GV19" s="16">
        <f t="shared" si="22"/>
        <v>0</v>
      </c>
      <c r="GW19" s="16">
        <f t="shared" si="23"/>
        <v>0</v>
      </c>
      <c r="GX19" s="18"/>
      <c r="HM19" s="16">
        <f t="shared" si="24"/>
        <v>0</v>
      </c>
      <c r="HN19" s="16">
        <f t="shared" si="25"/>
        <v>0</v>
      </c>
      <c r="HO19" s="18"/>
      <c r="ID19" s="16">
        <f t="shared" si="26"/>
        <v>0</v>
      </c>
      <c r="IE19" s="16">
        <f t="shared" si="27"/>
        <v>0</v>
      </c>
      <c r="IF19" s="18"/>
      <c r="IU19" s="16">
        <f t="shared" si="28"/>
        <v>0</v>
      </c>
      <c r="IV19" s="16">
        <f t="shared" si="29"/>
        <v>0</v>
      </c>
    </row>
    <row r="20" spans="1:256" s="16" customFormat="1" x14ac:dyDescent="0.25">
      <c r="A20" s="19"/>
      <c r="B20" s="49"/>
      <c r="Q20" s="16">
        <f t="shared" si="0"/>
        <v>0</v>
      </c>
      <c r="R20" s="16">
        <f t="shared" si="1"/>
        <v>0</v>
      </c>
      <c r="S20" s="17"/>
      <c r="AH20" s="16">
        <f t="shared" si="2"/>
        <v>0</v>
      </c>
      <c r="AI20" s="16">
        <f t="shared" si="3"/>
        <v>0</v>
      </c>
      <c r="AJ20" s="18"/>
      <c r="AY20" s="16">
        <f t="shared" si="4"/>
        <v>0</v>
      </c>
      <c r="AZ20" s="16">
        <f t="shared" si="5"/>
        <v>0</v>
      </c>
      <c r="BA20" s="18"/>
      <c r="BP20" s="16">
        <f t="shared" si="6"/>
        <v>0</v>
      </c>
      <c r="BQ20" s="16">
        <f t="shared" si="7"/>
        <v>0</v>
      </c>
      <c r="BR20" s="18"/>
      <c r="CG20" s="16">
        <f t="shared" si="8"/>
        <v>0</v>
      </c>
      <c r="CH20" s="16">
        <f t="shared" si="9"/>
        <v>0</v>
      </c>
      <c r="CI20" s="18"/>
      <c r="CX20" s="16">
        <f t="shared" si="10"/>
        <v>0</v>
      </c>
      <c r="CY20" s="16">
        <f t="shared" si="11"/>
        <v>0</v>
      </c>
      <c r="CZ20" s="18"/>
      <c r="DO20" s="16">
        <f t="shared" si="12"/>
        <v>0</v>
      </c>
      <c r="DP20" s="16">
        <f t="shared" si="13"/>
        <v>0</v>
      </c>
      <c r="DQ20" s="18"/>
      <c r="EF20" s="16">
        <f t="shared" si="14"/>
        <v>0</v>
      </c>
      <c r="EG20" s="16">
        <f t="shared" si="15"/>
        <v>0</v>
      </c>
      <c r="EH20" s="18"/>
      <c r="EW20" s="16">
        <f t="shared" si="16"/>
        <v>0</v>
      </c>
      <c r="EX20" s="16">
        <f t="shared" si="17"/>
        <v>0</v>
      </c>
      <c r="EY20" s="18"/>
      <c r="FN20" s="16">
        <f t="shared" si="18"/>
        <v>0</v>
      </c>
      <c r="FO20" s="16">
        <f t="shared" si="19"/>
        <v>0</v>
      </c>
      <c r="FP20" s="18"/>
      <c r="GE20" s="16">
        <f t="shared" si="20"/>
        <v>0</v>
      </c>
      <c r="GF20" s="16">
        <f t="shared" si="21"/>
        <v>0</v>
      </c>
      <c r="GG20" s="18"/>
      <c r="GV20" s="16">
        <f t="shared" si="22"/>
        <v>0</v>
      </c>
      <c r="GW20" s="16">
        <f t="shared" si="23"/>
        <v>0</v>
      </c>
      <c r="GX20" s="18"/>
      <c r="HM20" s="16">
        <f t="shared" si="24"/>
        <v>0</v>
      </c>
      <c r="HN20" s="16">
        <f t="shared" si="25"/>
        <v>0</v>
      </c>
      <c r="HO20" s="18"/>
      <c r="ID20" s="16">
        <f t="shared" si="26"/>
        <v>0</v>
      </c>
      <c r="IE20" s="16">
        <f t="shared" si="27"/>
        <v>0</v>
      </c>
      <c r="IF20" s="18"/>
      <c r="IU20" s="16">
        <f t="shared" si="28"/>
        <v>0</v>
      </c>
      <c r="IV20" s="16">
        <f t="shared" si="29"/>
        <v>0</v>
      </c>
    </row>
    <row r="21" spans="1:256" s="16" customFormat="1" x14ac:dyDescent="0.25">
      <c r="A21" s="19"/>
      <c r="B21" s="49"/>
      <c r="Q21" s="16">
        <f t="shared" si="0"/>
        <v>0</v>
      </c>
      <c r="R21" s="16">
        <f t="shared" si="1"/>
        <v>0</v>
      </c>
      <c r="S21" s="17"/>
      <c r="AH21" s="16">
        <f t="shared" si="2"/>
        <v>0</v>
      </c>
      <c r="AI21" s="16">
        <f t="shared" si="3"/>
        <v>0</v>
      </c>
      <c r="AJ21" s="18"/>
      <c r="AY21" s="16">
        <f t="shared" si="4"/>
        <v>0</v>
      </c>
      <c r="AZ21" s="16">
        <f t="shared" si="5"/>
        <v>0</v>
      </c>
      <c r="BA21" s="18"/>
      <c r="BP21" s="16">
        <f t="shared" si="6"/>
        <v>0</v>
      </c>
      <c r="BQ21" s="16">
        <f t="shared" si="7"/>
        <v>0</v>
      </c>
      <c r="BR21" s="18"/>
      <c r="CG21" s="16">
        <f t="shared" si="8"/>
        <v>0</v>
      </c>
      <c r="CH21" s="16">
        <f t="shared" si="9"/>
        <v>0</v>
      </c>
      <c r="CI21" s="18"/>
      <c r="CX21" s="16">
        <f t="shared" si="10"/>
        <v>0</v>
      </c>
      <c r="CY21" s="16">
        <f t="shared" si="11"/>
        <v>0</v>
      </c>
      <c r="CZ21" s="18"/>
      <c r="DO21" s="16">
        <f t="shared" si="12"/>
        <v>0</v>
      </c>
      <c r="DP21" s="16">
        <f t="shared" si="13"/>
        <v>0</v>
      </c>
      <c r="DQ21" s="18"/>
      <c r="EF21" s="16">
        <f t="shared" si="14"/>
        <v>0</v>
      </c>
      <c r="EG21" s="16">
        <f t="shared" si="15"/>
        <v>0</v>
      </c>
      <c r="EH21" s="18"/>
      <c r="EW21" s="16">
        <f t="shared" si="16"/>
        <v>0</v>
      </c>
      <c r="EX21" s="16">
        <f t="shared" si="17"/>
        <v>0</v>
      </c>
      <c r="EY21" s="18"/>
      <c r="FN21" s="16">
        <f t="shared" si="18"/>
        <v>0</v>
      </c>
      <c r="FO21" s="16">
        <f t="shared" si="19"/>
        <v>0</v>
      </c>
      <c r="FP21" s="18"/>
      <c r="GE21" s="16">
        <f t="shared" si="20"/>
        <v>0</v>
      </c>
      <c r="GF21" s="16">
        <f t="shared" si="21"/>
        <v>0</v>
      </c>
      <c r="GG21" s="18"/>
      <c r="GV21" s="16">
        <f t="shared" si="22"/>
        <v>0</v>
      </c>
      <c r="GW21" s="16">
        <f t="shared" si="23"/>
        <v>0</v>
      </c>
      <c r="GX21" s="18"/>
      <c r="HM21" s="16">
        <f t="shared" si="24"/>
        <v>0</v>
      </c>
      <c r="HN21" s="16">
        <f t="shared" si="25"/>
        <v>0</v>
      </c>
      <c r="HO21" s="18"/>
      <c r="ID21" s="16">
        <f t="shared" si="26"/>
        <v>0</v>
      </c>
      <c r="IE21" s="16">
        <f t="shared" si="27"/>
        <v>0</v>
      </c>
      <c r="IF21" s="18"/>
      <c r="IU21" s="16">
        <f t="shared" si="28"/>
        <v>0</v>
      </c>
      <c r="IV21" s="16">
        <f t="shared" si="29"/>
        <v>0</v>
      </c>
    </row>
    <row r="22" spans="1:256" s="16" customFormat="1" x14ac:dyDescent="0.25">
      <c r="A22" s="19"/>
      <c r="B22" s="49"/>
      <c r="Q22" s="16">
        <f t="shared" si="0"/>
        <v>0</v>
      </c>
      <c r="R22" s="16">
        <f t="shared" si="1"/>
        <v>0</v>
      </c>
      <c r="S22" s="17"/>
      <c r="AH22" s="16">
        <f t="shared" si="2"/>
        <v>0</v>
      </c>
      <c r="AI22" s="16">
        <f t="shared" si="3"/>
        <v>0</v>
      </c>
      <c r="AJ22" s="18"/>
      <c r="AY22" s="16">
        <f t="shared" si="4"/>
        <v>0</v>
      </c>
      <c r="AZ22" s="16">
        <f t="shared" si="5"/>
        <v>0</v>
      </c>
      <c r="BA22" s="18"/>
      <c r="BP22" s="16">
        <f t="shared" si="6"/>
        <v>0</v>
      </c>
      <c r="BQ22" s="16">
        <f t="shared" si="7"/>
        <v>0</v>
      </c>
      <c r="BR22" s="18"/>
      <c r="CG22" s="16">
        <f t="shared" si="8"/>
        <v>0</v>
      </c>
      <c r="CH22" s="16">
        <f t="shared" si="9"/>
        <v>0</v>
      </c>
      <c r="CI22" s="18"/>
      <c r="CX22" s="16">
        <f t="shared" si="10"/>
        <v>0</v>
      </c>
      <c r="CY22" s="16">
        <f t="shared" si="11"/>
        <v>0</v>
      </c>
      <c r="CZ22" s="18"/>
      <c r="DO22" s="16">
        <f t="shared" si="12"/>
        <v>0</v>
      </c>
      <c r="DP22" s="16">
        <f t="shared" si="13"/>
        <v>0</v>
      </c>
      <c r="DQ22" s="18"/>
      <c r="EF22" s="16">
        <f t="shared" si="14"/>
        <v>0</v>
      </c>
      <c r="EG22" s="16">
        <f t="shared" si="15"/>
        <v>0</v>
      </c>
      <c r="EH22" s="18"/>
      <c r="EW22" s="16">
        <f t="shared" si="16"/>
        <v>0</v>
      </c>
      <c r="EX22" s="16">
        <f t="shared" si="17"/>
        <v>0</v>
      </c>
      <c r="EY22" s="18"/>
      <c r="FN22" s="16">
        <f t="shared" si="18"/>
        <v>0</v>
      </c>
      <c r="FO22" s="16">
        <f t="shared" si="19"/>
        <v>0</v>
      </c>
      <c r="FP22" s="18"/>
      <c r="GE22" s="16">
        <f t="shared" si="20"/>
        <v>0</v>
      </c>
      <c r="GF22" s="16">
        <f t="shared" si="21"/>
        <v>0</v>
      </c>
      <c r="GG22" s="18"/>
      <c r="GV22" s="16">
        <f t="shared" si="22"/>
        <v>0</v>
      </c>
      <c r="GW22" s="16">
        <f t="shared" si="23"/>
        <v>0</v>
      </c>
      <c r="GX22" s="18"/>
      <c r="HM22" s="16">
        <f t="shared" si="24"/>
        <v>0</v>
      </c>
      <c r="HN22" s="16">
        <f t="shared" si="25"/>
        <v>0</v>
      </c>
      <c r="HO22" s="18"/>
      <c r="ID22" s="16">
        <f t="shared" si="26"/>
        <v>0</v>
      </c>
      <c r="IE22" s="16">
        <f t="shared" si="27"/>
        <v>0</v>
      </c>
      <c r="IF22" s="18"/>
      <c r="IU22" s="16">
        <f t="shared" si="28"/>
        <v>0</v>
      </c>
      <c r="IV22" s="16">
        <f t="shared" si="29"/>
        <v>0</v>
      </c>
    </row>
    <row r="23" spans="1:256" s="16" customFormat="1" x14ac:dyDescent="0.25">
      <c r="A23" s="14"/>
      <c r="B23" s="49"/>
      <c r="Q23" s="16">
        <f t="shared" si="0"/>
        <v>0</v>
      </c>
      <c r="R23" s="16">
        <f t="shared" si="1"/>
        <v>0</v>
      </c>
      <c r="S23" s="17"/>
      <c r="AH23" s="16">
        <f t="shared" si="2"/>
        <v>0</v>
      </c>
      <c r="AI23" s="16">
        <f t="shared" si="3"/>
        <v>0</v>
      </c>
      <c r="AJ23" s="18"/>
      <c r="AY23" s="16">
        <f t="shared" si="4"/>
        <v>0</v>
      </c>
      <c r="AZ23" s="16">
        <f t="shared" si="5"/>
        <v>0</v>
      </c>
      <c r="BA23" s="18"/>
      <c r="BP23" s="16">
        <f t="shared" si="6"/>
        <v>0</v>
      </c>
      <c r="BQ23" s="16">
        <f t="shared" si="7"/>
        <v>0</v>
      </c>
      <c r="BR23" s="18"/>
      <c r="CG23" s="16">
        <f t="shared" si="8"/>
        <v>0</v>
      </c>
      <c r="CH23" s="16">
        <f t="shared" si="9"/>
        <v>0</v>
      </c>
      <c r="CI23" s="18"/>
      <c r="CX23" s="16">
        <f t="shared" si="10"/>
        <v>0</v>
      </c>
      <c r="CY23" s="16">
        <f t="shared" si="11"/>
        <v>0</v>
      </c>
      <c r="CZ23" s="18"/>
      <c r="DO23" s="16">
        <f t="shared" si="12"/>
        <v>0</v>
      </c>
      <c r="DP23" s="16">
        <f t="shared" si="13"/>
        <v>0</v>
      </c>
      <c r="DQ23" s="18"/>
      <c r="EF23" s="16">
        <f t="shared" si="14"/>
        <v>0</v>
      </c>
      <c r="EG23" s="16">
        <f t="shared" si="15"/>
        <v>0</v>
      </c>
      <c r="EH23" s="18"/>
      <c r="EW23" s="16">
        <f t="shared" si="16"/>
        <v>0</v>
      </c>
      <c r="EX23" s="16">
        <f t="shared" si="17"/>
        <v>0</v>
      </c>
      <c r="EY23" s="18"/>
      <c r="FN23" s="16">
        <f t="shared" si="18"/>
        <v>0</v>
      </c>
      <c r="FO23" s="16">
        <f t="shared" si="19"/>
        <v>0</v>
      </c>
      <c r="FP23" s="18"/>
      <c r="GE23" s="16">
        <f t="shared" si="20"/>
        <v>0</v>
      </c>
      <c r="GF23" s="16">
        <f t="shared" si="21"/>
        <v>0</v>
      </c>
      <c r="GG23" s="18"/>
      <c r="GV23" s="16">
        <f t="shared" si="22"/>
        <v>0</v>
      </c>
      <c r="GW23" s="16">
        <f t="shared" si="23"/>
        <v>0</v>
      </c>
      <c r="GX23" s="18"/>
      <c r="HM23" s="16">
        <f t="shared" si="24"/>
        <v>0</v>
      </c>
      <c r="HN23" s="16">
        <f t="shared" si="25"/>
        <v>0</v>
      </c>
      <c r="HO23" s="18"/>
      <c r="ID23" s="16">
        <f t="shared" si="26"/>
        <v>0</v>
      </c>
      <c r="IE23" s="16">
        <f t="shared" si="27"/>
        <v>0</v>
      </c>
      <c r="IF23" s="18"/>
      <c r="IU23" s="16">
        <f t="shared" si="28"/>
        <v>0</v>
      </c>
      <c r="IV23" s="16">
        <f t="shared" si="29"/>
        <v>0</v>
      </c>
    </row>
    <row r="24" spans="1:256" s="16" customFormat="1" x14ac:dyDescent="0.25">
      <c r="A24" s="14"/>
      <c r="B24" s="49"/>
      <c r="Q24" s="16">
        <f t="shared" si="0"/>
        <v>0</v>
      </c>
      <c r="R24" s="16">
        <f t="shared" si="1"/>
        <v>0</v>
      </c>
      <c r="S24" s="17"/>
      <c r="AH24" s="16">
        <f t="shared" si="2"/>
        <v>0</v>
      </c>
      <c r="AI24" s="16">
        <f t="shared" si="3"/>
        <v>0</v>
      </c>
      <c r="AJ24" s="18"/>
      <c r="AY24" s="16">
        <f t="shared" si="4"/>
        <v>0</v>
      </c>
      <c r="AZ24" s="16">
        <f t="shared" si="5"/>
        <v>0</v>
      </c>
      <c r="BA24" s="18"/>
      <c r="BP24" s="16">
        <f t="shared" si="6"/>
        <v>0</v>
      </c>
      <c r="BQ24" s="16">
        <f t="shared" si="7"/>
        <v>0</v>
      </c>
      <c r="BR24" s="18"/>
      <c r="CG24" s="16">
        <f t="shared" si="8"/>
        <v>0</v>
      </c>
      <c r="CH24" s="16">
        <f t="shared" si="9"/>
        <v>0</v>
      </c>
      <c r="CI24" s="18"/>
      <c r="CX24" s="16">
        <f t="shared" si="10"/>
        <v>0</v>
      </c>
      <c r="CY24" s="16">
        <f t="shared" si="11"/>
        <v>0</v>
      </c>
      <c r="CZ24" s="18"/>
      <c r="DO24" s="16">
        <f t="shared" si="12"/>
        <v>0</v>
      </c>
      <c r="DP24" s="16">
        <f t="shared" si="13"/>
        <v>0</v>
      </c>
      <c r="DQ24" s="18"/>
      <c r="EF24" s="16">
        <f t="shared" si="14"/>
        <v>0</v>
      </c>
      <c r="EG24" s="16">
        <f t="shared" si="15"/>
        <v>0</v>
      </c>
      <c r="EH24" s="18"/>
      <c r="EW24" s="16">
        <f t="shared" si="16"/>
        <v>0</v>
      </c>
      <c r="EX24" s="16">
        <f t="shared" si="17"/>
        <v>0</v>
      </c>
      <c r="EY24" s="18"/>
      <c r="FN24" s="16">
        <f t="shared" si="18"/>
        <v>0</v>
      </c>
      <c r="FO24" s="16">
        <f t="shared" si="19"/>
        <v>0</v>
      </c>
      <c r="FP24" s="18"/>
      <c r="GE24" s="16">
        <f t="shared" si="20"/>
        <v>0</v>
      </c>
      <c r="GF24" s="16">
        <f t="shared" si="21"/>
        <v>0</v>
      </c>
      <c r="GG24" s="18"/>
      <c r="GV24" s="16">
        <f t="shared" si="22"/>
        <v>0</v>
      </c>
      <c r="GW24" s="16">
        <f t="shared" si="23"/>
        <v>0</v>
      </c>
      <c r="GX24" s="18"/>
      <c r="HM24" s="16">
        <f t="shared" si="24"/>
        <v>0</v>
      </c>
      <c r="HN24" s="16">
        <f t="shared" si="25"/>
        <v>0</v>
      </c>
      <c r="HO24" s="18"/>
      <c r="ID24" s="16">
        <f t="shared" si="26"/>
        <v>0</v>
      </c>
      <c r="IE24" s="16">
        <f t="shared" si="27"/>
        <v>0</v>
      </c>
      <c r="IF24" s="18"/>
      <c r="IU24" s="16">
        <f t="shared" si="28"/>
        <v>0</v>
      </c>
      <c r="IV24" s="16">
        <f t="shared" si="29"/>
        <v>0</v>
      </c>
    </row>
    <row r="25" spans="1:256" s="16" customFormat="1" x14ac:dyDescent="0.25">
      <c r="A25" s="14"/>
      <c r="B25" s="49"/>
      <c r="Q25" s="16">
        <f t="shared" si="0"/>
        <v>0</v>
      </c>
      <c r="R25" s="16">
        <f t="shared" si="1"/>
        <v>0</v>
      </c>
      <c r="S25" s="17"/>
      <c r="AH25" s="16">
        <f t="shared" si="2"/>
        <v>0</v>
      </c>
      <c r="AI25" s="16">
        <f t="shared" si="3"/>
        <v>0</v>
      </c>
      <c r="AJ25" s="18"/>
      <c r="AY25" s="16">
        <f t="shared" si="4"/>
        <v>0</v>
      </c>
      <c r="AZ25" s="16">
        <f t="shared" si="5"/>
        <v>0</v>
      </c>
      <c r="BA25" s="18"/>
      <c r="BP25" s="16">
        <f t="shared" si="6"/>
        <v>0</v>
      </c>
      <c r="BQ25" s="16">
        <f t="shared" si="7"/>
        <v>0</v>
      </c>
      <c r="BR25" s="18"/>
      <c r="CG25" s="16">
        <f t="shared" si="8"/>
        <v>0</v>
      </c>
      <c r="CH25" s="16">
        <f t="shared" si="9"/>
        <v>0</v>
      </c>
      <c r="CI25" s="18"/>
      <c r="CX25" s="16">
        <f t="shared" si="10"/>
        <v>0</v>
      </c>
      <c r="CY25" s="16">
        <f t="shared" si="11"/>
        <v>0</v>
      </c>
      <c r="CZ25" s="18"/>
      <c r="DO25" s="16">
        <f t="shared" si="12"/>
        <v>0</v>
      </c>
      <c r="DP25" s="16">
        <f t="shared" si="13"/>
        <v>0</v>
      </c>
      <c r="DQ25" s="18"/>
      <c r="EF25" s="16">
        <f t="shared" si="14"/>
        <v>0</v>
      </c>
      <c r="EG25" s="16">
        <f t="shared" si="15"/>
        <v>0</v>
      </c>
      <c r="EH25" s="18"/>
      <c r="EW25" s="16">
        <f t="shared" si="16"/>
        <v>0</v>
      </c>
      <c r="EX25" s="16">
        <f t="shared" si="17"/>
        <v>0</v>
      </c>
      <c r="EY25" s="18"/>
      <c r="FN25" s="16">
        <f t="shared" si="18"/>
        <v>0</v>
      </c>
      <c r="FO25" s="16">
        <f t="shared" si="19"/>
        <v>0</v>
      </c>
      <c r="FP25" s="18"/>
      <c r="GE25" s="16">
        <f t="shared" si="20"/>
        <v>0</v>
      </c>
      <c r="GF25" s="16">
        <f t="shared" si="21"/>
        <v>0</v>
      </c>
      <c r="GG25" s="18"/>
      <c r="GV25" s="16">
        <f t="shared" si="22"/>
        <v>0</v>
      </c>
      <c r="GW25" s="16">
        <f t="shared" si="23"/>
        <v>0</v>
      </c>
      <c r="GX25" s="18"/>
      <c r="HM25" s="16">
        <f t="shared" si="24"/>
        <v>0</v>
      </c>
      <c r="HN25" s="16">
        <f t="shared" si="25"/>
        <v>0</v>
      </c>
      <c r="HO25" s="18"/>
      <c r="ID25" s="16">
        <f t="shared" si="26"/>
        <v>0</v>
      </c>
      <c r="IE25" s="16">
        <f t="shared" si="27"/>
        <v>0</v>
      </c>
      <c r="IF25" s="18"/>
      <c r="IU25" s="16">
        <f t="shared" si="28"/>
        <v>0</v>
      </c>
      <c r="IV25" s="16">
        <f t="shared" si="29"/>
        <v>0</v>
      </c>
    </row>
    <row r="26" spans="1:256" s="20" customFormat="1" ht="13.8" thickBot="1" x14ac:dyDescent="0.3">
      <c r="A26" s="14"/>
      <c r="B26" s="49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>
        <f t="shared" si="0"/>
        <v>0</v>
      </c>
      <c r="R26" s="16">
        <f t="shared" si="1"/>
        <v>0</v>
      </c>
      <c r="S26" s="17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>
        <f t="shared" si="2"/>
        <v>0</v>
      </c>
      <c r="AI26" s="16">
        <f t="shared" si="3"/>
        <v>0</v>
      </c>
      <c r="AJ26" s="18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>
        <f t="shared" si="4"/>
        <v>0</v>
      </c>
      <c r="AZ26" s="16">
        <f t="shared" si="5"/>
        <v>0</v>
      </c>
      <c r="BA26" s="18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>
        <f t="shared" si="6"/>
        <v>0</v>
      </c>
      <c r="BQ26" s="16">
        <f t="shared" si="7"/>
        <v>0</v>
      </c>
      <c r="BR26" s="18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>
        <f t="shared" si="8"/>
        <v>0</v>
      </c>
      <c r="CH26" s="16">
        <f t="shared" si="9"/>
        <v>0</v>
      </c>
      <c r="CI26" s="18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>
        <f t="shared" si="10"/>
        <v>0</v>
      </c>
      <c r="CY26" s="16">
        <f t="shared" si="11"/>
        <v>0</v>
      </c>
      <c r="CZ26" s="18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>
        <f t="shared" si="12"/>
        <v>0</v>
      </c>
      <c r="DP26" s="16">
        <f t="shared" si="13"/>
        <v>0</v>
      </c>
      <c r="DQ26" s="18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>
        <f t="shared" si="14"/>
        <v>0</v>
      </c>
      <c r="EG26" s="16">
        <f t="shared" si="15"/>
        <v>0</v>
      </c>
      <c r="EH26" s="18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>
        <f t="shared" si="16"/>
        <v>0</v>
      </c>
      <c r="EX26" s="16">
        <f t="shared" si="17"/>
        <v>0</v>
      </c>
      <c r="EY26" s="18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>
        <f t="shared" si="18"/>
        <v>0</v>
      </c>
      <c r="FO26" s="16">
        <f t="shared" si="19"/>
        <v>0</v>
      </c>
      <c r="FP26" s="18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>
        <f t="shared" si="20"/>
        <v>0</v>
      </c>
      <c r="GF26" s="16">
        <f t="shared" si="21"/>
        <v>0</v>
      </c>
      <c r="GG26" s="18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>
        <f t="shared" si="22"/>
        <v>0</v>
      </c>
      <c r="GW26" s="16">
        <f t="shared" si="23"/>
        <v>0</v>
      </c>
      <c r="GX26" s="18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>
        <f t="shared" si="24"/>
        <v>0</v>
      </c>
      <c r="HN26" s="16">
        <f t="shared" si="25"/>
        <v>0</v>
      </c>
      <c r="HO26" s="18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>
        <f t="shared" si="26"/>
        <v>0</v>
      </c>
      <c r="IE26" s="16">
        <f t="shared" si="27"/>
        <v>0</v>
      </c>
      <c r="IF26" s="18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>
        <f t="shared" si="28"/>
        <v>0</v>
      </c>
      <c r="IV26" s="16">
        <f t="shared" si="29"/>
        <v>0</v>
      </c>
    </row>
    <row r="27" spans="1:256" s="22" customFormat="1" ht="13.8" thickBot="1" x14ac:dyDescent="0.3">
      <c r="A27" s="64" t="s">
        <v>48</v>
      </c>
      <c r="B27" s="64"/>
      <c r="C27" s="21">
        <f>SUM(C8:C26)</f>
        <v>25</v>
      </c>
      <c r="D27" s="21">
        <f t="shared" ref="D27:P27" si="30">SUM(D8:D26)</f>
        <v>10</v>
      </c>
      <c r="E27" s="21">
        <f t="shared" si="30"/>
        <v>9</v>
      </c>
      <c r="F27" s="21">
        <f t="shared" si="30"/>
        <v>2</v>
      </c>
      <c r="G27" s="21">
        <f t="shared" si="30"/>
        <v>1</v>
      </c>
      <c r="H27" s="21">
        <f t="shared" si="30"/>
        <v>0</v>
      </c>
      <c r="I27" s="21">
        <f t="shared" si="30"/>
        <v>4</v>
      </c>
      <c r="J27" s="21">
        <f t="shared" si="30"/>
        <v>4</v>
      </c>
      <c r="K27" s="21">
        <f t="shared" si="30"/>
        <v>5</v>
      </c>
      <c r="L27" s="21">
        <f t="shared" si="30"/>
        <v>9</v>
      </c>
      <c r="M27" s="21">
        <f t="shared" si="30"/>
        <v>0</v>
      </c>
      <c r="N27" s="21">
        <f t="shared" si="30"/>
        <v>0</v>
      </c>
      <c r="O27" s="21">
        <f t="shared" si="30"/>
        <v>0</v>
      </c>
      <c r="P27" s="21">
        <f t="shared" si="30"/>
        <v>0</v>
      </c>
      <c r="Q27" s="21">
        <f>SUM(Q8:Q26)</f>
        <v>13</v>
      </c>
      <c r="R27" s="21">
        <f>SUM(R8:R26)</f>
        <v>30</v>
      </c>
      <c r="T27" s="21">
        <f>SUM(T8:T26)</f>
        <v>0</v>
      </c>
      <c r="U27" s="21">
        <f t="shared" ref="U27:AG27" si="31">SUM(U8:U26)</f>
        <v>0</v>
      </c>
      <c r="V27" s="21">
        <f t="shared" si="31"/>
        <v>0</v>
      </c>
      <c r="W27" s="21">
        <f t="shared" si="31"/>
        <v>0</v>
      </c>
      <c r="X27" s="21">
        <f t="shared" si="31"/>
        <v>0</v>
      </c>
      <c r="Y27" s="21">
        <f t="shared" si="31"/>
        <v>0</v>
      </c>
      <c r="Z27" s="21">
        <f t="shared" si="31"/>
        <v>0</v>
      </c>
      <c r="AA27" s="21">
        <f t="shared" si="31"/>
        <v>0</v>
      </c>
      <c r="AB27" s="21">
        <f t="shared" si="31"/>
        <v>0</v>
      </c>
      <c r="AC27" s="21">
        <f t="shared" si="31"/>
        <v>0</v>
      </c>
      <c r="AD27" s="21">
        <f t="shared" si="31"/>
        <v>0</v>
      </c>
      <c r="AE27" s="21">
        <f t="shared" si="31"/>
        <v>0</v>
      </c>
      <c r="AF27" s="21">
        <f t="shared" si="31"/>
        <v>0</v>
      </c>
      <c r="AG27" s="21">
        <f t="shared" si="31"/>
        <v>0</v>
      </c>
      <c r="AH27" s="21">
        <f>SUM(AH8:AH26)</f>
        <v>0</v>
      </c>
      <c r="AI27" s="21">
        <f>SUM(AI8:AI26)</f>
        <v>0</v>
      </c>
      <c r="AK27" s="21">
        <f>SUM(AK8:AK26)</f>
        <v>0</v>
      </c>
      <c r="AL27" s="21">
        <f t="shared" ref="AL27:AX27" si="32">SUM(AL8:AL26)</f>
        <v>0</v>
      </c>
      <c r="AM27" s="21">
        <f t="shared" si="32"/>
        <v>0</v>
      </c>
      <c r="AN27" s="21">
        <f t="shared" si="32"/>
        <v>0</v>
      </c>
      <c r="AO27" s="21">
        <f t="shared" si="32"/>
        <v>0</v>
      </c>
      <c r="AP27" s="21">
        <f t="shared" si="32"/>
        <v>0</v>
      </c>
      <c r="AQ27" s="21">
        <f t="shared" si="32"/>
        <v>0</v>
      </c>
      <c r="AR27" s="21">
        <f t="shared" si="32"/>
        <v>0</v>
      </c>
      <c r="AS27" s="21">
        <f t="shared" si="32"/>
        <v>0</v>
      </c>
      <c r="AT27" s="21">
        <f t="shared" si="32"/>
        <v>0</v>
      </c>
      <c r="AU27" s="21">
        <f t="shared" si="32"/>
        <v>0</v>
      </c>
      <c r="AV27" s="21">
        <f t="shared" si="32"/>
        <v>0</v>
      </c>
      <c r="AW27" s="21">
        <f t="shared" si="32"/>
        <v>0</v>
      </c>
      <c r="AX27" s="21">
        <f t="shared" si="32"/>
        <v>0</v>
      </c>
      <c r="AY27" s="21">
        <f>SUM(AY8:AY26)</f>
        <v>0</v>
      </c>
      <c r="AZ27" s="21">
        <f>SUM(AZ8:AZ26)</f>
        <v>0</v>
      </c>
      <c r="BB27" s="21">
        <f>SUM(BB8:BB26)</f>
        <v>0</v>
      </c>
      <c r="BC27" s="21">
        <f t="shared" ref="BC27:BO27" si="33">SUM(BC8:BC26)</f>
        <v>0</v>
      </c>
      <c r="BD27" s="21">
        <f t="shared" si="33"/>
        <v>0</v>
      </c>
      <c r="BE27" s="21">
        <f t="shared" si="33"/>
        <v>0</v>
      </c>
      <c r="BF27" s="21">
        <f t="shared" si="33"/>
        <v>0</v>
      </c>
      <c r="BG27" s="21">
        <f t="shared" si="33"/>
        <v>0</v>
      </c>
      <c r="BH27" s="21">
        <f t="shared" si="33"/>
        <v>0</v>
      </c>
      <c r="BI27" s="21">
        <f t="shared" si="33"/>
        <v>0</v>
      </c>
      <c r="BJ27" s="21">
        <f t="shared" si="33"/>
        <v>0</v>
      </c>
      <c r="BK27" s="21">
        <f t="shared" si="33"/>
        <v>0</v>
      </c>
      <c r="BL27" s="21">
        <f t="shared" si="33"/>
        <v>0</v>
      </c>
      <c r="BM27" s="21">
        <f t="shared" si="33"/>
        <v>0</v>
      </c>
      <c r="BN27" s="21">
        <f t="shared" si="33"/>
        <v>0</v>
      </c>
      <c r="BO27" s="21">
        <f t="shared" si="33"/>
        <v>0</v>
      </c>
      <c r="BP27" s="21">
        <f>SUM(BP8:BP26)</f>
        <v>0</v>
      </c>
      <c r="BQ27" s="21">
        <f>SUM(BQ8:BQ26)</f>
        <v>0</v>
      </c>
      <c r="BS27" s="21">
        <f>SUM(BS8:BS26)</f>
        <v>0</v>
      </c>
      <c r="BT27" s="21">
        <f t="shared" ref="BT27:CF27" si="34">SUM(BT8:BT26)</f>
        <v>0</v>
      </c>
      <c r="BU27" s="21">
        <f t="shared" si="34"/>
        <v>0</v>
      </c>
      <c r="BV27" s="21">
        <f t="shared" si="34"/>
        <v>0</v>
      </c>
      <c r="BW27" s="21">
        <f t="shared" si="34"/>
        <v>0</v>
      </c>
      <c r="BX27" s="21">
        <f t="shared" si="34"/>
        <v>0</v>
      </c>
      <c r="BY27" s="21">
        <f t="shared" si="34"/>
        <v>0</v>
      </c>
      <c r="BZ27" s="21">
        <f t="shared" si="34"/>
        <v>0</v>
      </c>
      <c r="CA27" s="21">
        <f t="shared" si="34"/>
        <v>0</v>
      </c>
      <c r="CB27" s="21">
        <f t="shared" si="34"/>
        <v>0</v>
      </c>
      <c r="CC27" s="21">
        <f t="shared" si="34"/>
        <v>0</v>
      </c>
      <c r="CD27" s="21">
        <f t="shared" si="34"/>
        <v>0</v>
      </c>
      <c r="CE27" s="21">
        <f t="shared" si="34"/>
        <v>0</v>
      </c>
      <c r="CF27" s="21">
        <f t="shared" si="34"/>
        <v>0</v>
      </c>
      <c r="CG27" s="21">
        <f>SUM(CG8:CG26)</f>
        <v>0</v>
      </c>
      <c r="CH27" s="21">
        <f>SUM(CH8:CH26)</f>
        <v>0</v>
      </c>
      <c r="CJ27" s="21">
        <f>SUM(CJ8:CJ26)</f>
        <v>0</v>
      </c>
      <c r="CK27" s="21">
        <f t="shared" ref="CK27:CW27" si="35">SUM(CK8:CK26)</f>
        <v>0</v>
      </c>
      <c r="CL27" s="21">
        <f t="shared" si="35"/>
        <v>0</v>
      </c>
      <c r="CM27" s="21">
        <f t="shared" si="35"/>
        <v>0</v>
      </c>
      <c r="CN27" s="21">
        <f t="shared" si="35"/>
        <v>0</v>
      </c>
      <c r="CO27" s="21">
        <f t="shared" si="35"/>
        <v>0</v>
      </c>
      <c r="CP27" s="21">
        <f t="shared" si="35"/>
        <v>0</v>
      </c>
      <c r="CQ27" s="21">
        <f t="shared" si="35"/>
        <v>0</v>
      </c>
      <c r="CR27" s="21">
        <f t="shared" si="35"/>
        <v>0</v>
      </c>
      <c r="CS27" s="21">
        <f t="shared" si="35"/>
        <v>0</v>
      </c>
      <c r="CT27" s="21">
        <f t="shared" si="35"/>
        <v>0</v>
      </c>
      <c r="CU27" s="21">
        <f t="shared" si="35"/>
        <v>0</v>
      </c>
      <c r="CV27" s="21">
        <f t="shared" si="35"/>
        <v>0</v>
      </c>
      <c r="CW27" s="21">
        <f t="shared" si="35"/>
        <v>0</v>
      </c>
      <c r="CX27" s="21">
        <f>SUM(CX8:CX26)</f>
        <v>0</v>
      </c>
      <c r="CY27" s="21">
        <f>SUM(CY8:CY26)</f>
        <v>0</v>
      </c>
      <c r="DA27" s="21">
        <f>SUM(DA8:DA26)</f>
        <v>0</v>
      </c>
      <c r="DB27" s="21">
        <f t="shared" ref="DB27:DN27" si="36">SUM(DB8:DB26)</f>
        <v>0</v>
      </c>
      <c r="DC27" s="21">
        <f t="shared" si="36"/>
        <v>0</v>
      </c>
      <c r="DD27" s="21">
        <f t="shared" si="36"/>
        <v>0</v>
      </c>
      <c r="DE27" s="21">
        <f t="shared" si="36"/>
        <v>0</v>
      </c>
      <c r="DF27" s="21">
        <f t="shared" si="36"/>
        <v>0</v>
      </c>
      <c r="DG27" s="21">
        <f t="shared" si="36"/>
        <v>0</v>
      </c>
      <c r="DH27" s="21">
        <f t="shared" si="36"/>
        <v>0</v>
      </c>
      <c r="DI27" s="21">
        <f t="shared" si="36"/>
        <v>0</v>
      </c>
      <c r="DJ27" s="21">
        <f t="shared" si="36"/>
        <v>0</v>
      </c>
      <c r="DK27" s="21">
        <f t="shared" si="36"/>
        <v>0</v>
      </c>
      <c r="DL27" s="21">
        <f t="shared" si="36"/>
        <v>0</v>
      </c>
      <c r="DM27" s="21">
        <f t="shared" si="36"/>
        <v>0</v>
      </c>
      <c r="DN27" s="21">
        <f t="shared" si="36"/>
        <v>0</v>
      </c>
      <c r="DO27" s="21">
        <f>SUM(DO8:DO26)</f>
        <v>0</v>
      </c>
      <c r="DP27" s="21">
        <f>SUM(DP8:DP26)</f>
        <v>0</v>
      </c>
      <c r="DR27" s="21">
        <f>SUM(DR8:DR26)</f>
        <v>0</v>
      </c>
      <c r="DS27" s="21">
        <f t="shared" ref="DS27:EE27" si="37">SUM(DS8:DS26)</f>
        <v>0</v>
      </c>
      <c r="DT27" s="21">
        <f t="shared" si="37"/>
        <v>0</v>
      </c>
      <c r="DU27" s="21">
        <f t="shared" si="37"/>
        <v>0</v>
      </c>
      <c r="DV27" s="21">
        <f t="shared" si="37"/>
        <v>0</v>
      </c>
      <c r="DW27" s="21">
        <f t="shared" si="37"/>
        <v>0</v>
      </c>
      <c r="DX27" s="21">
        <f t="shared" si="37"/>
        <v>0</v>
      </c>
      <c r="DY27" s="21">
        <f t="shared" si="37"/>
        <v>0</v>
      </c>
      <c r="DZ27" s="21">
        <f t="shared" si="37"/>
        <v>0</v>
      </c>
      <c r="EA27" s="21">
        <f t="shared" si="37"/>
        <v>0</v>
      </c>
      <c r="EB27" s="21">
        <f t="shared" si="37"/>
        <v>0</v>
      </c>
      <c r="EC27" s="21">
        <f t="shared" si="37"/>
        <v>0</v>
      </c>
      <c r="ED27" s="21">
        <f t="shared" si="37"/>
        <v>0</v>
      </c>
      <c r="EE27" s="21">
        <f t="shared" si="37"/>
        <v>0</v>
      </c>
      <c r="EF27" s="21">
        <f>SUM(EF8:EF26)</f>
        <v>0</v>
      </c>
      <c r="EG27" s="21">
        <f>SUM(EG8:EG26)</f>
        <v>0</v>
      </c>
      <c r="EI27" s="21">
        <f>SUM(EI8:EI26)</f>
        <v>0</v>
      </c>
      <c r="EJ27" s="21">
        <f t="shared" ref="EJ27:EV27" si="38">SUM(EJ8:EJ26)</f>
        <v>0</v>
      </c>
      <c r="EK27" s="21">
        <f t="shared" si="38"/>
        <v>0</v>
      </c>
      <c r="EL27" s="21">
        <f t="shared" si="38"/>
        <v>0</v>
      </c>
      <c r="EM27" s="21">
        <f t="shared" si="38"/>
        <v>0</v>
      </c>
      <c r="EN27" s="21">
        <f t="shared" si="38"/>
        <v>0</v>
      </c>
      <c r="EO27" s="21">
        <f t="shared" si="38"/>
        <v>0</v>
      </c>
      <c r="EP27" s="21">
        <f t="shared" si="38"/>
        <v>0</v>
      </c>
      <c r="EQ27" s="21">
        <f t="shared" si="38"/>
        <v>0</v>
      </c>
      <c r="ER27" s="21">
        <f t="shared" si="38"/>
        <v>0</v>
      </c>
      <c r="ES27" s="21">
        <f t="shared" si="38"/>
        <v>0</v>
      </c>
      <c r="ET27" s="21">
        <f t="shared" si="38"/>
        <v>0</v>
      </c>
      <c r="EU27" s="21">
        <f t="shared" si="38"/>
        <v>0</v>
      </c>
      <c r="EV27" s="21">
        <f t="shared" si="38"/>
        <v>0</v>
      </c>
      <c r="EW27" s="21">
        <f>SUM(EW8:EW26)</f>
        <v>0</v>
      </c>
      <c r="EX27" s="21">
        <f>SUM(EX8:EX26)</f>
        <v>0</v>
      </c>
      <c r="EZ27" s="21">
        <f>SUM(EZ8:EZ26)</f>
        <v>0</v>
      </c>
      <c r="FA27" s="21">
        <f t="shared" ref="FA27:FM27" si="39">SUM(FA8:FA26)</f>
        <v>0</v>
      </c>
      <c r="FB27" s="21">
        <f t="shared" si="39"/>
        <v>0</v>
      </c>
      <c r="FC27" s="21">
        <f t="shared" si="39"/>
        <v>0</v>
      </c>
      <c r="FD27" s="21">
        <f t="shared" si="39"/>
        <v>0</v>
      </c>
      <c r="FE27" s="21">
        <f t="shared" si="39"/>
        <v>0</v>
      </c>
      <c r="FF27" s="21">
        <f t="shared" si="39"/>
        <v>0</v>
      </c>
      <c r="FG27" s="21">
        <f t="shared" si="39"/>
        <v>0</v>
      </c>
      <c r="FH27" s="21">
        <f t="shared" si="39"/>
        <v>0</v>
      </c>
      <c r="FI27" s="21">
        <f t="shared" si="39"/>
        <v>0</v>
      </c>
      <c r="FJ27" s="21">
        <f t="shared" si="39"/>
        <v>0</v>
      </c>
      <c r="FK27" s="21">
        <f t="shared" si="39"/>
        <v>0</v>
      </c>
      <c r="FL27" s="21">
        <f t="shared" si="39"/>
        <v>0</v>
      </c>
      <c r="FM27" s="21">
        <f t="shared" si="39"/>
        <v>0</v>
      </c>
      <c r="FN27" s="21">
        <f>SUM(FN8:FN26)</f>
        <v>0</v>
      </c>
      <c r="FO27" s="21">
        <f>SUM(FO8:FO26)</f>
        <v>0</v>
      </c>
      <c r="FQ27" s="21">
        <f>SUM(FQ8:FQ26)</f>
        <v>0</v>
      </c>
      <c r="FR27" s="21">
        <f t="shared" ref="FR27:GD27" si="40">SUM(FR8:FR26)</f>
        <v>0</v>
      </c>
      <c r="FS27" s="21">
        <f t="shared" si="40"/>
        <v>0</v>
      </c>
      <c r="FT27" s="21">
        <f t="shared" si="40"/>
        <v>0</v>
      </c>
      <c r="FU27" s="21">
        <f t="shared" si="40"/>
        <v>0</v>
      </c>
      <c r="FV27" s="21">
        <f t="shared" si="40"/>
        <v>0</v>
      </c>
      <c r="FW27" s="21">
        <f t="shared" si="40"/>
        <v>0</v>
      </c>
      <c r="FX27" s="21">
        <f t="shared" si="40"/>
        <v>0</v>
      </c>
      <c r="FY27" s="21">
        <f t="shared" si="40"/>
        <v>0</v>
      </c>
      <c r="FZ27" s="21">
        <f t="shared" si="40"/>
        <v>0</v>
      </c>
      <c r="GA27" s="21">
        <f t="shared" si="40"/>
        <v>0</v>
      </c>
      <c r="GB27" s="21">
        <f t="shared" si="40"/>
        <v>0</v>
      </c>
      <c r="GC27" s="21">
        <f t="shared" si="40"/>
        <v>0</v>
      </c>
      <c r="GD27" s="21">
        <f t="shared" si="40"/>
        <v>0</v>
      </c>
      <c r="GE27" s="21">
        <f>SUM(GE8:GE26)</f>
        <v>0</v>
      </c>
      <c r="GF27" s="21">
        <f>SUM(GF8:GF26)</f>
        <v>0</v>
      </c>
      <c r="GH27" s="21">
        <f>SUM(GH8:GH26)</f>
        <v>0</v>
      </c>
      <c r="GI27" s="21">
        <f t="shared" ref="GI27:GU27" si="41">SUM(GI8:GI26)</f>
        <v>0</v>
      </c>
      <c r="GJ27" s="21">
        <f t="shared" si="41"/>
        <v>0</v>
      </c>
      <c r="GK27" s="21">
        <f t="shared" si="41"/>
        <v>0</v>
      </c>
      <c r="GL27" s="21">
        <f t="shared" si="41"/>
        <v>0</v>
      </c>
      <c r="GM27" s="21">
        <f t="shared" si="41"/>
        <v>0</v>
      </c>
      <c r="GN27" s="21">
        <f t="shared" si="41"/>
        <v>0</v>
      </c>
      <c r="GO27" s="21">
        <f t="shared" si="41"/>
        <v>0</v>
      </c>
      <c r="GP27" s="21">
        <f t="shared" si="41"/>
        <v>0</v>
      </c>
      <c r="GQ27" s="21">
        <f t="shared" si="41"/>
        <v>0</v>
      </c>
      <c r="GR27" s="21">
        <f t="shared" si="41"/>
        <v>0</v>
      </c>
      <c r="GS27" s="21">
        <f t="shared" si="41"/>
        <v>0</v>
      </c>
      <c r="GT27" s="21">
        <f t="shared" si="41"/>
        <v>0</v>
      </c>
      <c r="GU27" s="21">
        <f t="shared" si="41"/>
        <v>0</v>
      </c>
      <c r="GV27" s="21">
        <f>SUM(GV8:GV26)</f>
        <v>0</v>
      </c>
      <c r="GW27" s="21">
        <f>SUM(GW8:GW26)</f>
        <v>0</v>
      </c>
      <c r="GY27" s="21">
        <f>SUM(GY8:GY26)</f>
        <v>0</v>
      </c>
      <c r="GZ27" s="21">
        <f t="shared" ref="GZ27:HL27" si="42">SUM(GZ8:GZ26)</f>
        <v>0</v>
      </c>
      <c r="HA27" s="21">
        <f t="shared" si="42"/>
        <v>0</v>
      </c>
      <c r="HB27" s="21">
        <f t="shared" si="42"/>
        <v>0</v>
      </c>
      <c r="HC27" s="21">
        <f t="shared" si="42"/>
        <v>0</v>
      </c>
      <c r="HD27" s="21">
        <f t="shared" si="42"/>
        <v>0</v>
      </c>
      <c r="HE27" s="21">
        <f t="shared" si="42"/>
        <v>0</v>
      </c>
      <c r="HF27" s="21">
        <f t="shared" si="42"/>
        <v>0</v>
      </c>
      <c r="HG27" s="21">
        <f t="shared" si="42"/>
        <v>0</v>
      </c>
      <c r="HH27" s="21">
        <f t="shared" si="42"/>
        <v>0</v>
      </c>
      <c r="HI27" s="21">
        <f t="shared" si="42"/>
        <v>0</v>
      </c>
      <c r="HJ27" s="21">
        <f t="shared" si="42"/>
        <v>0</v>
      </c>
      <c r="HK27" s="21">
        <f t="shared" si="42"/>
        <v>0</v>
      </c>
      <c r="HL27" s="21">
        <f t="shared" si="42"/>
        <v>0</v>
      </c>
      <c r="HM27" s="21">
        <f>SUM(HM8:HM26)</f>
        <v>0</v>
      </c>
      <c r="HN27" s="21">
        <f>SUM(HN8:HN26)</f>
        <v>0</v>
      </c>
      <c r="HP27" s="21">
        <f>SUM(HP8:HP26)</f>
        <v>0</v>
      </c>
      <c r="HQ27" s="21">
        <f t="shared" ref="HQ27:IC27" si="43">SUM(HQ8:HQ26)</f>
        <v>0</v>
      </c>
      <c r="HR27" s="21">
        <f t="shared" si="43"/>
        <v>0</v>
      </c>
      <c r="HS27" s="21">
        <f t="shared" si="43"/>
        <v>0</v>
      </c>
      <c r="HT27" s="21">
        <f t="shared" si="43"/>
        <v>0</v>
      </c>
      <c r="HU27" s="21">
        <f t="shared" si="43"/>
        <v>0</v>
      </c>
      <c r="HV27" s="21">
        <f t="shared" si="43"/>
        <v>0</v>
      </c>
      <c r="HW27" s="21">
        <f t="shared" si="43"/>
        <v>0</v>
      </c>
      <c r="HX27" s="21">
        <f t="shared" si="43"/>
        <v>0</v>
      </c>
      <c r="HY27" s="21">
        <f t="shared" si="43"/>
        <v>0</v>
      </c>
      <c r="HZ27" s="21">
        <f t="shared" si="43"/>
        <v>0</v>
      </c>
      <c r="IA27" s="21">
        <f t="shared" si="43"/>
        <v>0</v>
      </c>
      <c r="IB27" s="21">
        <f t="shared" si="43"/>
        <v>0</v>
      </c>
      <c r="IC27" s="21">
        <f t="shared" si="43"/>
        <v>0</v>
      </c>
      <c r="ID27" s="21">
        <f>SUM(ID8:ID26)</f>
        <v>0</v>
      </c>
      <c r="IE27" s="21">
        <f>SUM(IE8:IE26)</f>
        <v>0</v>
      </c>
      <c r="IG27" s="21">
        <f>SUM(IG8:IG26)</f>
        <v>0</v>
      </c>
      <c r="IH27" s="21">
        <f t="shared" ref="IH27:IT27" si="44">SUM(IH8:IH26)</f>
        <v>0</v>
      </c>
      <c r="II27" s="21">
        <f t="shared" si="44"/>
        <v>0</v>
      </c>
      <c r="IJ27" s="21">
        <f t="shared" si="44"/>
        <v>0</v>
      </c>
      <c r="IK27" s="21">
        <f t="shared" si="44"/>
        <v>0</v>
      </c>
      <c r="IL27" s="21">
        <f t="shared" si="44"/>
        <v>0</v>
      </c>
      <c r="IM27" s="21">
        <f t="shared" si="44"/>
        <v>0</v>
      </c>
      <c r="IN27" s="21">
        <f t="shared" si="44"/>
        <v>0</v>
      </c>
      <c r="IO27" s="21">
        <f t="shared" si="44"/>
        <v>0</v>
      </c>
      <c r="IP27" s="21">
        <f t="shared" si="44"/>
        <v>0</v>
      </c>
      <c r="IQ27" s="21">
        <f t="shared" si="44"/>
        <v>0</v>
      </c>
      <c r="IR27" s="21">
        <f t="shared" si="44"/>
        <v>0</v>
      </c>
      <c r="IS27" s="21">
        <f t="shared" si="44"/>
        <v>0</v>
      </c>
      <c r="IT27" s="21">
        <f t="shared" si="44"/>
        <v>0</v>
      </c>
      <c r="IU27" s="21">
        <f>SUM(IU8:IU26)</f>
        <v>0</v>
      </c>
      <c r="IV27" s="21">
        <f>SUM(IV8:IV26)</f>
        <v>0</v>
      </c>
    </row>
    <row r="28" spans="1:256" s="23" customFormat="1" ht="10.199999999999999" x14ac:dyDescent="0.2">
      <c r="B28" s="46"/>
      <c r="S28" s="24"/>
      <c r="AJ28" s="24"/>
      <c r="BA28" s="24"/>
      <c r="BR28" s="24"/>
      <c r="CI28" s="24"/>
      <c r="CZ28" s="24"/>
      <c r="DQ28" s="24"/>
      <c r="EH28" s="24"/>
      <c r="EY28" s="24"/>
      <c r="FP28" s="24"/>
      <c r="GG28" s="24"/>
      <c r="GX28" s="24"/>
      <c r="HO28" s="24"/>
      <c r="IF28" s="24"/>
    </row>
    <row r="29" spans="1:256" s="23" customFormat="1" ht="10.199999999999999" x14ac:dyDescent="0.2">
      <c r="B29" s="46"/>
      <c r="S29" s="24"/>
      <c r="AJ29" s="24"/>
      <c r="BA29" s="24"/>
      <c r="BR29" s="24"/>
      <c r="CI29" s="24"/>
      <c r="CZ29" s="24"/>
      <c r="DQ29" s="24"/>
      <c r="EH29" s="24"/>
      <c r="EY29" s="24"/>
      <c r="FP29" s="24"/>
      <c r="GG29" s="24"/>
      <c r="GX29" s="24"/>
      <c r="HO29" s="24"/>
      <c r="IF29" s="24"/>
    </row>
    <row r="30" spans="1:256" s="23" customFormat="1" x14ac:dyDescent="0.25">
      <c r="A30" s="65" t="s">
        <v>49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AJ30" s="24"/>
      <c r="BA30" s="24"/>
      <c r="BR30" s="24"/>
      <c r="CI30" s="24"/>
      <c r="CZ30" s="24"/>
      <c r="DQ30" s="24"/>
      <c r="EH30" s="24"/>
      <c r="EY30" s="24"/>
      <c r="FP30" s="24"/>
      <c r="GG30" s="24"/>
      <c r="GX30" s="24"/>
      <c r="HO30" s="24"/>
      <c r="IF30" s="24"/>
    </row>
    <row r="31" spans="1:256" s="23" customFormat="1" x14ac:dyDescent="0.25">
      <c r="A31" s="26" t="s">
        <v>19</v>
      </c>
      <c r="B31" s="58" t="s">
        <v>73</v>
      </c>
      <c r="C31" s="13" t="s">
        <v>20</v>
      </c>
      <c r="D31" s="11" t="s">
        <v>21</v>
      </c>
      <c r="E31" s="11" t="s">
        <v>22</v>
      </c>
      <c r="F31" s="11" t="s">
        <v>23</v>
      </c>
      <c r="G31" s="11" t="s">
        <v>24</v>
      </c>
      <c r="H31" s="11" t="s">
        <v>25</v>
      </c>
      <c r="I31" s="11" t="s">
        <v>26</v>
      </c>
      <c r="J31" s="11" t="s">
        <v>27</v>
      </c>
      <c r="K31" s="11" t="s">
        <v>28</v>
      </c>
      <c r="L31" s="11" t="s">
        <v>29</v>
      </c>
      <c r="M31" s="11" t="s">
        <v>30</v>
      </c>
      <c r="N31" s="11" t="s">
        <v>31</v>
      </c>
      <c r="O31" s="11" t="s">
        <v>32</v>
      </c>
      <c r="P31" s="12" t="s">
        <v>33</v>
      </c>
      <c r="Q31" s="11" t="s">
        <v>34</v>
      </c>
      <c r="R31" s="27" t="s">
        <v>35</v>
      </c>
      <c r="S31" s="24"/>
      <c r="T31" s="28" t="s">
        <v>50</v>
      </c>
      <c r="U31" s="29" t="s">
        <v>51</v>
      </c>
      <c r="AJ31" s="24"/>
      <c r="BA31" s="24"/>
      <c r="BR31" s="24"/>
      <c r="CI31" s="24"/>
      <c r="CZ31" s="24"/>
      <c r="DQ31" s="24"/>
      <c r="EH31" s="24"/>
      <c r="EY31" s="24"/>
      <c r="FP31" s="24"/>
      <c r="GG31" s="24"/>
      <c r="GX31" s="24"/>
      <c r="HO31" s="24"/>
      <c r="IF31" s="24"/>
    </row>
    <row r="32" spans="1:256" s="23" customFormat="1" x14ac:dyDescent="0.25">
      <c r="A32" s="30" t="str">
        <f t="shared" ref="A32:B50" si="45">IF(A8="","",A8)</f>
        <v>ALI GOMEZ EQUIPO8</v>
      </c>
      <c r="B32" s="47">
        <f t="shared" si="45"/>
        <v>8</v>
      </c>
      <c r="C32" s="16">
        <f t="shared" ref="C32:C50" si="46">+C8+T8+AK8+BB8+BS8+CJ8+DA8+DR8+EI8+EZ8+FQ8+GH8+GY8+HP8+IG8</f>
        <v>4</v>
      </c>
      <c r="D32" s="16">
        <f t="shared" ref="D32:D50" si="47">+D8+U8+AL8+BC8+BT8+CK8+DB8+DS8+EJ8+FA8+FR8+GI8+GZ8+HQ8+IH8</f>
        <v>2</v>
      </c>
      <c r="E32" s="16">
        <f t="shared" ref="E32:E50" si="48">+E8+V8+AM8+BD8+BU8+CL8+DC8+DT8+EK8+FB8+FS8+GJ8+HA8+HR8+II8</f>
        <v>1</v>
      </c>
      <c r="F32" s="16">
        <f t="shared" ref="F32:F50" si="49">+F8+W8+AN8+BE8+BV8+CM8+DD8+DU8+EL8+FC8+FT8+GK8+HB8+HS8+IJ8</f>
        <v>0</v>
      </c>
      <c r="G32" s="16">
        <f t="shared" ref="G32:G50" si="50">+G8+X8+AO8+BF8+BW8+CN8+DE8+DV8+EM8+FD8+FU8+GL8+HC8+HT8+IK8</f>
        <v>0</v>
      </c>
      <c r="H32" s="16">
        <f t="shared" ref="H32:H50" si="51">+H8+Y8+AP8+BG8+BX8+CO8+DF8+DW8+EN8+FE8+FV8+GM8+HD8+HU8+IL8</f>
        <v>0</v>
      </c>
      <c r="I32" s="16">
        <f t="shared" ref="I32:I50" si="52">+I8+Z8+AQ8+BH8+BY8+CP8+DG8+DX8+EO8+FF8+FW8+GN8+HE8+HV8+IM8</f>
        <v>0</v>
      </c>
      <c r="J32" s="16">
        <f t="shared" ref="J32:J50" si="53">+J8+AA8+AR8+BI8+BZ8+CQ8+DH8+DY8+EP8+FG8+FX8+GO8+HF8+HW8+IN8</f>
        <v>0</v>
      </c>
      <c r="K32" s="16">
        <f t="shared" ref="K32:K50" si="54">+K8+AB8+AS8+BJ8+CA8+CR8+DI8+DZ8+EQ8+FH8+FY8+GP8+HG8+HX8+IO8</f>
        <v>0</v>
      </c>
      <c r="L32" s="16">
        <f t="shared" ref="L32:L50" si="55">+L8+AC8+AT8+BK8+CB8+CS8+DJ8+EA8+ER8+FI8+FZ8+GQ8+HH8+HY8+IP8</f>
        <v>1</v>
      </c>
      <c r="M32" s="16">
        <f t="shared" ref="M32:M50" si="56">+M8+AD8+AU8+BL8+CC8+CT8+DK8+EB8+ES8+FJ8+GA8+GR8+HI8+HZ8+IQ8</f>
        <v>0</v>
      </c>
      <c r="N32" s="16">
        <f t="shared" ref="N32:N50" si="57">+N8+AE8+AV8+BM8+CD8+CU8+DL8+EC8+ET8+FK8+GB8+GS8+HJ8+IA8+IR8</f>
        <v>0</v>
      </c>
      <c r="O32" s="16">
        <f t="shared" ref="O32:O50" si="58">+O8+AF8+AW8+BN8+CE8+CV8+DM8+ED8+EU8+FL8+GC8+GT8+HK8+IB8+IS8</f>
        <v>0</v>
      </c>
      <c r="P32" s="16">
        <f t="shared" ref="P32:P50" si="59">+P8+AG8+AX8+BO8+CF8+CW8+DN8+EE8+EV8+FM8+GD8+GU8+HL8+IC8+IT8</f>
        <v>0</v>
      </c>
      <c r="Q32" s="16">
        <f t="shared" ref="Q32:Q50" si="60">+Q8+AH8+AY8+BP8+CG8+CX8+DO8+EF8+EW8+FN8+GE8+GV8+HM8+ID8+IU8</f>
        <v>1</v>
      </c>
      <c r="R32" s="16">
        <f t="shared" ref="R32:R50" si="61">+R8+AI8+AZ8+BQ8+CH8+CY8+DP8+EG8+EX8+FO8+GF8+GW8+HN8+IE8+IV8</f>
        <v>4</v>
      </c>
      <c r="S32" s="24"/>
      <c r="T32" s="31">
        <f t="shared" ref="T32:T51" si="62">IF(C32=0,0,E32*1000/C32)</f>
        <v>250</v>
      </c>
      <c r="U32" s="31">
        <f t="shared" ref="U32:U51" si="63">IF(C32=0,0,Q32*1000/C32)</f>
        <v>250</v>
      </c>
      <c r="AJ32" s="24"/>
      <c r="BA32" s="24"/>
      <c r="BR32" s="24"/>
      <c r="CI32" s="24"/>
      <c r="CZ32" s="24"/>
      <c r="DQ32" s="24"/>
      <c r="EH32" s="24"/>
      <c r="EY32" s="24"/>
      <c r="FP32" s="24"/>
      <c r="GG32" s="24"/>
      <c r="GX32" s="24"/>
      <c r="HO32" s="24"/>
      <c r="IF32" s="24"/>
    </row>
    <row r="33" spans="1:240" s="23" customFormat="1" x14ac:dyDescent="0.25">
      <c r="A33" s="30" t="str">
        <f t="shared" si="45"/>
        <v>JOSEPH MENDOZA</v>
      </c>
      <c r="B33" s="47">
        <f t="shared" si="45"/>
        <v>99</v>
      </c>
      <c r="C33" s="16">
        <f t="shared" si="46"/>
        <v>3</v>
      </c>
      <c r="D33" s="16">
        <f t="shared" si="47"/>
        <v>1</v>
      </c>
      <c r="E33" s="16">
        <f t="shared" si="48"/>
        <v>1</v>
      </c>
      <c r="F33" s="16">
        <f t="shared" si="49"/>
        <v>1</v>
      </c>
      <c r="G33" s="16">
        <f t="shared" si="50"/>
        <v>0</v>
      </c>
      <c r="H33" s="16">
        <f t="shared" si="51"/>
        <v>0</v>
      </c>
      <c r="I33" s="16">
        <f t="shared" si="52"/>
        <v>0</v>
      </c>
      <c r="J33" s="16">
        <f t="shared" si="53"/>
        <v>0</v>
      </c>
      <c r="K33" s="16">
        <f t="shared" si="54"/>
        <v>1</v>
      </c>
      <c r="L33" s="16">
        <f t="shared" si="55"/>
        <v>0</v>
      </c>
      <c r="M33" s="16">
        <f t="shared" si="56"/>
        <v>0</v>
      </c>
      <c r="N33" s="16">
        <f t="shared" si="57"/>
        <v>0</v>
      </c>
      <c r="O33" s="16">
        <f t="shared" si="58"/>
        <v>0</v>
      </c>
      <c r="P33" s="16">
        <f t="shared" si="59"/>
        <v>0</v>
      </c>
      <c r="Q33" s="16">
        <f t="shared" si="60"/>
        <v>2</v>
      </c>
      <c r="R33" s="16">
        <f t="shared" si="61"/>
        <v>4</v>
      </c>
      <c r="S33" s="24"/>
      <c r="T33" s="31">
        <f t="shared" si="62"/>
        <v>333.33333333333331</v>
      </c>
      <c r="U33" s="31">
        <f t="shared" si="63"/>
        <v>666.66666666666663</v>
      </c>
      <c r="AJ33" s="24"/>
      <c r="BA33" s="24"/>
      <c r="BR33" s="24"/>
      <c r="CI33" s="24"/>
      <c r="CZ33" s="24"/>
      <c r="DQ33" s="24"/>
      <c r="EH33" s="24"/>
      <c r="EY33" s="24"/>
      <c r="FP33" s="24"/>
      <c r="GG33" s="24"/>
      <c r="GX33" s="24"/>
      <c r="HO33" s="24"/>
      <c r="IF33" s="24"/>
    </row>
    <row r="34" spans="1:240" s="23" customFormat="1" x14ac:dyDescent="0.25">
      <c r="A34" s="30" t="str">
        <f t="shared" si="45"/>
        <v>ABRAHAN RODRIGUZ</v>
      </c>
      <c r="B34" s="47" t="str">
        <f t="shared" si="45"/>
        <v/>
      </c>
      <c r="C34" s="16">
        <f t="shared" si="46"/>
        <v>4</v>
      </c>
      <c r="D34" s="16">
        <f t="shared" si="47"/>
        <v>0</v>
      </c>
      <c r="E34" s="16">
        <f t="shared" si="48"/>
        <v>1</v>
      </c>
      <c r="F34" s="16">
        <f t="shared" si="49"/>
        <v>0</v>
      </c>
      <c r="G34" s="16">
        <f t="shared" si="50"/>
        <v>0</v>
      </c>
      <c r="H34" s="16">
        <f t="shared" si="51"/>
        <v>0</v>
      </c>
      <c r="I34" s="16">
        <f t="shared" si="52"/>
        <v>0</v>
      </c>
      <c r="J34" s="16">
        <f t="shared" si="53"/>
        <v>0</v>
      </c>
      <c r="K34" s="16">
        <f t="shared" si="54"/>
        <v>0</v>
      </c>
      <c r="L34" s="16">
        <f t="shared" si="55"/>
        <v>0</v>
      </c>
      <c r="M34" s="16">
        <f t="shared" si="56"/>
        <v>0</v>
      </c>
      <c r="N34" s="16">
        <f t="shared" si="57"/>
        <v>0</v>
      </c>
      <c r="O34" s="16">
        <f t="shared" si="58"/>
        <v>0</v>
      </c>
      <c r="P34" s="16">
        <f t="shared" si="59"/>
        <v>0</v>
      </c>
      <c r="Q34" s="16">
        <f t="shared" si="60"/>
        <v>1</v>
      </c>
      <c r="R34" s="16">
        <f t="shared" si="61"/>
        <v>4</v>
      </c>
      <c r="S34" s="24"/>
      <c r="T34" s="31">
        <f t="shared" si="62"/>
        <v>250</v>
      </c>
      <c r="U34" s="31">
        <f t="shared" si="63"/>
        <v>250</v>
      </c>
      <c r="AJ34" s="24"/>
      <c r="BA34" s="24"/>
      <c r="BR34" s="24"/>
      <c r="CI34" s="24"/>
      <c r="CZ34" s="24"/>
      <c r="DQ34" s="24"/>
      <c r="EH34" s="24"/>
      <c r="EY34" s="24"/>
      <c r="FP34" s="24"/>
      <c r="GG34" s="24"/>
      <c r="GX34" s="24"/>
      <c r="HO34" s="24"/>
      <c r="IF34" s="24"/>
    </row>
    <row r="35" spans="1:240" s="23" customFormat="1" x14ac:dyDescent="0.25">
      <c r="A35" s="30" t="str">
        <f t="shared" si="45"/>
        <v>ALEXANDER HERNANDEZ</v>
      </c>
      <c r="B35" s="47" t="str">
        <f t="shared" si="45"/>
        <v/>
      </c>
      <c r="C35" s="16">
        <f t="shared" si="46"/>
        <v>0</v>
      </c>
      <c r="D35" s="16">
        <f t="shared" si="47"/>
        <v>1</v>
      </c>
      <c r="E35" s="16">
        <f t="shared" si="48"/>
        <v>0</v>
      </c>
      <c r="F35" s="16">
        <f t="shared" si="49"/>
        <v>0</v>
      </c>
      <c r="G35" s="16">
        <f t="shared" si="50"/>
        <v>0</v>
      </c>
      <c r="H35" s="16">
        <f t="shared" si="51"/>
        <v>0</v>
      </c>
      <c r="I35" s="16">
        <f t="shared" si="52"/>
        <v>1</v>
      </c>
      <c r="J35" s="16">
        <f t="shared" si="53"/>
        <v>0</v>
      </c>
      <c r="K35" s="16">
        <f t="shared" si="54"/>
        <v>3</v>
      </c>
      <c r="L35" s="16">
        <f t="shared" si="55"/>
        <v>3</v>
      </c>
      <c r="M35" s="16">
        <f t="shared" si="56"/>
        <v>0</v>
      </c>
      <c r="N35" s="16">
        <f t="shared" si="57"/>
        <v>0</v>
      </c>
      <c r="O35" s="16">
        <f t="shared" si="58"/>
        <v>0</v>
      </c>
      <c r="P35" s="16">
        <f t="shared" si="59"/>
        <v>0</v>
      </c>
      <c r="Q35" s="16">
        <f t="shared" si="60"/>
        <v>0</v>
      </c>
      <c r="R35" s="16">
        <f t="shared" si="61"/>
        <v>3</v>
      </c>
      <c r="S35" s="24"/>
      <c r="T35" s="31">
        <f t="shared" si="62"/>
        <v>0</v>
      </c>
      <c r="U35" s="31">
        <f t="shared" si="63"/>
        <v>0</v>
      </c>
      <c r="AJ35" s="24"/>
      <c r="BA35" s="24"/>
      <c r="BR35" s="24"/>
      <c r="CI35" s="24"/>
      <c r="CZ35" s="24"/>
      <c r="DQ35" s="24"/>
      <c r="EH35" s="24"/>
      <c r="EY35" s="24"/>
      <c r="FP35" s="24"/>
      <c r="GG35" s="24"/>
      <c r="GX35" s="24"/>
      <c r="HO35" s="24"/>
      <c r="IF35" s="24"/>
    </row>
    <row r="36" spans="1:240" s="23" customFormat="1" x14ac:dyDescent="0.25">
      <c r="A36" s="30" t="str">
        <f t="shared" si="45"/>
        <v>DANIEL LIENDO</v>
      </c>
      <c r="B36" s="47" t="str">
        <f t="shared" si="45"/>
        <v/>
      </c>
      <c r="C36" s="16">
        <f t="shared" si="46"/>
        <v>1</v>
      </c>
      <c r="D36" s="16">
        <f t="shared" si="47"/>
        <v>0</v>
      </c>
      <c r="E36" s="16">
        <f t="shared" si="48"/>
        <v>0</v>
      </c>
      <c r="F36" s="16">
        <f t="shared" si="49"/>
        <v>0</v>
      </c>
      <c r="G36" s="16">
        <f t="shared" si="50"/>
        <v>0</v>
      </c>
      <c r="H36" s="16">
        <f t="shared" si="51"/>
        <v>0</v>
      </c>
      <c r="I36" s="16">
        <f t="shared" si="52"/>
        <v>0</v>
      </c>
      <c r="J36" s="16">
        <f t="shared" si="53"/>
        <v>0</v>
      </c>
      <c r="K36" s="16">
        <f t="shared" si="54"/>
        <v>0</v>
      </c>
      <c r="L36" s="16">
        <f t="shared" si="55"/>
        <v>0</v>
      </c>
      <c r="M36" s="16">
        <f t="shared" si="56"/>
        <v>0</v>
      </c>
      <c r="N36" s="16">
        <f t="shared" si="57"/>
        <v>0</v>
      </c>
      <c r="O36" s="16">
        <f t="shared" si="58"/>
        <v>0</v>
      </c>
      <c r="P36" s="16">
        <f t="shared" si="59"/>
        <v>0</v>
      </c>
      <c r="Q36" s="16">
        <f t="shared" si="60"/>
        <v>0</v>
      </c>
      <c r="R36" s="16">
        <f t="shared" si="61"/>
        <v>1</v>
      </c>
      <c r="S36" s="24"/>
      <c r="T36" s="31">
        <f t="shared" si="62"/>
        <v>0</v>
      </c>
      <c r="U36" s="31">
        <f t="shared" si="63"/>
        <v>0</v>
      </c>
      <c r="AJ36" s="24"/>
      <c r="BA36" s="24"/>
      <c r="BR36" s="24"/>
      <c r="CI36" s="24"/>
      <c r="CZ36" s="24"/>
      <c r="DQ36" s="24"/>
      <c r="EH36" s="24"/>
      <c r="EY36" s="24"/>
      <c r="FP36" s="24"/>
      <c r="GG36" s="24"/>
      <c r="GX36" s="24"/>
      <c r="HO36" s="24"/>
      <c r="IF36" s="24"/>
    </row>
    <row r="37" spans="1:240" s="23" customFormat="1" x14ac:dyDescent="0.25">
      <c r="A37" s="30" t="str">
        <f t="shared" si="45"/>
        <v>SEBASTIAN MUJICA</v>
      </c>
      <c r="B37" s="47" t="str">
        <f t="shared" si="45"/>
        <v/>
      </c>
      <c r="C37" s="16">
        <f t="shared" si="46"/>
        <v>2</v>
      </c>
      <c r="D37" s="16">
        <f t="shared" si="47"/>
        <v>0</v>
      </c>
      <c r="E37" s="16">
        <f t="shared" si="48"/>
        <v>0</v>
      </c>
      <c r="F37" s="16">
        <f t="shared" si="49"/>
        <v>0</v>
      </c>
      <c r="G37" s="16">
        <f t="shared" si="50"/>
        <v>0</v>
      </c>
      <c r="H37" s="16">
        <f t="shared" si="51"/>
        <v>0</v>
      </c>
      <c r="I37" s="16">
        <f t="shared" si="52"/>
        <v>0</v>
      </c>
      <c r="J37" s="16">
        <f t="shared" si="53"/>
        <v>1</v>
      </c>
      <c r="K37" s="16">
        <f t="shared" si="54"/>
        <v>0</v>
      </c>
      <c r="L37" s="16">
        <f t="shared" si="55"/>
        <v>0</v>
      </c>
      <c r="M37" s="16">
        <f t="shared" si="56"/>
        <v>0</v>
      </c>
      <c r="N37" s="16">
        <f t="shared" si="57"/>
        <v>0</v>
      </c>
      <c r="O37" s="16">
        <f t="shared" si="58"/>
        <v>0</v>
      </c>
      <c r="P37" s="16">
        <f t="shared" si="59"/>
        <v>0</v>
      </c>
      <c r="Q37" s="16">
        <f t="shared" si="60"/>
        <v>0</v>
      </c>
      <c r="R37" s="16">
        <f t="shared" si="61"/>
        <v>2</v>
      </c>
      <c r="S37" s="24"/>
      <c r="T37" s="31">
        <f t="shared" si="62"/>
        <v>0</v>
      </c>
      <c r="U37" s="31">
        <f t="shared" si="63"/>
        <v>0</v>
      </c>
      <c r="AJ37" s="24"/>
      <c r="BA37" s="24"/>
      <c r="BR37" s="24"/>
      <c r="CI37" s="24"/>
      <c r="CZ37" s="24"/>
      <c r="DQ37" s="24"/>
      <c r="EH37" s="24"/>
      <c r="EY37" s="24"/>
      <c r="FP37" s="24"/>
      <c r="GG37" s="24"/>
      <c r="GX37" s="24"/>
      <c r="HO37" s="24"/>
      <c r="IF37" s="24"/>
    </row>
    <row r="38" spans="1:240" s="23" customFormat="1" x14ac:dyDescent="0.25">
      <c r="A38" s="30" t="str">
        <f t="shared" si="45"/>
        <v>ANGEL RODRIGUEZ</v>
      </c>
      <c r="B38" s="47" t="str">
        <f t="shared" si="45"/>
        <v/>
      </c>
      <c r="C38" s="16">
        <f t="shared" si="46"/>
        <v>3</v>
      </c>
      <c r="D38" s="16">
        <f t="shared" si="47"/>
        <v>2</v>
      </c>
      <c r="E38" s="16">
        <f t="shared" si="48"/>
        <v>2</v>
      </c>
      <c r="F38" s="16">
        <f t="shared" si="49"/>
        <v>0</v>
      </c>
      <c r="G38" s="16">
        <f t="shared" si="50"/>
        <v>0</v>
      </c>
      <c r="H38" s="16">
        <f t="shared" si="51"/>
        <v>0</v>
      </c>
      <c r="I38" s="16">
        <f t="shared" si="52"/>
        <v>1</v>
      </c>
      <c r="J38" s="16">
        <f t="shared" si="53"/>
        <v>1</v>
      </c>
      <c r="K38" s="16">
        <f t="shared" si="54"/>
        <v>0</v>
      </c>
      <c r="L38" s="16">
        <f t="shared" si="55"/>
        <v>1</v>
      </c>
      <c r="M38" s="16">
        <f t="shared" si="56"/>
        <v>0</v>
      </c>
      <c r="N38" s="16">
        <f t="shared" si="57"/>
        <v>0</v>
      </c>
      <c r="O38" s="16">
        <f t="shared" si="58"/>
        <v>0</v>
      </c>
      <c r="P38" s="16">
        <f t="shared" si="59"/>
        <v>0</v>
      </c>
      <c r="Q38" s="16">
        <f t="shared" si="60"/>
        <v>2</v>
      </c>
      <c r="R38" s="16">
        <f t="shared" si="61"/>
        <v>3</v>
      </c>
      <c r="S38" s="24"/>
      <c r="T38" s="31">
        <f t="shared" si="62"/>
        <v>666.66666666666663</v>
      </c>
      <c r="U38" s="31">
        <f t="shared" si="63"/>
        <v>666.66666666666663</v>
      </c>
      <c r="AJ38" s="24"/>
      <c r="BA38" s="24"/>
      <c r="BR38" s="24"/>
      <c r="CI38" s="24"/>
      <c r="CZ38" s="24"/>
      <c r="DQ38" s="24"/>
      <c r="EH38" s="24"/>
      <c r="EY38" s="24"/>
      <c r="FP38" s="24"/>
      <c r="GG38" s="24"/>
      <c r="GX38" s="24"/>
      <c r="HO38" s="24"/>
      <c r="IF38" s="24"/>
    </row>
    <row r="39" spans="1:240" s="23" customFormat="1" x14ac:dyDescent="0.25">
      <c r="A39" s="30" t="str">
        <f t="shared" si="45"/>
        <v>FRANCISCO MONASTERIO</v>
      </c>
      <c r="B39" s="47" t="str">
        <f t="shared" si="45"/>
        <v/>
      </c>
      <c r="C39" s="16">
        <f t="shared" si="46"/>
        <v>3</v>
      </c>
      <c r="D39" s="16">
        <f t="shared" si="47"/>
        <v>1</v>
      </c>
      <c r="E39" s="16">
        <f t="shared" si="48"/>
        <v>2</v>
      </c>
      <c r="F39" s="16">
        <f t="shared" si="49"/>
        <v>0</v>
      </c>
      <c r="G39" s="16">
        <f t="shared" si="50"/>
        <v>1</v>
      </c>
      <c r="H39" s="16">
        <f t="shared" si="51"/>
        <v>0</v>
      </c>
      <c r="I39" s="16">
        <f t="shared" si="52"/>
        <v>0</v>
      </c>
      <c r="J39" s="16">
        <f t="shared" si="53"/>
        <v>0</v>
      </c>
      <c r="K39" s="16">
        <f t="shared" si="54"/>
        <v>0</v>
      </c>
      <c r="L39" s="16">
        <f t="shared" si="55"/>
        <v>0</v>
      </c>
      <c r="M39" s="16">
        <f t="shared" si="56"/>
        <v>0</v>
      </c>
      <c r="N39" s="16">
        <f t="shared" si="57"/>
        <v>0</v>
      </c>
      <c r="O39" s="16">
        <f t="shared" si="58"/>
        <v>0</v>
      </c>
      <c r="P39" s="16">
        <f t="shared" si="59"/>
        <v>0</v>
      </c>
      <c r="Q39" s="16">
        <f t="shared" si="60"/>
        <v>4</v>
      </c>
      <c r="R39" s="16">
        <f t="shared" si="61"/>
        <v>3</v>
      </c>
      <c r="S39" s="24"/>
      <c r="T39" s="31">
        <f t="shared" si="62"/>
        <v>666.66666666666663</v>
      </c>
      <c r="U39" s="31">
        <f t="shared" si="63"/>
        <v>1333.3333333333333</v>
      </c>
      <c r="AJ39" s="24"/>
      <c r="BA39" s="24"/>
      <c r="BR39" s="24"/>
      <c r="CI39" s="24"/>
      <c r="CZ39" s="24"/>
      <c r="DQ39" s="24"/>
      <c r="EH39" s="24"/>
      <c r="EY39" s="24"/>
      <c r="FP39" s="24"/>
      <c r="GG39" s="24"/>
      <c r="GX39" s="24"/>
      <c r="HO39" s="24"/>
      <c r="IF39" s="24"/>
    </row>
    <row r="40" spans="1:240" s="23" customFormat="1" x14ac:dyDescent="0.25">
      <c r="A40" s="30" t="str">
        <f t="shared" si="45"/>
        <v>MARCOS MORALES</v>
      </c>
      <c r="B40" s="47" t="str">
        <f t="shared" si="45"/>
        <v/>
      </c>
      <c r="C40" s="16">
        <f t="shared" si="46"/>
        <v>3</v>
      </c>
      <c r="D40" s="16">
        <f t="shared" si="47"/>
        <v>2</v>
      </c>
      <c r="E40" s="16">
        <f t="shared" si="48"/>
        <v>2</v>
      </c>
      <c r="F40" s="16">
        <f t="shared" si="49"/>
        <v>1</v>
      </c>
      <c r="G40" s="16">
        <f t="shared" si="50"/>
        <v>0</v>
      </c>
      <c r="H40" s="16">
        <f t="shared" si="51"/>
        <v>0</v>
      </c>
      <c r="I40" s="16">
        <f t="shared" si="52"/>
        <v>2</v>
      </c>
      <c r="J40" s="16">
        <f t="shared" si="53"/>
        <v>1</v>
      </c>
      <c r="K40" s="16">
        <f t="shared" si="54"/>
        <v>0</v>
      </c>
      <c r="L40" s="16">
        <f t="shared" si="55"/>
        <v>3</v>
      </c>
      <c r="M40" s="16">
        <f t="shared" si="56"/>
        <v>0</v>
      </c>
      <c r="N40" s="16">
        <f t="shared" si="57"/>
        <v>0</v>
      </c>
      <c r="O40" s="16">
        <f t="shared" si="58"/>
        <v>0</v>
      </c>
      <c r="P40" s="16">
        <f t="shared" si="59"/>
        <v>0</v>
      </c>
      <c r="Q40" s="16">
        <f t="shared" si="60"/>
        <v>3</v>
      </c>
      <c r="R40" s="16">
        <f t="shared" si="61"/>
        <v>3</v>
      </c>
      <c r="S40" s="24"/>
      <c r="T40" s="31">
        <f t="shared" si="62"/>
        <v>666.66666666666663</v>
      </c>
      <c r="U40" s="31">
        <f t="shared" si="63"/>
        <v>1000</v>
      </c>
      <c r="AJ40" s="24"/>
      <c r="BA40" s="24"/>
      <c r="BR40" s="24"/>
      <c r="CI40" s="24"/>
      <c r="CZ40" s="24"/>
      <c r="DQ40" s="24"/>
      <c r="EH40" s="24"/>
      <c r="EY40" s="24"/>
      <c r="FP40" s="24"/>
      <c r="GG40" s="24"/>
      <c r="GX40" s="24"/>
      <c r="HO40" s="24"/>
      <c r="IF40" s="24"/>
    </row>
    <row r="41" spans="1:240" s="23" customFormat="1" x14ac:dyDescent="0.25">
      <c r="A41" s="30" t="str">
        <f t="shared" si="45"/>
        <v>ADRIAN MURILLO</v>
      </c>
      <c r="B41" s="47" t="str">
        <f t="shared" si="45"/>
        <v/>
      </c>
      <c r="C41" s="16">
        <f t="shared" si="46"/>
        <v>2</v>
      </c>
      <c r="D41" s="16">
        <f t="shared" si="47"/>
        <v>1</v>
      </c>
      <c r="E41" s="16">
        <f t="shared" si="48"/>
        <v>0</v>
      </c>
      <c r="F41" s="16">
        <f t="shared" si="49"/>
        <v>0</v>
      </c>
      <c r="G41" s="16">
        <f t="shared" si="50"/>
        <v>0</v>
      </c>
      <c r="H41" s="16">
        <f t="shared" si="51"/>
        <v>0</v>
      </c>
      <c r="I41" s="16">
        <f t="shared" si="52"/>
        <v>0</v>
      </c>
      <c r="J41" s="16">
        <f t="shared" si="53"/>
        <v>1</v>
      </c>
      <c r="K41" s="16">
        <f t="shared" si="54"/>
        <v>1</v>
      </c>
      <c r="L41" s="16">
        <f t="shared" si="55"/>
        <v>1</v>
      </c>
      <c r="M41" s="16">
        <f t="shared" si="56"/>
        <v>0</v>
      </c>
      <c r="N41" s="16">
        <f t="shared" si="57"/>
        <v>0</v>
      </c>
      <c r="O41" s="16">
        <f t="shared" si="58"/>
        <v>0</v>
      </c>
      <c r="P41" s="16">
        <f t="shared" si="59"/>
        <v>0</v>
      </c>
      <c r="Q41" s="16">
        <f t="shared" si="60"/>
        <v>0</v>
      </c>
      <c r="R41" s="16">
        <f t="shared" si="61"/>
        <v>3</v>
      </c>
      <c r="S41" s="24"/>
      <c r="T41" s="31">
        <f t="shared" si="62"/>
        <v>0</v>
      </c>
      <c r="U41" s="31">
        <f t="shared" si="63"/>
        <v>0</v>
      </c>
      <c r="AJ41" s="24"/>
      <c r="BA41" s="24"/>
      <c r="BR41" s="24"/>
      <c r="CI41" s="24"/>
      <c r="CZ41" s="24"/>
      <c r="DQ41" s="24"/>
      <c r="EH41" s="24"/>
      <c r="EY41" s="24"/>
      <c r="FP41" s="24"/>
      <c r="GG41" s="24"/>
      <c r="GX41" s="24"/>
      <c r="HO41" s="24"/>
      <c r="IF41" s="24"/>
    </row>
    <row r="42" spans="1:240" s="23" customFormat="1" x14ac:dyDescent="0.25">
      <c r="A42" s="30" t="str">
        <f t="shared" si="45"/>
        <v>DARGREYBER RODRIGUEZ</v>
      </c>
      <c r="B42" s="47" t="str">
        <f t="shared" si="45"/>
        <v/>
      </c>
      <c r="C42" s="16">
        <f t="shared" si="46"/>
        <v>0</v>
      </c>
      <c r="D42" s="16">
        <f t="shared" si="47"/>
        <v>0</v>
      </c>
      <c r="E42" s="16">
        <f t="shared" si="48"/>
        <v>0</v>
      </c>
      <c r="F42" s="16">
        <f t="shared" si="49"/>
        <v>0</v>
      </c>
      <c r="G42" s="16">
        <f t="shared" si="50"/>
        <v>0</v>
      </c>
      <c r="H42" s="16">
        <f t="shared" si="51"/>
        <v>0</v>
      </c>
      <c r="I42" s="16">
        <f t="shared" si="52"/>
        <v>0</v>
      </c>
      <c r="J42" s="16">
        <f t="shared" si="53"/>
        <v>0</v>
      </c>
      <c r="K42" s="16">
        <f t="shared" si="54"/>
        <v>0</v>
      </c>
      <c r="L42" s="16">
        <f t="shared" si="55"/>
        <v>0</v>
      </c>
      <c r="M42" s="16">
        <f t="shared" si="56"/>
        <v>0</v>
      </c>
      <c r="N42" s="16">
        <f t="shared" si="57"/>
        <v>0</v>
      </c>
      <c r="O42" s="16">
        <f t="shared" si="58"/>
        <v>0</v>
      </c>
      <c r="P42" s="16">
        <f t="shared" si="59"/>
        <v>0</v>
      </c>
      <c r="Q42" s="16">
        <f t="shared" si="60"/>
        <v>0</v>
      </c>
      <c r="R42" s="16">
        <f t="shared" si="61"/>
        <v>0</v>
      </c>
      <c r="S42" s="24"/>
      <c r="T42" s="31">
        <f t="shared" si="62"/>
        <v>0</v>
      </c>
      <c r="U42" s="31">
        <f t="shared" si="63"/>
        <v>0</v>
      </c>
      <c r="AJ42" s="24"/>
      <c r="BA42" s="24"/>
      <c r="BR42" s="24"/>
      <c r="CI42" s="24"/>
      <c r="CZ42" s="24"/>
      <c r="DQ42" s="24"/>
      <c r="EH42" s="24"/>
      <c r="EY42" s="24"/>
      <c r="FP42" s="24"/>
      <c r="GG42" s="24"/>
      <c r="GX42" s="24"/>
      <c r="HO42" s="24"/>
      <c r="IF42" s="24"/>
    </row>
    <row r="43" spans="1:240" s="23" customFormat="1" x14ac:dyDescent="0.25">
      <c r="A43" s="30" t="str">
        <f t="shared" si="45"/>
        <v>JENSE FLORES</v>
      </c>
      <c r="B43" s="47" t="str">
        <f t="shared" si="45"/>
        <v/>
      </c>
      <c r="C43" s="16">
        <f t="shared" si="46"/>
        <v>0</v>
      </c>
      <c r="D43" s="16">
        <f t="shared" si="47"/>
        <v>0</v>
      </c>
      <c r="E43" s="16">
        <f t="shared" si="48"/>
        <v>0</v>
      </c>
      <c r="F43" s="16">
        <f t="shared" si="49"/>
        <v>0</v>
      </c>
      <c r="G43" s="16">
        <f t="shared" si="50"/>
        <v>0</v>
      </c>
      <c r="H43" s="16">
        <f t="shared" si="51"/>
        <v>0</v>
      </c>
      <c r="I43" s="16">
        <f t="shared" si="52"/>
        <v>0</v>
      </c>
      <c r="J43" s="16">
        <f t="shared" si="53"/>
        <v>0</v>
      </c>
      <c r="K43" s="16">
        <f t="shared" si="54"/>
        <v>0</v>
      </c>
      <c r="L43" s="16">
        <f t="shared" si="55"/>
        <v>0</v>
      </c>
      <c r="M43" s="16">
        <f t="shared" si="56"/>
        <v>0</v>
      </c>
      <c r="N43" s="16">
        <f t="shared" si="57"/>
        <v>0</v>
      </c>
      <c r="O43" s="16">
        <f t="shared" si="58"/>
        <v>0</v>
      </c>
      <c r="P43" s="16">
        <f t="shared" si="59"/>
        <v>0</v>
      </c>
      <c r="Q43" s="16">
        <f t="shared" si="60"/>
        <v>0</v>
      </c>
      <c r="R43" s="16">
        <f t="shared" si="61"/>
        <v>0</v>
      </c>
      <c r="S43" s="24"/>
      <c r="T43" s="31">
        <f t="shared" si="62"/>
        <v>0</v>
      </c>
      <c r="U43" s="31">
        <f t="shared" si="63"/>
        <v>0</v>
      </c>
      <c r="AJ43" s="24"/>
      <c r="BA43" s="24"/>
      <c r="BR43" s="24"/>
      <c r="CI43" s="24"/>
      <c r="CZ43" s="24"/>
      <c r="DQ43" s="24"/>
      <c r="EH43" s="24"/>
      <c r="EY43" s="24"/>
      <c r="FP43" s="24"/>
      <c r="GG43" s="24"/>
      <c r="GX43" s="24"/>
      <c r="HO43" s="24"/>
      <c r="IF43" s="24"/>
    </row>
    <row r="44" spans="1:240" s="23" customFormat="1" x14ac:dyDescent="0.25">
      <c r="A44" s="30" t="str">
        <f t="shared" si="45"/>
        <v/>
      </c>
      <c r="B44" s="47" t="str">
        <f t="shared" si="45"/>
        <v/>
      </c>
      <c r="C44" s="16">
        <f t="shared" si="46"/>
        <v>0</v>
      </c>
      <c r="D44" s="16">
        <f t="shared" si="47"/>
        <v>0</v>
      </c>
      <c r="E44" s="16">
        <f t="shared" si="48"/>
        <v>0</v>
      </c>
      <c r="F44" s="16">
        <f t="shared" si="49"/>
        <v>0</v>
      </c>
      <c r="G44" s="16">
        <f t="shared" si="50"/>
        <v>0</v>
      </c>
      <c r="H44" s="16">
        <f t="shared" si="51"/>
        <v>0</v>
      </c>
      <c r="I44" s="16">
        <f t="shared" si="52"/>
        <v>0</v>
      </c>
      <c r="J44" s="16">
        <f t="shared" si="53"/>
        <v>0</v>
      </c>
      <c r="K44" s="16">
        <f t="shared" si="54"/>
        <v>0</v>
      </c>
      <c r="L44" s="16">
        <f t="shared" si="55"/>
        <v>0</v>
      </c>
      <c r="M44" s="16">
        <f t="shared" si="56"/>
        <v>0</v>
      </c>
      <c r="N44" s="16">
        <f t="shared" si="57"/>
        <v>0</v>
      </c>
      <c r="O44" s="16">
        <f t="shared" si="58"/>
        <v>0</v>
      </c>
      <c r="P44" s="16">
        <f t="shared" si="59"/>
        <v>0</v>
      </c>
      <c r="Q44" s="16">
        <f t="shared" si="60"/>
        <v>0</v>
      </c>
      <c r="R44" s="16">
        <f t="shared" si="61"/>
        <v>0</v>
      </c>
      <c r="S44" s="24"/>
      <c r="T44" s="31">
        <f t="shared" si="62"/>
        <v>0</v>
      </c>
      <c r="U44" s="31">
        <f t="shared" si="63"/>
        <v>0</v>
      </c>
      <c r="AJ44" s="24"/>
      <c r="BA44" s="24"/>
      <c r="BR44" s="24"/>
      <c r="CI44" s="24"/>
      <c r="CZ44" s="24"/>
      <c r="DQ44" s="24"/>
      <c r="EH44" s="24"/>
      <c r="EY44" s="24"/>
      <c r="FP44" s="24"/>
      <c r="GG44" s="24"/>
      <c r="GX44" s="24"/>
      <c r="HO44" s="24"/>
      <c r="IF44" s="24"/>
    </row>
    <row r="45" spans="1:240" s="23" customFormat="1" x14ac:dyDescent="0.25">
      <c r="A45" s="30" t="str">
        <f t="shared" si="45"/>
        <v/>
      </c>
      <c r="B45" s="47" t="str">
        <f t="shared" si="45"/>
        <v/>
      </c>
      <c r="C45" s="16">
        <f t="shared" si="46"/>
        <v>0</v>
      </c>
      <c r="D45" s="16">
        <f t="shared" si="47"/>
        <v>0</v>
      </c>
      <c r="E45" s="16">
        <f t="shared" si="48"/>
        <v>0</v>
      </c>
      <c r="F45" s="16">
        <f t="shared" si="49"/>
        <v>0</v>
      </c>
      <c r="G45" s="16">
        <f t="shared" si="50"/>
        <v>0</v>
      </c>
      <c r="H45" s="16">
        <f t="shared" si="51"/>
        <v>0</v>
      </c>
      <c r="I45" s="16">
        <f t="shared" si="52"/>
        <v>0</v>
      </c>
      <c r="J45" s="16">
        <f t="shared" si="53"/>
        <v>0</v>
      </c>
      <c r="K45" s="16">
        <f t="shared" si="54"/>
        <v>0</v>
      </c>
      <c r="L45" s="16">
        <f t="shared" si="55"/>
        <v>0</v>
      </c>
      <c r="M45" s="16">
        <f t="shared" si="56"/>
        <v>0</v>
      </c>
      <c r="N45" s="16">
        <f t="shared" si="57"/>
        <v>0</v>
      </c>
      <c r="O45" s="16">
        <f t="shared" si="58"/>
        <v>0</v>
      </c>
      <c r="P45" s="16">
        <f t="shared" si="59"/>
        <v>0</v>
      </c>
      <c r="Q45" s="16">
        <f t="shared" si="60"/>
        <v>0</v>
      </c>
      <c r="R45" s="16">
        <f t="shared" si="61"/>
        <v>0</v>
      </c>
      <c r="S45" s="24"/>
      <c r="T45" s="31">
        <f t="shared" si="62"/>
        <v>0</v>
      </c>
      <c r="U45" s="31">
        <f t="shared" si="63"/>
        <v>0</v>
      </c>
      <c r="AJ45" s="24"/>
      <c r="BA45" s="24"/>
      <c r="BR45" s="24"/>
      <c r="CI45" s="24"/>
      <c r="CZ45" s="24"/>
      <c r="DQ45" s="24"/>
      <c r="EH45" s="24"/>
      <c r="EY45" s="24"/>
      <c r="FP45" s="24"/>
      <c r="GG45" s="24"/>
      <c r="GX45" s="24"/>
      <c r="HO45" s="24"/>
      <c r="IF45" s="24"/>
    </row>
    <row r="46" spans="1:240" s="23" customFormat="1" x14ac:dyDescent="0.25">
      <c r="A46" s="30" t="str">
        <f t="shared" si="45"/>
        <v/>
      </c>
      <c r="B46" s="47" t="str">
        <f t="shared" si="45"/>
        <v/>
      </c>
      <c r="C46" s="16">
        <f t="shared" si="46"/>
        <v>0</v>
      </c>
      <c r="D46" s="16">
        <f t="shared" si="47"/>
        <v>0</v>
      </c>
      <c r="E46" s="16">
        <f t="shared" si="48"/>
        <v>0</v>
      </c>
      <c r="F46" s="16">
        <f t="shared" si="49"/>
        <v>0</v>
      </c>
      <c r="G46" s="16">
        <f t="shared" si="50"/>
        <v>0</v>
      </c>
      <c r="H46" s="16">
        <f t="shared" si="51"/>
        <v>0</v>
      </c>
      <c r="I46" s="16">
        <f t="shared" si="52"/>
        <v>0</v>
      </c>
      <c r="J46" s="16">
        <f t="shared" si="53"/>
        <v>0</v>
      </c>
      <c r="K46" s="16">
        <f t="shared" si="54"/>
        <v>0</v>
      </c>
      <c r="L46" s="16">
        <f t="shared" si="55"/>
        <v>0</v>
      </c>
      <c r="M46" s="16">
        <f t="shared" si="56"/>
        <v>0</v>
      </c>
      <c r="N46" s="16">
        <f t="shared" si="57"/>
        <v>0</v>
      </c>
      <c r="O46" s="16">
        <f t="shared" si="58"/>
        <v>0</v>
      </c>
      <c r="P46" s="16">
        <f t="shared" si="59"/>
        <v>0</v>
      </c>
      <c r="Q46" s="16">
        <f t="shared" si="60"/>
        <v>0</v>
      </c>
      <c r="R46" s="16">
        <f t="shared" si="61"/>
        <v>0</v>
      </c>
      <c r="S46" s="24"/>
      <c r="T46" s="31">
        <f t="shared" si="62"/>
        <v>0</v>
      </c>
      <c r="U46" s="31">
        <f t="shared" si="63"/>
        <v>0</v>
      </c>
      <c r="AJ46" s="24"/>
      <c r="BA46" s="24"/>
      <c r="BR46" s="24"/>
      <c r="CI46" s="24"/>
      <c r="CZ46" s="24"/>
      <c r="DQ46" s="24"/>
      <c r="EH46" s="24"/>
      <c r="EY46" s="24"/>
      <c r="FP46" s="24"/>
      <c r="GG46" s="24"/>
      <c r="GX46" s="24"/>
      <c r="HO46" s="24"/>
      <c r="IF46" s="24"/>
    </row>
    <row r="47" spans="1:240" x14ac:dyDescent="0.25">
      <c r="A47" s="30" t="str">
        <f t="shared" si="45"/>
        <v/>
      </c>
      <c r="B47" s="47" t="str">
        <f t="shared" si="45"/>
        <v/>
      </c>
      <c r="C47" s="16">
        <f t="shared" si="46"/>
        <v>0</v>
      </c>
      <c r="D47" s="16">
        <f t="shared" si="47"/>
        <v>0</v>
      </c>
      <c r="E47" s="16">
        <f t="shared" si="48"/>
        <v>0</v>
      </c>
      <c r="F47" s="16">
        <f t="shared" si="49"/>
        <v>0</v>
      </c>
      <c r="G47" s="16">
        <f t="shared" si="50"/>
        <v>0</v>
      </c>
      <c r="H47" s="16">
        <f t="shared" si="51"/>
        <v>0</v>
      </c>
      <c r="I47" s="16">
        <f t="shared" si="52"/>
        <v>0</v>
      </c>
      <c r="J47" s="16">
        <f t="shared" si="53"/>
        <v>0</v>
      </c>
      <c r="K47" s="16">
        <f t="shared" si="54"/>
        <v>0</v>
      </c>
      <c r="L47" s="16">
        <f t="shared" si="55"/>
        <v>0</v>
      </c>
      <c r="M47" s="16">
        <f t="shared" si="56"/>
        <v>0</v>
      </c>
      <c r="N47" s="16">
        <f t="shared" si="57"/>
        <v>0</v>
      </c>
      <c r="O47" s="16">
        <f t="shared" si="58"/>
        <v>0</v>
      </c>
      <c r="P47" s="16">
        <f t="shared" si="59"/>
        <v>0</v>
      </c>
      <c r="Q47" s="16">
        <f t="shared" si="60"/>
        <v>0</v>
      </c>
      <c r="R47" s="16">
        <f t="shared" si="61"/>
        <v>0</v>
      </c>
      <c r="S47" s="2"/>
      <c r="T47" s="31">
        <f t="shared" si="62"/>
        <v>0</v>
      </c>
      <c r="U47" s="31">
        <f t="shared" si="63"/>
        <v>0</v>
      </c>
      <c r="AJ47" s="2"/>
      <c r="BA47" s="2"/>
      <c r="BR47" s="2"/>
      <c r="CI47" s="2"/>
      <c r="CZ47" s="2"/>
      <c r="DQ47" s="2"/>
      <c r="EH47" s="2"/>
      <c r="EY47" s="2"/>
      <c r="FP47" s="2"/>
      <c r="GG47" s="2"/>
      <c r="GX47" s="2"/>
      <c r="HO47" s="2"/>
      <c r="IF47" s="2"/>
    </row>
    <row r="48" spans="1:240" x14ac:dyDescent="0.25">
      <c r="A48" s="30" t="str">
        <f t="shared" si="45"/>
        <v/>
      </c>
      <c r="B48" s="47" t="str">
        <f t="shared" si="45"/>
        <v/>
      </c>
      <c r="C48" s="16">
        <f t="shared" si="46"/>
        <v>0</v>
      </c>
      <c r="D48" s="16">
        <f t="shared" si="47"/>
        <v>0</v>
      </c>
      <c r="E48" s="16">
        <f t="shared" si="48"/>
        <v>0</v>
      </c>
      <c r="F48" s="16">
        <f t="shared" si="49"/>
        <v>0</v>
      </c>
      <c r="G48" s="16">
        <f t="shared" si="50"/>
        <v>0</v>
      </c>
      <c r="H48" s="16">
        <f t="shared" si="51"/>
        <v>0</v>
      </c>
      <c r="I48" s="16">
        <f t="shared" si="52"/>
        <v>0</v>
      </c>
      <c r="J48" s="16">
        <f t="shared" si="53"/>
        <v>0</v>
      </c>
      <c r="K48" s="16">
        <f t="shared" si="54"/>
        <v>0</v>
      </c>
      <c r="L48" s="16">
        <f t="shared" si="55"/>
        <v>0</v>
      </c>
      <c r="M48" s="16">
        <f t="shared" si="56"/>
        <v>0</v>
      </c>
      <c r="N48" s="16">
        <f t="shared" si="57"/>
        <v>0</v>
      </c>
      <c r="O48" s="16">
        <f t="shared" si="58"/>
        <v>0</v>
      </c>
      <c r="P48" s="16">
        <f t="shared" si="59"/>
        <v>0</v>
      </c>
      <c r="Q48" s="16">
        <f t="shared" si="60"/>
        <v>0</v>
      </c>
      <c r="R48" s="16">
        <f t="shared" si="61"/>
        <v>0</v>
      </c>
      <c r="S48" s="2"/>
      <c r="T48" s="31">
        <f t="shared" si="62"/>
        <v>0</v>
      </c>
      <c r="U48" s="31">
        <f t="shared" si="63"/>
        <v>0</v>
      </c>
      <c r="AJ48" s="2"/>
      <c r="BA48" s="2"/>
      <c r="BR48" s="2"/>
      <c r="CI48" s="2"/>
      <c r="CZ48" s="2"/>
      <c r="DQ48" s="2"/>
      <c r="EH48" s="2"/>
      <c r="EY48" s="2"/>
      <c r="FP48" s="2"/>
      <c r="GG48" s="2"/>
      <c r="GX48" s="2"/>
      <c r="HO48" s="2"/>
      <c r="IF48" s="2"/>
    </row>
    <row r="49" spans="1:240" x14ac:dyDescent="0.25">
      <c r="A49" s="30" t="str">
        <f t="shared" si="45"/>
        <v/>
      </c>
      <c r="B49" s="47" t="str">
        <f t="shared" si="45"/>
        <v/>
      </c>
      <c r="C49" s="16">
        <f t="shared" si="46"/>
        <v>0</v>
      </c>
      <c r="D49" s="16">
        <f t="shared" si="47"/>
        <v>0</v>
      </c>
      <c r="E49" s="16">
        <f t="shared" si="48"/>
        <v>0</v>
      </c>
      <c r="F49" s="16">
        <f t="shared" si="49"/>
        <v>0</v>
      </c>
      <c r="G49" s="16">
        <f t="shared" si="50"/>
        <v>0</v>
      </c>
      <c r="H49" s="16">
        <f t="shared" si="51"/>
        <v>0</v>
      </c>
      <c r="I49" s="16">
        <f t="shared" si="52"/>
        <v>0</v>
      </c>
      <c r="J49" s="16">
        <f t="shared" si="53"/>
        <v>0</v>
      </c>
      <c r="K49" s="16">
        <f t="shared" si="54"/>
        <v>0</v>
      </c>
      <c r="L49" s="16">
        <f t="shared" si="55"/>
        <v>0</v>
      </c>
      <c r="M49" s="16">
        <f t="shared" si="56"/>
        <v>0</v>
      </c>
      <c r="N49" s="16">
        <f t="shared" si="57"/>
        <v>0</v>
      </c>
      <c r="O49" s="16">
        <f t="shared" si="58"/>
        <v>0</v>
      </c>
      <c r="P49" s="16">
        <f t="shared" si="59"/>
        <v>0</v>
      </c>
      <c r="Q49" s="16">
        <f t="shared" si="60"/>
        <v>0</v>
      </c>
      <c r="R49" s="16">
        <f t="shared" si="61"/>
        <v>0</v>
      </c>
      <c r="S49" s="2"/>
      <c r="T49" s="31">
        <f t="shared" si="62"/>
        <v>0</v>
      </c>
      <c r="U49" s="31">
        <f t="shared" si="63"/>
        <v>0</v>
      </c>
      <c r="AJ49" s="2"/>
      <c r="BA49" s="2"/>
      <c r="BR49" s="2"/>
      <c r="CI49" s="2"/>
      <c r="CZ49" s="2"/>
      <c r="DQ49" s="2"/>
      <c r="EH49" s="2"/>
      <c r="EY49" s="2"/>
      <c r="FP49" s="2"/>
      <c r="GG49" s="2"/>
      <c r="GX49" s="2"/>
      <c r="HO49" s="2"/>
      <c r="IF49" s="2"/>
    </row>
    <row r="50" spans="1:240" ht="13.8" thickBot="1" x14ac:dyDescent="0.3">
      <c r="A50" s="30" t="str">
        <f t="shared" si="45"/>
        <v/>
      </c>
      <c r="B50" s="47" t="str">
        <f t="shared" si="45"/>
        <v/>
      </c>
      <c r="C50" s="16">
        <f t="shared" si="46"/>
        <v>0</v>
      </c>
      <c r="D50" s="16">
        <f t="shared" si="47"/>
        <v>0</v>
      </c>
      <c r="E50" s="16">
        <f t="shared" si="48"/>
        <v>0</v>
      </c>
      <c r="F50" s="16">
        <f t="shared" si="49"/>
        <v>0</v>
      </c>
      <c r="G50" s="16">
        <f t="shared" si="50"/>
        <v>0</v>
      </c>
      <c r="H50" s="16">
        <f t="shared" si="51"/>
        <v>0</v>
      </c>
      <c r="I50" s="16">
        <f t="shared" si="52"/>
        <v>0</v>
      </c>
      <c r="J50" s="16">
        <f t="shared" si="53"/>
        <v>0</v>
      </c>
      <c r="K50" s="16">
        <f t="shared" si="54"/>
        <v>0</v>
      </c>
      <c r="L50" s="16">
        <f t="shared" si="55"/>
        <v>0</v>
      </c>
      <c r="M50" s="16">
        <f t="shared" si="56"/>
        <v>0</v>
      </c>
      <c r="N50" s="16">
        <f t="shared" si="57"/>
        <v>0</v>
      </c>
      <c r="O50" s="16">
        <f t="shared" si="58"/>
        <v>0</v>
      </c>
      <c r="P50" s="16">
        <f t="shared" si="59"/>
        <v>0</v>
      </c>
      <c r="Q50" s="16">
        <f t="shared" si="60"/>
        <v>0</v>
      </c>
      <c r="R50" s="16">
        <f t="shared" si="61"/>
        <v>0</v>
      </c>
      <c r="S50" s="2"/>
      <c r="T50" s="31">
        <f t="shared" si="62"/>
        <v>0</v>
      </c>
      <c r="U50" s="31">
        <f t="shared" si="63"/>
        <v>0</v>
      </c>
      <c r="AJ50" s="2"/>
      <c r="BA50" s="2"/>
      <c r="BR50" s="2"/>
      <c r="CI50" s="2"/>
      <c r="CZ50" s="2"/>
      <c r="DQ50" s="2"/>
      <c r="EH50" s="2"/>
      <c r="EY50" s="2"/>
      <c r="FP50" s="2"/>
      <c r="GG50" s="2"/>
      <c r="GX50" s="2"/>
      <c r="HO50" s="2"/>
      <c r="IF50" s="2"/>
    </row>
    <row r="51" spans="1:240" ht="13.8" thickBot="1" x14ac:dyDescent="0.3">
      <c r="A51" s="62" t="s">
        <v>48</v>
      </c>
      <c r="B51" s="63"/>
      <c r="C51" s="32">
        <f>SUM(C32:C50)</f>
        <v>25</v>
      </c>
      <c r="D51" s="32">
        <f t="shared" ref="D51:P51" si="64">SUM(D32:D50)</f>
        <v>10</v>
      </c>
      <c r="E51" s="32">
        <f t="shared" si="64"/>
        <v>9</v>
      </c>
      <c r="F51" s="32">
        <f t="shared" si="64"/>
        <v>2</v>
      </c>
      <c r="G51" s="32">
        <f t="shared" si="64"/>
        <v>1</v>
      </c>
      <c r="H51" s="32">
        <f t="shared" si="64"/>
        <v>0</v>
      </c>
      <c r="I51" s="32">
        <f t="shared" si="64"/>
        <v>4</v>
      </c>
      <c r="J51" s="32">
        <f t="shared" si="64"/>
        <v>4</v>
      </c>
      <c r="K51" s="32">
        <f t="shared" si="64"/>
        <v>5</v>
      </c>
      <c r="L51" s="32">
        <f t="shared" si="64"/>
        <v>9</v>
      </c>
      <c r="M51" s="32">
        <f t="shared" si="64"/>
        <v>0</v>
      </c>
      <c r="N51" s="32">
        <f t="shared" si="64"/>
        <v>0</v>
      </c>
      <c r="O51" s="32">
        <f t="shared" si="64"/>
        <v>0</v>
      </c>
      <c r="P51" s="32">
        <f t="shared" si="64"/>
        <v>0</v>
      </c>
      <c r="Q51" s="32">
        <f>SUM(Q32:Q50)</f>
        <v>13</v>
      </c>
      <c r="R51" s="32">
        <f>SUM(R32:R50)</f>
        <v>30</v>
      </c>
      <c r="S51" s="33"/>
      <c r="T51" s="34">
        <f t="shared" si="62"/>
        <v>360</v>
      </c>
      <c r="U51" s="35">
        <f t="shared" si="63"/>
        <v>520</v>
      </c>
      <c r="AJ51" s="2"/>
      <c r="BA51" s="2"/>
      <c r="BR51" s="2"/>
      <c r="CI51" s="2"/>
      <c r="CZ51" s="2"/>
      <c r="DQ51" s="2"/>
      <c r="EH51" s="2"/>
      <c r="EY51" s="2"/>
      <c r="FP51" s="2"/>
      <c r="GG51" s="2"/>
      <c r="GX51" s="2"/>
      <c r="HO51" s="2"/>
      <c r="IF51" s="2"/>
    </row>
    <row r="52" spans="1:240" x14ac:dyDescent="0.25">
      <c r="S52" s="2"/>
      <c r="AJ52" s="2"/>
      <c r="BA52" s="2"/>
      <c r="BR52" s="2"/>
      <c r="CI52" s="2"/>
      <c r="CZ52" s="2"/>
      <c r="DQ52" s="2"/>
      <c r="EH52" s="2"/>
      <c r="EY52" s="2"/>
      <c r="FP52" s="2"/>
      <c r="GG52" s="2"/>
      <c r="GX52" s="2"/>
      <c r="HO52" s="2"/>
      <c r="IF52" s="2"/>
    </row>
    <row r="53" spans="1:240" x14ac:dyDescent="0.25">
      <c r="S53" s="2"/>
      <c r="AJ53" s="2"/>
      <c r="BA53" s="2"/>
      <c r="BR53" s="2"/>
      <c r="CI53" s="2"/>
      <c r="CZ53" s="2"/>
      <c r="DQ53" s="2"/>
      <c r="EH53" s="2"/>
      <c r="EY53" s="2"/>
      <c r="FP53" s="2"/>
      <c r="GG53" s="2"/>
      <c r="GX53" s="2"/>
      <c r="HO53" s="2"/>
      <c r="IF53" s="2"/>
    </row>
    <row r="54" spans="1:240" x14ac:dyDescent="0.25">
      <c r="S54" s="2"/>
      <c r="AJ54" s="2"/>
      <c r="BA54" s="2"/>
      <c r="BR54" s="2"/>
      <c r="CI54" s="2"/>
      <c r="CZ54" s="2"/>
      <c r="DQ54" s="2"/>
      <c r="EH54" s="2"/>
      <c r="EY54" s="2"/>
      <c r="FP54" s="2"/>
      <c r="GG54" s="2"/>
      <c r="GX54" s="2"/>
      <c r="HO54" s="2"/>
      <c r="IF54" s="2"/>
    </row>
    <row r="55" spans="1:240" x14ac:dyDescent="0.25">
      <c r="S55" s="2"/>
      <c r="AJ55" s="2"/>
      <c r="BA55" s="2"/>
      <c r="BR55" s="2"/>
      <c r="CI55" s="2"/>
      <c r="CZ55" s="2"/>
      <c r="DQ55" s="2"/>
      <c r="EH55" s="2"/>
      <c r="EY55" s="2"/>
      <c r="FP55" s="2"/>
      <c r="GG55" s="2"/>
      <c r="GX55" s="2"/>
      <c r="HO55" s="2"/>
      <c r="IF55" s="2"/>
    </row>
    <row r="56" spans="1:240" x14ac:dyDescent="0.25">
      <c r="S56" s="2"/>
      <c r="AJ56" s="2"/>
      <c r="BA56" s="2"/>
      <c r="BR56" s="2"/>
      <c r="CI56" s="2"/>
      <c r="CZ56" s="2"/>
      <c r="DQ56" s="2"/>
      <c r="EH56" s="2"/>
      <c r="EY56" s="2"/>
      <c r="FP56" s="2"/>
      <c r="GG56" s="2"/>
      <c r="GX56" s="2"/>
      <c r="HO56" s="2"/>
      <c r="IF56" s="2"/>
    </row>
    <row r="57" spans="1:240" x14ac:dyDescent="0.25">
      <c r="S57" s="2"/>
      <c r="AJ57" s="2"/>
      <c r="BA57" s="2"/>
      <c r="BR57" s="2"/>
      <c r="CI57" s="2"/>
      <c r="CZ57" s="2"/>
      <c r="DQ57" s="2"/>
      <c r="EH57" s="2"/>
      <c r="EY57" s="2"/>
      <c r="FP57" s="2"/>
      <c r="GG57" s="2"/>
      <c r="GX57" s="2"/>
      <c r="HO57" s="2"/>
      <c r="IF57" s="2"/>
    </row>
    <row r="58" spans="1:240" x14ac:dyDescent="0.25">
      <c r="S58" s="2"/>
      <c r="AJ58" s="2"/>
      <c r="BA58" s="2"/>
      <c r="BR58" s="2"/>
      <c r="CI58" s="2"/>
      <c r="CZ58" s="2"/>
      <c r="DQ58" s="2"/>
      <c r="EH58" s="2"/>
      <c r="EY58" s="2"/>
      <c r="FP58" s="2"/>
      <c r="GG58" s="2"/>
      <c r="GX58" s="2"/>
      <c r="HO58" s="2"/>
      <c r="IF58" s="2"/>
    </row>
    <row r="59" spans="1:240" x14ac:dyDescent="0.25">
      <c r="S59" s="2"/>
      <c r="AJ59" s="2"/>
      <c r="BA59" s="2"/>
      <c r="BR59" s="2"/>
      <c r="CI59" s="2"/>
      <c r="CZ59" s="2"/>
      <c r="DQ59" s="2"/>
      <c r="EH59" s="2"/>
      <c r="EY59" s="2"/>
      <c r="FP59" s="2"/>
      <c r="GG59" s="2"/>
      <c r="GX59" s="2"/>
      <c r="HO59" s="2"/>
      <c r="IF59" s="2"/>
    </row>
    <row r="60" spans="1:240" x14ac:dyDescent="0.25">
      <c r="S60" s="2"/>
      <c r="AJ60" s="2"/>
      <c r="BA60" s="2"/>
      <c r="BR60" s="2"/>
      <c r="CI60" s="2"/>
      <c r="CZ60" s="2"/>
      <c r="DQ60" s="2"/>
      <c r="EH60" s="2"/>
      <c r="EY60" s="2"/>
      <c r="FP60" s="2"/>
      <c r="GG60" s="2"/>
      <c r="GX60" s="2"/>
      <c r="HO60" s="2"/>
      <c r="IF60" s="2"/>
    </row>
    <row r="61" spans="1:240" x14ac:dyDescent="0.25">
      <c r="S61" s="2"/>
      <c r="AJ61" s="2"/>
      <c r="BA61" s="2"/>
      <c r="BR61" s="2"/>
      <c r="CI61" s="2"/>
      <c r="CZ61" s="2"/>
      <c r="DQ61" s="2"/>
      <c r="EH61" s="2"/>
      <c r="EY61" s="2"/>
      <c r="FP61" s="2"/>
      <c r="GG61" s="2"/>
      <c r="GX61" s="2"/>
      <c r="HO61" s="2"/>
      <c r="IF61" s="2"/>
    </row>
    <row r="62" spans="1:240" x14ac:dyDescent="0.25">
      <c r="S62" s="2"/>
      <c r="AJ62" s="2"/>
      <c r="BA62" s="2"/>
      <c r="BR62" s="2"/>
      <c r="CI62" s="2"/>
      <c r="CZ62" s="2"/>
      <c r="DQ62" s="2"/>
      <c r="EH62" s="2"/>
      <c r="EY62" s="2"/>
      <c r="FP62" s="2"/>
      <c r="GG62" s="2"/>
      <c r="GX62" s="2"/>
      <c r="HO62" s="2"/>
      <c r="IF62" s="2"/>
    </row>
    <row r="63" spans="1:240" x14ac:dyDescent="0.25">
      <c r="S63" s="2"/>
      <c r="AJ63" s="2"/>
      <c r="BA63" s="2"/>
      <c r="BR63" s="2"/>
      <c r="CI63" s="2"/>
      <c r="CZ63" s="2"/>
      <c r="DQ63" s="2"/>
      <c r="EH63" s="2"/>
      <c r="EY63" s="2"/>
      <c r="FP63" s="2"/>
      <c r="GG63" s="2"/>
      <c r="GX63" s="2"/>
      <c r="HO63" s="2"/>
      <c r="IF63" s="2"/>
    </row>
    <row r="64" spans="1:240" x14ac:dyDescent="0.25">
      <c r="S64" s="2"/>
      <c r="AJ64" s="2"/>
      <c r="BA64" s="2"/>
      <c r="BR64" s="2"/>
      <c r="CI64" s="2"/>
      <c r="CZ64" s="2"/>
      <c r="DQ64" s="2"/>
      <c r="EH64" s="2"/>
      <c r="EY64" s="2"/>
      <c r="FP64" s="2"/>
      <c r="GG64" s="2"/>
      <c r="GX64" s="2"/>
      <c r="HO64" s="2"/>
      <c r="IF64" s="2"/>
    </row>
    <row r="65" spans="19:240" x14ac:dyDescent="0.25">
      <c r="S65" s="2"/>
      <c r="AJ65" s="2"/>
      <c r="BA65" s="2"/>
      <c r="BR65" s="2"/>
      <c r="CI65" s="2"/>
      <c r="CZ65" s="2"/>
      <c r="DQ65" s="2"/>
      <c r="EH65" s="2"/>
      <c r="EY65" s="2"/>
      <c r="FP65" s="2"/>
      <c r="GG65" s="2"/>
      <c r="GX65" s="2"/>
      <c r="HO65" s="2"/>
      <c r="IF65" s="2"/>
    </row>
    <row r="66" spans="19:240" x14ac:dyDescent="0.25">
      <c r="S66" s="2"/>
      <c r="AJ66" s="2"/>
      <c r="BA66" s="2"/>
      <c r="BR66" s="2"/>
      <c r="CI66" s="2"/>
      <c r="CZ66" s="2"/>
      <c r="DQ66" s="2"/>
      <c r="EH66" s="2"/>
      <c r="EY66" s="2"/>
      <c r="FP66" s="2"/>
      <c r="GG66" s="2"/>
      <c r="GX66" s="2"/>
      <c r="HO66" s="2"/>
      <c r="IF66" s="2"/>
    </row>
    <row r="67" spans="19:240" x14ac:dyDescent="0.25">
      <c r="S67" s="2"/>
      <c r="AJ67" s="2"/>
      <c r="BA67" s="2"/>
      <c r="BR67" s="2"/>
      <c r="CI67" s="2"/>
      <c r="CZ67" s="2"/>
      <c r="DQ67" s="2"/>
      <c r="EH67" s="2"/>
      <c r="EY67" s="2"/>
      <c r="FP67" s="2"/>
      <c r="GG67" s="2"/>
      <c r="GX67" s="2"/>
      <c r="HO67" s="2"/>
      <c r="IF67" s="2"/>
    </row>
  </sheetData>
  <sheetProtection selectLockedCells="1" selectUnlockedCells="1"/>
  <mergeCells count="18">
    <mergeCell ref="GH6:GW6"/>
    <mergeCell ref="GY6:HN6"/>
    <mergeCell ref="HP6:IE6"/>
    <mergeCell ref="A27:B27"/>
    <mergeCell ref="A30:U30"/>
    <mergeCell ref="A51:B51"/>
    <mergeCell ref="CJ6:CY6"/>
    <mergeCell ref="DA6:DP6"/>
    <mergeCell ref="DR6:EG6"/>
    <mergeCell ref="EI6:EX6"/>
    <mergeCell ref="EZ6:FO6"/>
    <mergeCell ref="FQ6:GF6"/>
    <mergeCell ref="A6:B6"/>
    <mergeCell ref="C6:R6"/>
    <mergeCell ref="T6:AI6"/>
    <mergeCell ref="AK6:AZ6"/>
    <mergeCell ref="BB6:BQ6"/>
    <mergeCell ref="BS6:CH6"/>
  </mergeCell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 alignWithMargins="0"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75BEA-5858-4CCB-AF92-C839A2EC2939}">
  <dimension ref="A1:IV53"/>
  <sheetViews>
    <sheetView topLeftCell="A9" zoomScale="180" zoomScaleNormal="180" workbookViewId="0">
      <pane xSplit="1" topLeftCell="B1" activePane="topRight" state="frozen"/>
      <selection pane="topRight" activeCell="A22" sqref="A22"/>
    </sheetView>
  </sheetViews>
  <sheetFormatPr baseColWidth="10" defaultColWidth="4.33203125" defaultRowHeight="13.2" x14ac:dyDescent="0.25"/>
  <cols>
    <col min="1" max="1" width="25.6640625" customWidth="1"/>
    <col min="2" max="2" width="3" style="46" customWidth="1"/>
    <col min="19" max="19" width="1" customWidth="1"/>
    <col min="36" max="36" width="1.5546875" customWidth="1"/>
    <col min="53" max="53" width="1.33203125" customWidth="1"/>
    <col min="70" max="70" width="1.33203125" customWidth="1"/>
    <col min="87" max="87" width="1.109375" customWidth="1"/>
    <col min="104" max="104" width="1.44140625" customWidth="1"/>
    <col min="121" max="121" width="1.5546875" customWidth="1"/>
    <col min="138" max="138" width="1.44140625" customWidth="1"/>
    <col min="155" max="155" width="1.33203125" customWidth="1"/>
    <col min="172" max="172" width="1.33203125" customWidth="1"/>
    <col min="189" max="189" width="1.33203125" customWidth="1"/>
    <col min="206" max="206" width="1.109375" customWidth="1"/>
    <col min="223" max="223" width="1.33203125" customWidth="1"/>
    <col min="240" max="240" width="1.44140625" customWidth="1"/>
  </cols>
  <sheetData>
    <row r="1" spans="1:256" x14ac:dyDescent="0.25">
      <c r="A1" s="1" t="s">
        <v>0</v>
      </c>
      <c r="B1" s="56"/>
      <c r="C1" s="1"/>
      <c r="D1" s="1"/>
      <c r="E1" s="1"/>
      <c r="F1" s="1"/>
      <c r="G1" s="1"/>
      <c r="S1" s="2"/>
      <c r="AJ1" s="2"/>
      <c r="BA1" s="2"/>
      <c r="BR1" s="2"/>
      <c r="CI1" s="2"/>
      <c r="CZ1" s="2"/>
      <c r="DQ1" s="2"/>
      <c r="EH1" s="2"/>
      <c r="EY1" s="2"/>
      <c r="FP1" s="2"/>
      <c r="GG1" s="2"/>
      <c r="GX1" s="2"/>
      <c r="HO1" s="2"/>
      <c r="IF1" s="2"/>
    </row>
    <row r="2" spans="1:256" x14ac:dyDescent="0.25">
      <c r="A2" s="1" t="s">
        <v>1</v>
      </c>
      <c r="B2" s="56"/>
      <c r="C2" s="1"/>
      <c r="D2" s="1"/>
      <c r="E2" s="1"/>
      <c r="F2" s="1"/>
      <c r="G2" s="1"/>
      <c r="S2" s="2"/>
      <c r="AJ2" s="2"/>
      <c r="BA2" s="2"/>
      <c r="BR2" s="2"/>
      <c r="CI2" s="2"/>
      <c r="CZ2" s="2"/>
      <c r="DQ2" s="2"/>
      <c r="EH2" s="2"/>
      <c r="EY2" s="2"/>
      <c r="FP2" s="2"/>
      <c r="GG2" s="2"/>
      <c r="GX2" s="2"/>
      <c r="HO2" s="2"/>
      <c r="IF2" s="2"/>
    </row>
    <row r="3" spans="1:256" x14ac:dyDescent="0.25">
      <c r="B3" s="57" t="s">
        <v>2</v>
      </c>
      <c r="C3" s="3"/>
      <c r="D3" s="3"/>
      <c r="E3" s="3"/>
      <c r="F3" s="3"/>
      <c r="G3" s="3"/>
      <c r="S3" s="2"/>
      <c r="AJ3" s="2"/>
      <c r="BA3" s="2"/>
      <c r="BR3" s="2"/>
      <c r="CI3" s="2"/>
      <c r="CZ3" s="2"/>
      <c r="DQ3" s="2"/>
      <c r="EH3" s="2"/>
      <c r="EY3" s="2"/>
      <c r="FP3" s="2"/>
      <c r="GG3" s="2"/>
      <c r="GX3" s="2"/>
      <c r="HO3" s="2"/>
      <c r="IF3" s="2"/>
    </row>
    <row r="4" spans="1:256" x14ac:dyDescent="0.25">
      <c r="B4" s="46" t="s">
        <v>3</v>
      </c>
      <c r="S4" s="2"/>
      <c r="AJ4" s="2"/>
      <c r="BA4" s="2"/>
      <c r="BR4" s="2"/>
      <c r="CI4" s="2"/>
      <c r="CZ4" s="2"/>
      <c r="DQ4" s="2"/>
      <c r="EH4" s="2"/>
      <c r="EY4" s="2"/>
      <c r="FP4" s="2"/>
      <c r="GG4" s="2"/>
      <c r="GX4" s="2"/>
      <c r="HO4" s="2"/>
      <c r="IF4" s="2"/>
    </row>
    <row r="5" spans="1:256" ht="13.8" thickBot="1" x14ac:dyDescent="0.3">
      <c r="C5" t="s">
        <v>4</v>
      </c>
      <c r="F5" t="s">
        <v>5</v>
      </c>
      <c r="S5" s="2"/>
      <c r="U5" s="4" t="s">
        <v>6</v>
      </c>
      <c r="Y5" s="4" t="s">
        <v>7</v>
      </c>
      <c r="AC5">
        <v>2</v>
      </c>
      <c r="AJ5" s="2"/>
      <c r="AL5" s="4" t="s">
        <v>6</v>
      </c>
      <c r="AP5" t="s">
        <v>8</v>
      </c>
      <c r="AT5">
        <v>3</v>
      </c>
      <c r="BA5" s="2"/>
      <c r="BC5" s="4" t="s">
        <v>6</v>
      </c>
      <c r="BG5" t="s">
        <v>9</v>
      </c>
      <c r="BK5">
        <v>4</v>
      </c>
      <c r="BR5" s="2"/>
      <c r="BT5" s="4" t="s">
        <v>6</v>
      </c>
      <c r="BY5" t="s">
        <v>10</v>
      </c>
      <c r="CB5">
        <v>5</v>
      </c>
      <c r="CI5" s="2"/>
      <c r="CK5" s="4" t="s">
        <v>6</v>
      </c>
      <c r="CO5" t="s">
        <v>11</v>
      </c>
      <c r="CS5">
        <v>6</v>
      </c>
      <c r="CZ5" s="2"/>
      <c r="DB5" s="4" t="s">
        <v>6</v>
      </c>
      <c r="DF5" t="s">
        <v>12</v>
      </c>
      <c r="DJ5">
        <v>7</v>
      </c>
      <c r="DQ5" s="2"/>
      <c r="DS5" s="4" t="s">
        <v>6</v>
      </c>
      <c r="DW5" t="s">
        <v>13</v>
      </c>
      <c r="EA5">
        <v>8</v>
      </c>
      <c r="EH5" s="2"/>
      <c r="EJ5" s="4" t="s">
        <v>6</v>
      </c>
      <c r="EN5" t="s">
        <v>14</v>
      </c>
      <c r="ER5">
        <v>9</v>
      </c>
      <c r="EY5" s="2"/>
      <c r="FA5" s="4" t="s">
        <v>6</v>
      </c>
      <c r="FE5" t="s">
        <v>15</v>
      </c>
      <c r="FI5">
        <v>10</v>
      </c>
      <c r="FP5" s="2"/>
      <c r="FR5" s="4" t="s">
        <v>6</v>
      </c>
      <c r="FV5" t="s">
        <v>15</v>
      </c>
      <c r="FZ5">
        <v>11</v>
      </c>
      <c r="GG5" s="2"/>
      <c r="GI5" s="4" t="s">
        <v>6</v>
      </c>
      <c r="GM5" t="s">
        <v>16</v>
      </c>
      <c r="GQ5">
        <v>12</v>
      </c>
      <c r="GX5" s="2"/>
      <c r="GZ5" s="4" t="s">
        <v>6</v>
      </c>
      <c r="HH5">
        <v>13</v>
      </c>
      <c r="HO5" s="2"/>
      <c r="HQ5" s="4" t="s">
        <v>6</v>
      </c>
      <c r="HY5">
        <v>14</v>
      </c>
      <c r="IF5" s="2"/>
      <c r="IH5" s="4" t="s">
        <v>6</v>
      </c>
      <c r="IP5">
        <v>15</v>
      </c>
    </row>
    <row r="6" spans="1:256" s="5" customFormat="1" x14ac:dyDescent="0.25">
      <c r="A6" s="60" t="s">
        <v>61</v>
      </c>
      <c r="B6" s="60"/>
      <c r="C6" s="61" t="s">
        <v>17</v>
      </c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2"/>
      <c r="T6" s="59" t="s">
        <v>17</v>
      </c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2"/>
      <c r="AK6" s="59" t="s">
        <v>17</v>
      </c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2"/>
      <c r="BB6" s="59" t="s">
        <v>17</v>
      </c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59"/>
      <c r="BN6" s="59"/>
      <c r="BO6" s="59"/>
      <c r="BP6" s="59"/>
      <c r="BQ6" s="59"/>
      <c r="BR6" s="2"/>
      <c r="BS6" s="59" t="s">
        <v>17</v>
      </c>
      <c r="BT6" s="59"/>
      <c r="BU6" s="59"/>
      <c r="BV6" s="59"/>
      <c r="BW6" s="59"/>
      <c r="BX6" s="59"/>
      <c r="BY6" s="59"/>
      <c r="BZ6" s="59"/>
      <c r="CA6" s="59"/>
      <c r="CB6" s="59"/>
      <c r="CC6" s="59"/>
      <c r="CD6" s="59"/>
      <c r="CE6" s="59"/>
      <c r="CF6" s="59"/>
      <c r="CG6" s="59"/>
      <c r="CH6" s="59"/>
      <c r="CI6" s="2"/>
      <c r="CJ6" s="59" t="s">
        <v>17</v>
      </c>
      <c r="CK6" s="59"/>
      <c r="CL6" s="59"/>
      <c r="CM6" s="59"/>
      <c r="CN6" s="59"/>
      <c r="CO6" s="59"/>
      <c r="CP6" s="59"/>
      <c r="CQ6" s="59"/>
      <c r="CR6" s="59"/>
      <c r="CS6" s="59"/>
      <c r="CT6" s="59"/>
      <c r="CU6" s="59"/>
      <c r="CV6" s="59"/>
      <c r="CW6" s="59"/>
      <c r="CX6" s="59"/>
      <c r="CY6" s="59"/>
      <c r="CZ6" s="2"/>
      <c r="DA6" s="59" t="s">
        <v>17</v>
      </c>
      <c r="DB6" s="59"/>
      <c r="DC6" s="59"/>
      <c r="DD6" s="59"/>
      <c r="DE6" s="59"/>
      <c r="DF6" s="59"/>
      <c r="DG6" s="59"/>
      <c r="DH6" s="59"/>
      <c r="DI6" s="59"/>
      <c r="DJ6" s="59"/>
      <c r="DK6" s="59"/>
      <c r="DL6" s="59"/>
      <c r="DM6" s="59"/>
      <c r="DN6" s="59"/>
      <c r="DO6" s="59"/>
      <c r="DP6" s="59"/>
      <c r="DQ6" s="2"/>
      <c r="DR6" s="59" t="s">
        <v>17</v>
      </c>
      <c r="DS6" s="59"/>
      <c r="DT6" s="59"/>
      <c r="DU6" s="59"/>
      <c r="DV6" s="59"/>
      <c r="DW6" s="59"/>
      <c r="DX6" s="59"/>
      <c r="DY6" s="59"/>
      <c r="DZ6" s="59"/>
      <c r="EA6" s="59"/>
      <c r="EB6" s="59"/>
      <c r="EC6" s="59"/>
      <c r="ED6" s="59"/>
      <c r="EE6" s="59"/>
      <c r="EF6" s="59"/>
      <c r="EG6" s="59"/>
      <c r="EH6" s="2"/>
      <c r="EI6" s="59" t="s">
        <v>17</v>
      </c>
      <c r="EJ6" s="59"/>
      <c r="EK6" s="59"/>
      <c r="EL6" s="59"/>
      <c r="EM6" s="59"/>
      <c r="EN6" s="59"/>
      <c r="EO6" s="59"/>
      <c r="EP6" s="59"/>
      <c r="EQ6" s="59"/>
      <c r="ER6" s="59"/>
      <c r="ES6" s="59"/>
      <c r="ET6" s="59"/>
      <c r="EU6" s="59"/>
      <c r="EV6" s="59"/>
      <c r="EW6" s="59"/>
      <c r="EX6" s="59"/>
      <c r="EY6" s="2"/>
      <c r="EZ6" s="59" t="s">
        <v>17</v>
      </c>
      <c r="FA6" s="59"/>
      <c r="FB6" s="59"/>
      <c r="FC6" s="59"/>
      <c r="FD6" s="59"/>
      <c r="FE6" s="59"/>
      <c r="FF6" s="59"/>
      <c r="FG6" s="59"/>
      <c r="FH6" s="59"/>
      <c r="FI6" s="59"/>
      <c r="FJ6" s="59"/>
      <c r="FK6" s="59"/>
      <c r="FL6" s="59"/>
      <c r="FM6" s="59"/>
      <c r="FN6" s="59"/>
      <c r="FO6" s="59"/>
      <c r="FP6" s="2"/>
      <c r="FQ6" s="59" t="s">
        <v>17</v>
      </c>
      <c r="FR6" s="59"/>
      <c r="FS6" s="59"/>
      <c r="FT6" s="59"/>
      <c r="FU6" s="59"/>
      <c r="FV6" s="59"/>
      <c r="FW6" s="59"/>
      <c r="FX6" s="59"/>
      <c r="FY6" s="59"/>
      <c r="FZ6" s="59"/>
      <c r="GA6" s="59"/>
      <c r="GB6" s="59"/>
      <c r="GC6" s="59"/>
      <c r="GD6" s="59"/>
      <c r="GE6" s="59"/>
      <c r="GF6" s="59"/>
      <c r="GG6" s="2"/>
      <c r="GH6" s="59" t="s">
        <v>17</v>
      </c>
      <c r="GI6" s="59"/>
      <c r="GJ6" s="59"/>
      <c r="GK6" s="59"/>
      <c r="GL6" s="59"/>
      <c r="GM6" s="59"/>
      <c r="GN6" s="59"/>
      <c r="GO6" s="59"/>
      <c r="GP6" s="59"/>
      <c r="GQ6" s="59"/>
      <c r="GR6" s="59"/>
      <c r="GS6" s="59"/>
      <c r="GT6" s="59"/>
      <c r="GU6" s="59"/>
      <c r="GV6" s="59"/>
      <c r="GW6" s="59"/>
      <c r="GX6" s="2"/>
      <c r="GY6" s="59" t="s">
        <v>17</v>
      </c>
      <c r="GZ6" s="59"/>
      <c r="HA6" s="59"/>
      <c r="HB6" s="59"/>
      <c r="HC6" s="59"/>
      <c r="HD6" s="59"/>
      <c r="HE6" s="59"/>
      <c r="HF6" s="59"/>
      <c r="HG6" s="59"/>
      <c r="HH6" s="59"/>
      <c r="HI6" s="59"/>
      <c r="HJ6" s="59"/>
      <c r="HK6" s="59"/>
      <c r="HL6" s="59"/>
      <c r="HM6" s="59"/>
      <c r="HN6" s="59"/>
      <c r="HO6" s="2"/>
      <c r="HP6" s="59" t="s">
        <v>17</v>
      </c>
      <c r="HQ6" s="59"/>
      <c r="HR6" s="59"/>
      <c r="HS6" s="59"/>
      <c r="HT6" s="59"/>
      <c r="HU6" s="59"/>
      <c r="HV6" s="59"/>
      <c r="HW6" s="59"/>
      <c r="HX6" s="59"/>
      <c r="HY6" s="59"/>
      <c r="HZ6" s="59"/>
      <c r="IA6" s="59"/>
      <c r="IB6" s="59"/>
      <c r="IC6" s="59"/>
      <c r="ID6" s="59"/>
      <c r="IE6" s="59"/>
      <c r="IF6" s="2"/>
      <c r="IG6" s="6" t="s">
        <v>17</v>
      </c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</row>
    <row r="7" spans="1:256" s="2" customFormat="1" x14ac:dyDescent="0.25">
      <c r="A7" s="8" t="s">
        <v>19</v>
      </c>
      <c r="B7" s="48" t="s">
        <v>73</v>
      </c>
      <c r="C7" s="9" t="s">
        <v>20</v>
      </c>
      <c r="D7" s="9" t="s">
        <v>21</v>
      </c>
      <c r="E7" s="9" t="s">
        <v>22</v>
      </c>
      <c r="F7" s="9" t="s">
        <v>23</v>
      </c>
      <c r="G7" s="9" t="s">
        <v>24</v>
      </c>
      <c r="H7" s="9" t="s">
        <v>25</v>
      </c>
      <c r="I7" s="9" t="s">
        <v>26</v>
      </c>
      <c r="J7" s="9" t="s">
        <v>27</v>
      </c>
      <c r="K7" s="9" t="s">
        <v>28</v>
      </c>
      <c r="L7" s="9" t="s">
        <v>29</v>
      </c>
      <c r="M7" s="9" t="s">
        <v>30</v>
      </c>
      <c r="N7" s="9" t="s">
        <v>31</v>
      </c>
      <c r="O7" s="9" t="s">
        <v>32</v>
      </c>
      <c r="P7" s="9" t="s">
        <v>33</v>
      </c>
      <c r="Q7" s="9" t="s">
        <v>34</v>
      </c>
      <c r="R7" s="9" t="s">
        <v>35</v>
      </c>
      <c r="S7" s="10"/>
      <c r="T7" s="9" t="s">
        <v>20</v>
      </c>
      <c r="U7" s="9" t="s">
        <v>21</v>
      </c>
      <c r="V7" s="9" t="s">
        <v>22</v>
      </c>
      <c r="W7" s="9" t="s">
        <v>23</v>
      </c>
      <c r="X7" s="9" t="s">
        <v>24</v>
      </c>
      <c r="Y7" s="9" t="s">
        <v>25</v>
      </c>
      <c r="Z7" s="9" t="s">
        <v>26</v>
      </c>
      <c r="AA7" s="9" t="s">
        <v>27</v>
      </c>
      <c r="AB7" s="9" t="s">
        <v>28</v>
      </c>
      <c r="AC7" s="9" t="s">
        <v>29</v>
      </c>
      <c r="AD7" s="9" t="s">
        <v>30</v>
      </c>
      <c r="AE7" s="9" t="s">
        <v>31</v>
      </c>
      <c r="AF7" s="9" t="s">
        <v>32</v>
      </c>
      <c r="AG7" s="9" t="s">
        <v>33</v>
      </c>
      <c r="AH7" s="9" t="s">
        <v>34</v>
      </c>
      <c r="AI7" s="9" t="s">
        <v>35</v>
      </c>
      <c r="AK7" s="9" t="s">
        <v>20</v>
      </c>
      <c r="AL7" s="9" t="s">
        <v>21</v>
      </c>
      <c r="AM7" s="9" t="s">
        <v>22</v>
      </c>
      <c r="AN7" s="9" t="s">
        <v>23</v>
      </c>
      <c r="AO7" s="9" t="s">
        <v>24</v>
      </c>
      <c r="AP7" s="9" t="s">
        <v>25</v>
      </c>
      <c r="AQ7" s="9" t="s">
        <v>26</v>
      </c>
      <c r="AR7" s="9" t="s">
        <v>27</v>
      </c>
      <c r="AS7" s="9" t="s">
        <v>28</v>
      </c>
      <c r="AT7" s="9" t="s">
        <v>29</v>
      </c>
      <c r="AU7" s="9" t="s">
        <v>30</v>
      </c>
      <c r="AV7" s="9" t="s">
        <v>31</v>
      </c>
      <c r="AW7" s="9" t="s">
        <v>32</v>
      </c>
      <c r="AX7" s="9" t="s">
        <v>33</v>
      </c>
      <c r="AY7" s="9" t="s">
        <v>34</v>
      </c>
      <c r="AZ7" s="9" t="s">
        <v>35</v>
      </c>
      <c r="BB7" s="9" t="s">
        <v>20</v>
      </c>
      <c r="BC7" s="9" t="s">
        <v>21</v>
      </c>
      <c r="BD7" s="9" t="s">
        <v>22</v>
      </c>
      <c r="BE7" s="9" t="s">
        <v>23</v>
      </c>
      <c r="BF7" s="9" t="s">
        <v>24</v>
      </c>
      <c r="BG7" s="9" t="s">
        <v>25</v>
      </c>
      <c r="BH7" s="9" t="s">
        <v>26</v>
      </c>
      <c r="BI7" s="9" t="s">
        <v>27</v>
      </c>
      <c r="BJ7" s="9" t="s">
        <v>28</v>
      </c>
      <c r="BK7" s="9" t="s">
        <v>29</v>
      </c>
      <c r="BL7" s="9" t="s">
        <v>30</v>
      </c>
      <c r="BM7" s="9" t="s">
        <v>31</v>
      </c>
      <c r="BN7" s="9" t="s">
        <v>32</v>
      </c>
      <c r="BO7" s="9" t="s">
        <v>33</v>
      </c>
      <c r="BP7" s="9" t="s">
        <v>34</v>
      </c>
      <c r="BQ7" s="9" t="s">
        <v>35</v>
      </c>
      <c r="BS7" s="9" t="s">
        <v>20</v>
      </c>
      <c r="BT7" s="9" t="s">
        <v>21</v>
      </c>
      <c r="BU7" s="9" t="s">
        <v>22</v>
      </c>
      <c r="BV7" s="9" t="s">
        <v>23</v>
      </c>
      <c r="BW7" s="9" t="s">
        <v>24</v>
      </c>
      <c r="BX7" s="9" t="s">
        <v>25</v>
      </c>
      <c r="BY7" s="9" t="s">
        <v>26</v>
      </c>
      <c r="BZ7" s="9" t="s">
        <v>27</v>
      </c>
      <c r="CA7" s="9" t="s">
        <v>28</v>
      </c>
      <c r="CB7" s="9" t="s">
        <v>29</v>
      </c>
      <c r="CC7" s="9" t="s">
        <v>30</v>
      </c>
      <c r="CD7" s="9" t="s">
        <v>31</v>
      </c>
      <c r="CE7" s="9" t="s">
        <v>32</v>
      </c>
      <c r="CF7" s="9" t="s">
        <v>33</v>
      </c>
      <c r="CG7" s="9" t="s">
        <v>34</v>
      </c>
      <c r="CH7" s="9" t="s">
        <v>35</v>
      </c>
      <c r="CJ7" s="9" t="s">
        <v>20</v>
      </c>
      <c r="CK7" s="9" t="s">
        <v>21</v>
      </c>
      <c r="CL7" s="9" t="s">
        <v>22</v>
      </c>
      <c r="CM7" s="9" t="s">
        <v>23</v>
      </c>
      <c r="CN7" s="9" t="s">
        <v>24</v>
      </c>
      <c r="CO7" s="9" t="s">
        <v>25</v>
      </c>
      <c r="CP7" s="9" t="s">
        <v>26</v>
      </c>
      <c r="CQ7" s="9" t="s">
        <v>27</v>
      </c>
      <c r="CR7" s="9" t="s">
        <v>28</v>
      </c>
      <c r="CS7" s="9" t="s">
        <v>29</v>
      </c>
      <c r="CT7" s="9" t="s">
        <v>30</v>
      </c>
      <c r="CU7" s="9" t="s">
        <v>31</v>
      </c>
      <c r="CV7" s="9" t="s">
        <v>32</v>
      </c>
      <c r="CW7" s="9" t="s">
        <v>33</v>
      </c>
      <c r="CX7" s="9" t="s">
        <v>34</v>
      </c>
      <c r="CY7" s="9" t="s">
        <v>35</v>
      </c>
      <c r="DA7" s="9" t="s">
        <v>20</v>
      </c>
      <c r="DB7" s="9" t="s">
        <v>21</v>
      </c>
      <c r="DC7" s="9" t="s">
        <v>22</v>
      </c>
      <c r="DD7" s="9" t="s">
        <v>23</v>
      </c>
      <c r="DE7" s="9" t="s">
        <v>24</v>
      </c>
      <c r="DF7" s="9" t="s">
        <v>25</v>
      </c>
      <c r="DG7" s="9" t="s">
        <v>26</v>
      </c>
      <c r="DH7" s="9" t="s">
        <v>27</v>
      </c>
      <c r="DI7" s="9" t="s">
        <v>28</v>
      </c>
      <c r="DJ7" s="9" t="s">
        <v>29</v>
      </c>
      <c r="DK7" s="9" t="s">
        <v>30</v>
      </c>
      <c r="DL7" s="9" t="s">
        <v>31</v>
      </c>
      <c r="DM7" s="9" t="s">
        <v>32</v>
      </c>
      <c r="DN7" s="9" t="s">
        <v>33</v>
      </c>
      <c r="DO7" s="9" t="s">
        <v>34</v>
      </c>
      <c r="DP7" s="9" t="s">
        <v>35</v>
      </c>
      <c r="DR7" s="9" t="s">
        <v>20</v>
      </c>
      <c r="DS7" s="9" t="s">
        <v>21</v>
      </c>
      <c r="DT7" s="9" t="s">
        <v>22</v>
      </c>
      <c r="DU7" s="9" t="s">
        <v>23</v>
      </c>
      <c r="DV7" s="9" t="s">
        <v>24</v>
      </c>
      <c r="DW7" s="9" t="s">
        <v>25</v>
      </c>
      <c r="DX7" s="9" t="s">
        <v>26</v>
      </c>
      <c r="DY7" s="9" t="s">
        <v>27</v>
      </c>
      <c r="DZ7" s="9" t="s">
        <v>28</v>
      </c>
      <c r="EA7" s="9" t="s">
        <v>29</v>
      </c>
      <c r="EB7" s="9" t="s">
        <v>30</v>
      </c>
      <c r="EC7" s="9" t="s">
        <v>31</v>
      </c>
      <c r="ED7" s="9" t="s">
        <v>32</v>
      </c>
      <c r="EE7" s="9" t="s">
        <v>33</v>
      </c>
      <c r="EF7" s="9" t="s">
        <v>34</v>
      </c>
      <c r="EG7" s="9" t="s">
        <v>35</v>
      </c>
      <c r="EI7" s="9" t="s">
        <v>20</v>
      </c>
      <c r="EJ7" s="9" t="s">
        <v>21</v>
      </c>
      <c r="EK7" s="9" t="s">
        <v>22</v>
      </c>
      <c r="EL7" s="9" t="s">
        <v>23</v>
      </c>
      <c r="EM7" s="9" t="s">
        <v>24</v>
      </c>
      <c r="EN7" s="9" t="s">
        <v>25</v>
      </c>
      <c r="EO7" s="9" t="s">
        <v>26</v>
      </c>
      <c r="EP7" s="9" t="s">
        <v>27</v>
      </c>
      <c r="EQ7" s="9" t="s">
        <v>28</v>
      </c>
      <c r="ER7" s="9" t="s">
        <v>29</v>
      </c>
      <c r="ES7" s="9" t="s">
        <v>30</v>
      </c>
      <c r="ET7" s="9" t="s">
        <v>31</v>
      </c>
      <c r="EU7" s="9" t="s">
        <v>32</v>
      </c>
      <c r="EV7" s="9" t="s">
        <v>33</v>
      </c>
      <c r="EW7" s="9" t="s">
        <v>34</v>
      </c>
      <c r="EX7" s="9" t="s">
        <v>35</v>
      </c>
      <c r="EZ7" s="9" t="s">
        <v>20</v>
      </c>
      <c r="FA7" s="9" t="s">
        <v>21</v>
      </c>
      <c r="FB7" s="9" t="s">
        <v>22</v>
      </c>
      <c r="FC7" s="9" t="s">
        <v>23</v>
      </c>
      <c r="FD7" s="9" t="s">
        <v>24</v>
      </c>
      <c r="FE7" s="9" t="s">
        <v>25</v>
      </c>
      <c r="FF7" s="9" t="s">
        <v>26</v>
      </c>
      <c r="FG7" s="9" t="s">
        <v>27</v>
      </c>
      <c r="FH7" s="9" t="s">
        <v>28</v>
      </c>
      <c r="FI7" s="9" t="s">
        <v>29</v>
      </c>
      <c r="FJ7" s="9" t="s">
        <v>30</v>
      </c>
      <c r="FK7" s="9" t="s">
        <v>31</v>
      </c>
      <c r="FL7" s="9" t="s">
        <v>32</v>
      </c>
      <c r="FM7" s="9" t="s">
        <v>33</v>
      </c>
      <c r="FN7" s="9" t="s">
        <v>34</v>
      </c>
      <c r="FO7" s="9" t="s">
        <v>35</v>
      </c>
      <c r="FQ7" s="9" t="s">
        <v>20</v>
      </c>
      <c r="FR7" s="9" t="s">
        <v>21</v>
      </c>
      <c r="FS7" s="9" t="s">
        <v>22</v>
      </c>
      <c r="FT7" s="9" t="s">
        <v>23</v>
      </c>
      <c r="FU7" s="9" t="s">
        <v>24</v>
      </c>
      <c r="FV7" s="9" t="s">
        <v>25</v>
      </c>
      <c r="FW7" s="9" t="s">
        <v>26</v>
      </c>
      <c r="FX7" s="9" t="s">
        <v>27</v>
      </c>
      <c r="FY7" s="9" t="s">
        <v>28</v>
      </c>
      <c r="FZ7" s="9" t="s">
        <v>29</v>
      </c>
      <c r="GA7" s="9" t="s">
        <v>30</v>
      </c>
      <c r="GB7" s="9" t="s">
        <v>31</v>
      </c>
      <c r="GC7" s="9" t="s">
        <v>32</v>
      </c>
      <c r="GD7" s="9" t="s">
        <v>33</v>
      </c>
      <c r="GE7" s="9" t="s">
        <v>34</v>
      </c>
      <c r="GF7" s="9" t="s">
        <v>35</v>
      </c>
      <c r="GH7" s="9" t="s">
        <v>20</v>
      </c>
      <c r="GI7" s="9" t="s">
        <v>21</v>
      </c>
      <c r="GJ7" s="9" t="s">
        <v>22</v>
      </c>
      <c r="GK7" s="9" t="s">
        <v>23</v>
      </c>
      <c r="GL7" s="9" t="s">
        <v>24</v>
      </c>
      <c r="GM7" s="9" t="s">
        <v>25</v>
      </c>
      <c r="GN7" s="9" t="s">
        <v>26</v>
      </c>
      <c r="GO7" s="9" t="s">
        <v>27</v>
      </c>
      <c r="GP7" s="9" t="s">
        <v>28</v>
      </c>
      <c r="GQ7" s="9" t="s">
        <v>29</v>
      </c>
      <c r="GR7" s="9" t="s">
        <v>30</v>
      </c>
      <c r="GS7" s="9" t="s">
        <v>31</v>
      </c>
      <c r="GT7" s="9" t="s">
        <v>32</v>
      </c>
      <c r="GU7" s="9" t="s">
        <v>33</v>
      </c>
      <c r="GV7" s="9" t="s">
        <v>34</v>
      </c>
      <c r="GW7" s="9" t="s">
        <v>35</v>
      </c>
      <c r="GY7" s="9" t="s">
        <v>20</v>
      </c>
      <c r="GZ7" s="9" t="s">
        <v>21</v>
      </c>
      <c r="HA7" s="9" t="s">
        <v>22</v>
      </c>
      <c r="HB7" s="9" t="s">
        <v>23</v>
      </c>
      <c r="HC7" s="9" t="s">
        <v>24</v>
      </c>
      <c r="HD7" s="9" t="s">
        <v>25</v>
      </c>
      <c r="HE7" s="9" t="s">
        <v>26</v>
      </c>
      <c r="HF7" s="9" t="s">
        <v>27</v>
      </c>
      <c r="HG7" s="9" t="s">
        <v>28</v>
      </c>
      <c r="HH7" s="9" t="s">
        <v>29</v>
      </c>
      <c r="HI7" s="9" t="s">
        <v>30</v>
      </c>
      <c r="HJ7" s="9" t="s">
        <v>31</v>
      </c>
      <c r="HK7" s="9" t="s">
        <v>32</v>
      </c>
      <c r="HL7" s="9" t="s">
        <v>33</v>
      </c>
      <c r="HM7" s="9" t="s">
        <v>34</v>
      </c>
      <c r="HN7" s="9" t="s">
        <v>35</v>
      </c>
      <c r="HP7" s="9" t="s">
        <v>20</v>
      </c>
      <c r="HQ7" s="9" t="s">
        <v>21</v>
      </c>
      <c r="HR7" s="9" t="s">
        <v>22</v>
      </c>
      <c r="HS7" s="9" t="s">
        <v>23</v>
      </c>
      <c r="HT7" s="9" t="s">
        <v>24</v>
      </c>
      <c r="HU7" s="9" t="s">
        <v>25</v>
      </c>
      <c r="HV7" s="9" t="s">
        <v>26</v>
      </c>
      <c r="HW7" s="9" t="s">
        <v>27</v>
      </c>
      <c r="HX7" s="9" t="s">
        <v>28</v>
      </c>
      <c r="HY7" s="9" t="s">
        <v>29</v>
      </c>
      <c r="HZ7" s="9" t="s">
        <v>30</v>
      </c>
      <c r="IA7" s="9" t="s">
        <v>31</v>
      </c>
      <c r="IB7" s="9" t="s">
        <v>32</v>
      </c>
      <c r="IC7" s="9" t="s">
        <v>33</v>
      </c>
      <c r="ID7" s="9" t="s">
        <v>34</v>
      </c>
      <c r="IE7" s="9" t="s">
        <v>35</v>
      </c>
      <c r="IG7" s="9" t="s">
        <v>20</v>
      </c>
      <c r="IH7" s="9" t="s">
        <v>21</v>
      </c>
      <c r="II7" s="9" t="s">
        <v>22</v>
      </c>
      <c r="IJ7" s="9" t="s">
        <v>23</v>
      </c>
      <c r="IK7" s="9" t="s">
        <v>24</v>
      </c>
      <c r="IL7" s="9" t="s">
        <v>25</v>
      </c>
      <c r="IM7" s="9" t="s">
        <v>26</v>
      </c>
      <c r="IN7" s="9" t="s">
        <v>27</v>
      </c>
      <c r="IO7" s="9" t="s">
        <v>28</v>
      </c>
      <c r="IP7" s="9" t="s">
        <v>29</v>
      </c>
      <c r="IQ7" s="9" t="s">
        <v>30</v>
      </c>
      <c r="IR7" s="9" t="s">
        <v>31</v>
      </c>
      <c r="IS7" s="9" t="s">
        <v>32</v>
      </c>
      <c r="IT7" s="9" t="s">
        <v>33</v>
      </c>
      <c r="IU7" s="9" t="s">
        <v>34</v>
      </c>
      <c r="IV7" s="9" t="s">
        <v>35</v>
      </c>
    </row>
    <row r="8" spans="1:256" s="16" customFormat="1" x14ac:dyDescent="0.25">
      <c r="A8" s="15" t="s">
        <v>70</v>
      </c>
      <c r="B8" s="49">
        <v>22</v>
      </c>
      <c r="C8" s="16">
        <v>4</v>
      </c>
      <c r="D8" s="16">
        <v>2</v>
      </c>
      <c r="E8" s="16">
        <v>1</v>
      </c>
      <c r="L8" s="16">
        <v>1</v>
      </c>
      <c r="Q8" s="16">
        <f t="shared" ref="Q8:Q26" si="0">(E8-(F8+G8+H8))+(F8*2)+(G8*3)+(H8*4)</f>
        <v>1</v>
      </c>
      <c r="R8" s="16">
        <f t="shared" ref="R8:R26" si="1">+C8+K8+M8+N8+O8+P8</f>
        <v>4</v>
      </c>
      <c r="S8" s="17"/>
      <c r="AH8" s="16">
        <f t="shared" ref="AH8:AH26" si="2">(V8-(W8+X8+Y8))+(W8*2)+(X8*3)+(Y8*4)</f>
        <v>0</v>
      </c>
      <c r="AI8" s="16">
        <f t="shared" ref="AI8:AI26" si="3">+T8+AB8+AD8+AE8+AF8+AG8</f>
        <v>0</v>
      </c>
      <c r="AJ8" s="18"/>
      <c r="AY8" s="16">
        <f t="shared" ref="AY8:AY26" si="4">(AM8-(AN8+AO8+AP8))+(AN8*2)+(AO8*3)+(AP8*4)</f>
        <v>0</v>
      </c>
      <c r="AZ8" s="16">
        <f t="shared" ref="AZ8:AZ26" si="5">+AK8+AS8+AU8+AV8+AW8+AX8</f>
        <v>0</v>
      </c>
      <c r="BA8" s="18"/>
      <c r="BP8" s="16">
        <f t="shared" ref="BP8:BP26" si="6">(BD8-(BE8+BF8+BG8))+(BE8*2)+(BF8*3)+(BG8*4)</f>
        <v>0</v>
      </c>
      <c r="BQ8" s="16">
        <f t="shared" ref="BQ8:BQ26" si="7">+BB8+BJ8+BL8+BM8+BN8+BO8</f>
        <v>0</v>
      </c>
      <c r="BR8" s="18"/>
      <c r="CG8" s="16">
        <f t="shared" ref="CG8:CG26" si="8">(BU8-(BV8+BW8+BX8))+(BV8*2)+(BW8*3)+(BX8*4)</f>
        <v>0</v>
      </c>
      <c r="CH8" s="16">
        <f t="shared" ref="CH8:CH26" si="9">+BS8+CA8+CC8+CD8+CE8+CF8</f>
        <v>0</v>
      </c>
      <c r="CI8" s="18"/>
      <c r="CX8" s="16">
        <f t="shared" ref="CX8:CX26" si="10">(CL8-(CM8+CN8+CO8))+(CM8*2)+(CN8*3)+(CO8*4)</f>
        <v>0</v>
      </c>
      <c r="CY8" s="16">
        <f t="shared" ref="CY8:CY26" si="11">+CJ8+CR8+CT8+CU8+CV8+CW8</f>
        <v>0</v>
      </c>
      <c r="CZ8" s="18"/>
      <c r="DO8" s="16">
        <f t="shared" ref="DO8:DO26" si="12">(DC8-(DD8+DE8+DF8))+(DD8*2)+(DE8*3)+(DF8*4)</f>
        <v>0</v>
      </c>
      <c r="DP8" s="16">
        <f t="shared" ref="DP8:DP26" si="13">+DA8+DI8+DK8+DL8+DM8+DN8</f>
        <v>0</v>
      </c>
      <c r="DQ8" s="18"/>
      <c r="EF8" s="16">
        <f t="shared" ref="EF8:EF26" si="14">(DT8-(DU8+DV8+DW8))+(DU8*2)+(DV8*3)+(DW8*4)</f>
        <v>0</v>
      </c>
      <c r="EG8" s="16">
        <f t="shared" ref="EG8:EG26" si="15">+DR8+DZ8+EB8+EC8+ED8+EE8</f>
        <v>0</v>
      </c>
      <c r="EH8" s="18"/>
      <c r="EW8" s="16">
        <f t="shared" ref="EW8:EW26" si="16">(EK8-(EL8+EM8+EN8))+(EL8*2)+(EM8*3)+(EN8*4)</f>
        <v>0</v>
      </c>
      <c r="EX8" s="16">
        <f t="shared" ref="EX8:EX26" si="17">+EI8+EQ8+ES8+ET8+EU8+EV8</f>
        <v>0</v>
      </c>
      <c r="EY8" s="18"/>
      <c r="FN8" s="16">
        <f t="shared" ref="FN8:FN26" si="18">(FB8-(FC8+FD8+FE8))+(FC8*2)+(FD8*3)+(FE8*4)</f>
        <v>0</v>
      </c>
      <c r="FO8" s="16">
        <f t="shared" ref="FO8:FO26" si="19">+EZ8+FH8+FJ8+FK8+FL8+FM8</f>
        <v>0</v>
      </c>
      <c r="FP8" s="18"/>
      <c r="GE8" s="16">
        <f t="shared" ref="GE8:GE26" si="20">(FS8-(FT8+FU8+FV8))+(FT8*2)+(FU8*3)+(FV8*4)</f>
        <v>0</v>
      </c>
      <c r="GF8" s="16">
        <f t="shared" ref="GF8:GF26" si="21">+FQ8+FY8+GA8+GB8+GC8+GD8</f>
        <v>0</v>
      </c>
      <c r="GG8" s="18"/>
      <c r="GV8" s="16">
        <f t="shared" ref="GV8:GV26" si="22">(GJ8-(GK8+GL8+GM8))+(GK8*2)+(GL8*3)+(GM8*4)</f>
        <v>0</v>
      </c>
      <c r="GW8" s="16">
        <f t="shared" ref="GW8:GW26" si="23">+GH8+GP8+GR8+GS8+GT8+GU8</f>
        <v>0</v>
      </c>
      <c r="GX8" s="18"/>
      <c r="HM8" s="16">
        <f t="shared" ref="HM8:HM26" si="24">(HA8-(HB8+HC8+HD8))+(HB8*2)+(HC8*3)+(HD8*4)</f>
        <v>0</v>
      </c>
      <c r="HN8" s="16">
        <f t="shared" ref="HN8:HN26" si="25">+GY8+HG8+HI8+HJ8+HK8+HL8</f>
        <v>0</v>
      </c>
      <c r="HO8" s="18"/>
      <c r="ID8" s="16">
        <f t="shared" ref="ID8:ID26" si="26">(HR8-(HS8+HT8+HU8))+(HS8*2)+(HT8*3)+(HU8*4)</f>
        <v>0</v>
      </c>
      <c r="IE8" s="16">
        <f t="shared" ref="IE8:IE26" si="27">+HP8+HX8+HZ8+IA8+IB8+IC8</f>
        <v>0</v>
      </c>
      <c r="IF8" s="18"/>
      <c r="IU8" s="16">
        <f t="shared" ref="IU8:IU26" si="28">(II8-(IJ8+IK8+IL8))+(IJ8*2)+(IK8*3)+(IL8*4)</f>
        <v>0</v>
      </c>
      <c r="IV8" s="16">
        <f t="shared" ref="IV8:IV26" si="29">+IG8+IO8+IQ8+IR8+IS8+IT8</f>
        <v>0</v>
      </c>
    </row>
    <row r="9" spans="1:256" s="16" customFormat="1" x14ac:dyDescent="0.25">
      <c r="A9" s="15" t="s">
        <v>37</v>
      </c>
      <c r="B9" s="49">
        <v>23</v>
      </c>
      <c r="C9" s="16">
        <v>3</v>
      </c>
      <c r="D9" s="16">
        <v>1</v>
      </c>
      <c r="E9" s="16">
        <v>1</v>
      </c>
      <c r="F9" s="16">
        <v>1</v>
      </c>
      <c r="K9" s="16">
        <v>1</v>
      </c>
      <c r="Q9" s="16">
        <f t="shared" si="0"/>
        <v>2</v>
      </c>
      <c r="R9" s="16">
        <f t="shared" si="1"/>
        <v>4</v>
      </c>
      <c r="S9" s="17"/>
      <c r="AH9" s="16">
        <f t="shared" si="2"/>
        <v>0</v>
      </c>
      <c r="AI9" s="16">
        <f t="shared" si="3"/>
        <v>0</v>
      </c>
      <c r="AJ9" s="18"/>
      <c r="AY9" s="16">
        <f t="shared" si="4"/>
        <v>0</v>
      </c>
      <c r="AZ9" s="16">
        <f t="shared" si="5"/>
        <v>0</v>
      </c>
      <c r="BA9" s="18"/>
      <c r="BP9" s="16">
        <f t="shared" si="6"/>
        <v>0</v>
      </c>
      <c r="BQ9" s="16">
        <f t="shared" si="7"/>
        <v>0</v>
      </c>
      <c r="BR9" s="18"/>
      <c r="CG9" s="16">
        <f t="shared" si="8"/>
        <v>0</v>
      </c>
      <c r="CH9" s="16">
        <f t="shared" si="9"/>
        <v>0</v>
      </c>
      <c r="CI9" s="18"/>
      <c r="CX9" s="16">
        <f t="shared" si="10"/>
        <v>0</v>
      </c>
      <c r="CY9" s="16">
        <f t="shared" si="11"/>
        <v>0</v>
      </c>
      <c r="CZ9" s="18"/>
      <c r="DO9" s="16">
        <f t="shared" si="12"/>
        <v>0</v>
      </c>
      <c r="DP9" s="16">
        <f t="shared" si="13"/>
        <v>0</v>
      </c>
      <c r="DQ9" s="18"/>
      <c r="EF9" s="16">
        <f t="shared" si="14"/>
        <v>0</v>
      </c>
      <c r="EG9" s="16">
        <f t="shared" si="15"/>
        <v>0</v>
      </c>
      <c r="EH9" s="18"/>
      <c r="EW9" s="16">
        <f t="shared" si="16"/>
        <v>0</v>
      </c>
      <c r="EX9" s="16">
        <f t="shared" si="17"/>
        <v>0</v>
      </c>
      <c r="EY9" s="18"/>
      <c r="FN9" s="16">
        <f t="shared" si="18"/>
        <v>0</v>
      </c>
      <c r="FO9" s="16">
        <f t="shared" si="19"/>
        <v>0</v>
      </c>
      <c r="FP9" s="18"/>
      <c r="GE9" s="16">
        <f t="shared" si="20"/>
        <v>0</v>
      </c>
      <c r="GF9" s="16">
        <f t="shared" si="21"/>
        <v>0</v>
      </c>
      <c r="GG9" s="18"/>
      <c r="GV9" s="16">
        <f t="shared" si="22"/>
        <v>0</v>
      </c>
      <c r="GW9" s="16">
        <f t="shared" si="23"/>
        <v>0</v>
      </c>
      <c r="GX9" s="18"/>
      <c r="HM9" s="16">
        <f t="shared" si="24"/>
        <v>0</v>
      </c>
      <c r="HN9" s="16">
        <f t="shared" si="25"/>
        <v>0</v>
      </c>
      <c r="HO9" s="18"/>
      <c r="ID9" s="16">
        <f t="shared" si="26"/>
        <v>0</v>
      </c>
      <c r="IE9" s="16">
        <f t="shared" si="27"/>
        <v>0</v>
      </c>
      <c r="IF9" s="18"/>
      <c r="IU9" s="16">
        <f t="shared" si="28"/>
        <v>0</v>
      </c>
      <c r="IV9" s="16">
        <f t="shared" si="29"/>
        <v>0</v>
      </c>
    </row>
    <row r="10" spans="1:256" s="16" customFormat="1" x14ac:dyDescent="0.25">
      <c r="A10" s="15" t="s">
        <v>38</v>
      </c>
      <c r="B10" s="49">
        <v>24</v>
      </c>
      <c r="C10" s="16">
        <v>4</v>
      </c>
      <c r="E10" s="16">
        <v>1</v>
      </c>
      <c r="Q10" s="16">
        <f t="shared" si="0"/>
        <v>1</v>
      </c>
      <c r="R10" s="16">
        <f t="shared" si="1"/>
        <v>4</v>
      </c>
      <c r="S10" s="17"/>
      <c r="AH10" s="16">
        <f t="shared" si="2"/>
        <v>0</v>
      </c>
      <c r="AI10" s="16">
        <f t="shared" si="3"/>
        <v>0</v>
      </c>
      <c r="AJ10" s="18"/>
      <c r="AY10" s="16">
        <f t="shared" si="4"/>
        <v>0</v>
      </c>
      <c r="AZ10" s="16">
        <f t="shared" si="5"/>
        <v>0</v>
      </c>
      <c r="BA10" s="18"/>
      <c r="BP10" s="16">
        <f t="shared" si="6"/>
        <v>0</v>
      </c>
      <c r="BQ10" s="16">
        <f t="shared" si="7"/>
        <v>0</v>
      </c>
      <c r="BR10" s="18"/>
      <c r="CG10" s="16">
        <f t="shared" si="8"/>
        <v>0</v>
      </c>
      <c r="CH10" s="16">
        <f t="shared" si="9"/>
        <v>0</v>
      </c>
      <c r="CI10" s="18"/>
      <c r="CX10" s="16">
        <f t="shared" si="10"/>
        <v>0</v>
      </c>
      <c r="CY10" s="16">
        <f t="shared" si="11"/>
        <v>0</v>
      </c>
      <c r="CZ10" s="18"/>
      <c r="DO10" s="16">
        <f t="shared" si="12"/>
        <v>0</v>
      </c>
      <c r="DP10" s="16">
        <f t="shared" si="13"/>
        <v>0</v>
      </c>
      <c r="DQ10" s="18"/>
      <c r="EF10" s="16">
        <f t="shared" si="14"/>
        <v>0</v>
      </c>
      <c r="EG10" s="16">
        <f t="shared" si="15"/>
        <v>0</v>
      </c>
      <c r="EH10" s="18"/>
      <c r="EW10" s="16">
        <f t="shared" si="16"/>
        <v>0</v>
      </c>
      <c r="EX10" s="16">
        <f t="shared" si="17"/>
        <v>0</v>
      </c>
      <c r="EY10" s="18"/>
      <c r="FN10" s="16">
        <f t="shared" si="18"/>
        <v>0</v>
      </c>
      <c r="FO10" s="16">
        <f t="shared" si="19"/>
        <v>0</v>
      </c>
      <c r="FP10" s="18"/>
      <c r="GE10" s="16">
        <f t="shared" si="20"/>
        <v>0</v>
      </c>
      <c r="GF10" s="16">
        <f t="shared" si="21"/>
        <v>0</v>
      </c>
      <c r="GG10" s="18"/>
      <c r="GV10" s="16">
        <f t="shared" si="22"/>
        <v>0</v>
      </c>
      <c r="GW10" s="16">
        <f t="shared" si="23"/>
        <v>0</v>
      </c>
      <c r="GX10" s="18"/>
      <c r="HM10" s="16">
        <f t="shared" si="24"/>
        <v>0</v>
      </c>
      <c r="HN10" s="16">
        <f t="shared" si="25"/>
        <v>0</v>
      </c>
      <c r="HO10" s="18"/>
      <c r="ID10" s="16">
        <f t="shared" si="26"/>
        <v>0</v>
      </c>
      <c r="IE10" s="16">
        <f t="shared" si="27"/>
        <v>0</v>
      </c>
      <c r="IF10" s="18"/>
      <c r="IU10" s="16">
        <f t="shared" si="28"/>
        <v>0</v>
      </c>
      <c r="IV10" s="16">
        <f t="shared" si="29"/>
        <v>0</v>
      </c>
    </row>
    <row r="11" spans="1:256" s="16" customFormat="1" x14ac:dyDescent="0.25">
      <c r="A11" s="15" t="s">
        <v>39</v>
      </c>
      <c r="B11" s="49">
        <v>25</v>
      </c>
      <c r="D11" s="16">
        <v>1</v>
      </c>
      <c r="I11" s="16">
        <v>1</v>
      </c>
      <c r="K11" s="16">
        <v>3</v>
      </c>
      <c r="L11" s="16">
        <v>3</v>
      </c>
      <c r="Q11" s="16">
        <f t="shared" si="0"/>
        <v>0</v>
      </c>
      <c r="R11" s="16">
        <f t="shared" si="1"/>
        <v>3</v>
      </c>
      <c r="S11" s="17"/>
      <c r="AH11" s="16">
        <f t="shared" si="2"/>
        <v>0</v>
      </c>
      <c r="AI11" s="16">
        <f t="shared" si="3"/>
        <v>0</v>
      </c>
      <c r="AJ11" s="18"/>
      <c r="AY11" s="16">
        <f t="shared" si="4"/>
        <v>0</v>
      </c>
      <c r="AZ11" s="16">
        <f t="shared" si="5"/>
        <v>0</v>
      </c>
      <c r="BA11" s="18"/>
      <c r="BP11" s="16">
        <f t="shared" si="6"/>
        <v>0</v>
      </c>
      <c r="BQ11" s="16">
        <f t="shared" si="7"/>
        <v>0</v>
      </c>
      <c r="BR11" s="18"/>
      <c r="CG11" s="16">
        <f t="shared" si="8"/>
        <v>0</v>
      </c>
      <c r="CH11" s="16">
        <f t="shared" si="9"/>
        <v>0</v>
      </c>
      <c r="CI11" s="18"/>
      <c r="CX11" s="16">
        <f t="shared" si="10"/>
        <v>0</v>
      </c>
      <c r="CY11" s="16">
        <f t="shared" si="11"/>
        <v>0</v>
      </c>
      <c r="CZ11" s="18"/>
      <c r="DO11" s="16">
        <f t="shared" si="12"/>
        <v>0</v>
      </c>
      <c r="DP11" s="16">
        <f t="shared" si="13"/>
        <v>0</v>
      </c>
      <c r="DQ11" s="18"/>
      <c r="EF11" s="16">
        <f t="shared" si="14"/>
        <v>0</v>
      </c>
      <c r="EG11" s="16">
        <f t="shared" si="15"/>
        <v>0</v>
      </c>
      <c r="EH11" s="18"/>
      <c r="EW11" s="16">
        <f t="shared" si="16"/>
        <v>0</v>
      </c>
      <c r="EX11" s="16">
        <f t="shared" si="17"/>
        <v>0</v>
      </c>
      <c r="EY11" s="18"/>
      <c r="FN11" s="16">
        <f t="shared" si="18"/>
        <v>0</v>
      </c>
      <c r="FO11" s="16">
        <f t="shared" si="19"/>
        <v>0</v>
      </c>
      <c r="FP11" s="18"/>
      <c r="GE11" s="16">
        <f t="shared" si="20"/>
        <v>0</v>
      </c>
      <c r="GF11" s="16">
        <f t="shared" si="21"/>
        <v>0</v>
      </c>
      <c r="GG11" s="18"/>
      <c r="GV11" s="16">
        <f t="shared" si="22"/>
        <v>0</v>
      </c>
      <c r="GW11" s="16">
        <f t="shared" si="23"/>
        <v>0</v>
      </c>
      <c r="GX11" s="18"/>
      <c r="HM11" s="16">
        <f t="shared" si="24"/>
        <v>0</v>
      </c>
      <c r="HN11" s="16">
        <f t="shared" si="25"/>
        <v>0</v>
      </c>
      <c r="HO11" s="18"/>
      <c r="ID11" s="16">
        <f t="shared" si="26"/>
        <v>0</v>
      </c>
      <c r="IE11" s="16">
        <f t="shared" si="27"/>
        <v>0</v>
      </c>
      <c r="IF11" s="18"/>
      <c r="IU11" s="16">
        <f t="shared" si="28"/>
        <v>0</v>
      </c>
      <c r="IV11" s="16">
        <f t="shared" si="29"/>
        <v>0</v>
      </c>
    </row>
    <row r="12" spans="1:256" s="16" customFormat="1" x14ac:dyDescent="0.25">
      <c r="A12" s="15" t="s">
        <v>40</v>
      </c>
      <c r="B12" s="49">
        <v>26</v>
      </c>
      <c r="C12" s="16">
        <v>1</v>
      </c>
      <c r="Q12" s="16">
        <f t="shared" si="0"/>
        <v>0</v>
      </c>
      <c r="R12" s="16">
        <f t="shared" si="1"/>
        <v>1</v>
      </c>
      <c r="S12" s="17"/>
      <c r="AH12" s="16">
        <f t="shared" si="2"/>
        <v>0</v>
      </c>
      <c r="AI12" s="16">
        <f t="shared" si="3"/>
        <v>0</v>
      </c>
      <c r="AJ12" s="18"/>
      <c r="AY12" s="16">
        <f t="shared" si="4"/>
        <v>0</v>
      </c>
      <c r="AZ12" s="16">
        <f t="shared" si="5"/>
        <v>0</v>
      </c>
      <c r="BA12" s="18"/>
      <c r="BP12" s="16">
        <f t="shared" si="6"/>
        <v>0</v>
      </c>
      <c r="BQ12" s="16">
        <f t="shared" si="7"/>
        <v>0</v>
      </c>
      <c r="BR12" s="18"/>
      <c r="CG12" s="16">
        <f t="shared" si="8"/>
        <v>0</v>
      </c>
      <c r="CH12" s="16">
        <f t="shared" si="9"/>
        <v>0</v>
      </c>
      <c r="CI12" s="18"/>
      <c r="CX12" s="16">
        <f t="shared" si="10"/>
        <v>0</v>
      </c>
      <c r="CY12" s="16">
        <f t="shared" si="11"/>
        <v>0</v>
      </c>
      <c r="CZ12" s="18"/>
      <c r="DO12" s="16">
        <f t="shared" si="12"/>
        <v>0</v>
      </c>
      <c r="DP12" s="16">
        <f t="shared" si="13"/>
        <v>0</v>
      </c>
      <c r="DQ12" s="18"/>
      <c r="EF12" s="16">
        <f t="shared" si="14"/>
        <v>0</v>
      </c>
      <c r="EG12" s="16">
        <f t="shared" si="15"/>
        <v>0</v>
      </c>
      <c r="EH12" s="18"/>
      <c r="EW12" s="16">
        <f t="shared" si="16"/>
        <v>0</v>
      </c>
      <c r="EX12" s="16">
        <f t="shared" si="17"/>
        <v>0</v>
      </c>
      <c r="EY12" s="18"/>
      <c r="FN12" s="16">
        <f t="shared" si="18"/>
        <v>0</v>
      </c>
      <c r="FO12" s="16">
        <f t="shared" si="19"/>
        <v>0</v>
      </c>
      <c r="FP12" s="18"/>
      <c r="GE12" s="16">
        <f t="shared" si="20"/>
        <v>0</v>
      </c>
      <c r="GF12" s="16">
        <f t="shared" si="21"/>
        <v>0</v>
      </c>
      <c r="GG12" s="18"/>
      <c r="GV12" s="16">
        <f t="shared" si="22"/>
        <v>0</v>
      </c>
      <c r="GW12" s="16">
        <f t="shared" si="23"/>
        <v>0</v>
      </c>
      <c r="GX12" s="18"/>
      <c r="HM12" s="16">
        <f t="shared" si="24"/>
        <v>0</v>
      </c>
      <c r="HN12" s="16">
        <f t="shared" si="25"/>
        <v>0</v>
      </c>
      <c r="HO12" s="18"/>
      <c r="ID12" s="16">
        <f t="shared" si="26"/>
        <v>0</v>
      </c>
      <c r="IE12" s="16">
        <f t="shared" si="27"/>
        <v>0</v>
      </c>
      <c r="IF12" s="18"/>
      <c r="IU12" s="16">
        <f t="shared" si="28"/>
        <v>0</v>
      </c>
      <c r="IV12" s="16">
        <f t="shared" si="29"/>
        <v>0</v>
      </c>
    </row>
    <row r="13" spans="1:256" s="16" customFormat="1" x14ac:dyDescent="0.25">
      <c r="A13" s="15" t="s">
        <v>41</v>
      </c>
      <c r="B13" s="49">
        <v>28</v>
      </c>
      <c r="C13" s="16">
        <v>2</v>
      </c>
      <c r="J13" s="16">
        <v>1</v>
      </c>
      <c r="Q13" s="16">
        <f t="shared" si="0"/>
        <v>0</v>
      </c>
      <c r="R13" s="16">
        <f t="shared" si="1"/>
        <v>2</v>
      </c>
      <c r="S13" s="17"/>
      <c r="AH13" s="16">
        <f t="shared" si="2"/>
        <v>0</v>
      </c>
      <c r="AI13" s="16">
        <f t="shared" si="3"/>
        <v>0</v>
      </c>
      <c r="AJ13" s="18"/>
      <c r="AY13" s="16">
        <f t="shared" si="4"/>
        <v>0</v>
      </c>
      <c r="AZ13" s="16">
        <f t="shared" si="5"/>
        <v>0</v>
      </c>
      <c r="BA13" s="18"/>
      <c r="BP13" s="16">
        <f t="shared" si="6"/>
        <v>0</v>
      </c>
      <c r="BQ13" s="16">
        <f t="shared" si="7"/>
        <v>0</v>
      </c>
      <c r="BR13" s="18"/>
      <c r="CG13" s="16">
        <f t="shared" si="8"/>
        <v>0</v>
      </c>
      <c r="CH13" s="16">
        <f t="shared" si="9"/>
        <v>0</v>
      </c>
      <c r="CI13" s="18"/>
      <c r="CX13" s="16">
        <f t="shared" si="10"/>
        <v>0</v>
      </c>
      <c r="CY13" s="16">
        <f t="shared" si="11"/>
        <v>0</v>
      </c>
      <c r="CZ13" s="18"/>
      <c r="DO13" s="16">
        <f t="shared" si="12"/>
        <v>0</v>
      </c>
      <c r="DP13" s="16">
        <f t="shared" si="13"/>
        <v>0</v>
      </c>
      <c r="DQ13" s="18"/>
      <c r="EF13" s="16">
        <f t="shared" si="14"/>
        <v>0</v>
      </c>
      <c r="EG13" s="16">
        <f t="shared" si="15"/>
        <v>0</v>
      </c>
      <c r="EH13" s="18"/>
      <c r="EW13" s="16">
        <f t="shared" si="16"/>
        <v>0</v>
      </c>
      <c r="EX13" s="16">
        <f t="shared" si="17"/>
        <v>0</v>
      </c>
      <c r="EY13" s="18"/>
      <c r="FN13" s="16">
        <f t="shared" si="18"/>
        <v>0</v>
      </c>
      <c r="FO13" s="16">
        <f t="shared" si="19"/>
        <v>0</v>
      </c>
      <c r="FP13" s="18"/>
      <c r="GE13" s="16">
        <f t="shared" si="20"/>
        <v>0</v>
      </c>
      <c r="GF13" s="16">
        <f t="shared" si="21"/>
        <v>0</v>
      </c>
      <c r="GG13" s="18"/>
      <c r="GV13" s="16">
        <f t="shared" si="22"/>
        <v>0</v>
      </c>
      <c r="GW13" s="16">
        <f t="shared" si="23"/>
        <v>0</v>
      </c>
      <c r="GX13" s="18"/>
      <c r="HM13" s="16">
        <f t="shared" si="24"/>
        <v>0</v>
      </c>
      <c r="HN13" s="16">
        <f t="shared" si="25"/>
        <v>0</v>
      </c>
      <c r="HO13" s="18"/>
      <c r="ID13" s="16">
        <f t="shared" si="26"/>
        <v>0</v>
      </c>
      <c r="IE13" s="16">
        <f t="shared" si="27"/>
        <v>0</v>
      </c>
      <c r="IF13" s="18"/>
      <c r="IU13" s="16">
        <f t="shared" si="28"/>
        <v>0</v>
      </c>
      <c r="IV13" s="16">
        <f t="shared" si="29"/>
        <v>0</v>
      </c>
    </row>
    <row r="14" spans="1:256" s="16" customFormat="1" x14ac:dyDescent="0.25">
      <c r="A14" s="15" t="s">
        <v>42</v>
      </c>
      <c r="B14" s="49">
        <v>29</v>
      </c>
      <c r="C14" s="16">
        <v>3</v>
      </c>
      <c r="D14" s="16">
        <v>2</v>
      </c>
      <c r="E14" s="16">
        <v>2</v>
      </c>
      <c r="I14" s="16">
        <v>1</v>
      </c>
      <c r="J14" s="16">
        <v>1</v>
      </c>
      <c r="L14" s="16">
        <v>1</v>
      </c>
      <c r="Q14" s="16">
        <f t="shared" si="0"/>
        <v>2</v>
      </c>
      <c r="R14" s="16">
        <f t="shared" si="1"/>
        <v>3</v>
      </c>
      <c r="S14" s="17"/>
      <c r="AH14" s="16">
        <f t="shared" si="2"/>
        <v>0</v>
      </c>
      <c r="AI14" s="16">
        <f t="shared" si="3"/>
        <v>0</v>
      </c>
      <c r="AJ14" s="18"/>
      <c r="AY14" s="16">
        <f t="shared" si="4"/>
        <v>0</v>
      </c>
      <c r="AZ14" s="16">
        <f t="shared" si="5"/>
        <v>0</v>
      </c>
      <c r="BA14" s="18"/>
      <c r="BP14" s="16">
        <f t="shared" si="6"/>
        <v>0</v>
      </c>
      <c r="BQ14" s="16">
        <f t="shared" si="7"/>
        <v>0</v>
      </c>
      <c r="BR14" s="18"/>
      <c r="CG14" s="16">
        <f t="shared" si="8"/>
        <v>0</v>
      </c>
      <c r="CH14" s="16">
        <f t="shared" si="9"/>
        <v>0</v>
      </c>
      <c r="CI14" s="18"/>
      <c r="CX14" s="16">
        <f t="shared" si="10"/>
        <v>0</v>
      </c>
      <c r="CY14" s="16">
        <f t="shared" si="11"/>
        <v>0</v>
      </c>
      <c r="CZ14" s="18"/>
      <c r="DO14" s="16">
        <f t="shared" si="12"/>
        <v>0</v>
      </c>
      <c r="DP14" s="16">
        <f t="shared" si="13"/>
        <v>0</v>
      </c>
      <c r="DQ14" s="18"/>
      <c r="EF14" s="16">
        <f t="shared" si="14"/>
        <v>0</v>
      </c>
      <c r="EG14" s="16">
        <f t="shared" si="15"/>
        <v>0</v>
      </c>
      <c r="EH14" s="18"/>
      <c r="EW14" s="16">
        <f t="shared" si="16"/>
        <v>0</v>
      </c>
      <c r="EX14" s="16">
        <f t="shared" si="17"/>
        <v>0</v>
      </c>
      <c r="EY14" s="18"/>
      <c r="FN14" s="16">
        <f t="shared" si="18"/>
        <v>0</v>
      </c>
      <c r="FO14" s="16">
        <f t="shared" si="19"/>
        <v>0</v>
      </c>
      <c r="FP14" s="18"/>
      <c r="GE14" s="16">
        <f t="shared" si="20"/>
        <v>0</v>
      </c>
      <c r="GF14" s="16">
        <f t="shared" si="21"/>
        <v>0</v>
      </c>
      <c r="GG14" s="18"/>
      <c r="GV14" s="16">
        <f t="shared" si="22"/>
        <v>0</v>
      </c>
      <c r="GW14" s="16">
        <f t="shared" si="23"/>
        <v>0</v>
      </c>
      <c r="GX14" s="18"/>
      <c r="HM14" s="16">
        <f t="shared" si="24"/>
        <v>0</v>
      </c>
      <c r="HN14" s="16">
        <f t="shared" si="25"/>
        <v>0</v>
      </c>
      <c r="HO14" s="18"/>
      <c r="ID14" s="16">
        <f t="shared" si="26"/>
        <v>0</v>
      </c>
      <c r="IE14" s="16">
        <f t="shared" si="27"/>
        <v>0</v>
      </c>
      <c r="IF14" s="18"/>
      <c r="IU14" s="16">
        <f t="shared" si="28"/>
        <v>0</v>
      </c>
      <c r="IV14" s="16">
        <f t="shared" si="29"/>
        <v>0</v>
      </c>
    </row>
    <row r="15" spans="1:256" s="16" customFormat="1" x14ac:dyDescent="0.25">
      <c r="A15" s="15" t="s">
        <v>43</v>
      </c>
      <c r="B15" s="49">
        <v>30</v>
      </c>
      <c r="C15" s="16">
        <v>3</v>
      </c>
      <c r="D15" s="16">
        <v>1</v>
      </c>
      <c r="E15" s="16">
        <v>2</v>
      </c>
      <c r="G15" s="16">
        <v>1</v>
      </c>
      <c r="Q15" s="16">
        <f t="shared" si="0"/>
        <v>4</v>
      </c>
      <c r="R15" s="16">
        <f t="shared" si="1"/>
        <v>3</v>
      </c>
      <c r="S15" s="17"/>
      <c r="AH15" s="16">
        <f t="shared" si="2"/>
        <v>0</v>
      </c>
      <c r="AI15" s="16">
        <f t="shared" si="3"/>
        <v>0</v>
      </c>
      <c r="AJ15" s="18"/>
      <c r="AY15" s="16">
        <f t="shared" si="4"/>
        <v>0</v>
      </c>
      <c r="AZ15" s="16">
        <f t="shared" si="5"/>
        <v>0</v>
      </c>
      <c r="BA15" s="18"/>
      <c r="BP15" s="16">
        <f t="shared" si="6"/>
        <v>0</v>
      </c>
      <c r="BQ15" s="16">
        <f t="shared" si="7"/>
        <v>0</v>
      </c>
      <c r="BR15" s="18"/>
      <c r="CG15" s="16">
        <f t="shared" si="8"/>
        <v>0</v>
      </c>
      <c r="CH15" s="16">
        <f t="shared" si="9"/>
        <v>0</v>
      </c>
      <c r="CI15" s="18"/>
      <c r="CX15" s="16">
        <f t="shared" si="10"/>
        <v>0</v>
      </c>
      <c r="CY15" s="16">
        <f t="shared" si="11"/>
        <v>0</v>
      </c>
      <c r="CZ15" s="18"/>
      <c r="DO15" s="16">
        <f t="shared" si="12"/>
        <v>0</v>
      </c>
      <c r="DP15" s="16">
        <f t="shared" si="13"/>
        <v>0</v>
      </c>
      <c r="DQ15" s="18"/>
      <c r="EF15" s="16">
        <f t="shared" si="14"/>
        <v>0</v>
      </c>
      <c r="EG15" s="16">
        <f t="shared" si="15"/>
        <v>0</v>
      </c>
      <c r="EH15" s="18"/>
      <c r="EW15" s="16">
        <f t="shared" si="16"/>
        <v>0</v>
      </c>
      <c r="EX15" s="16">
        <f t="shared" si="17"/>
        <v>0</v>
      </c>
      <c r="EY15" s="18"/>
      <c r="FN15" s="16">
        <f t="shared" si="18"/>
        <v>0</v>
      </c>
      <c r="FO15" s="16">
        <f t="shared" si="19"/>
        <v>0</v>
      </c>
      <c r="FP15" s="18"/>
      <c r="GE15" s="16">
        <f t="shared" si="20"/>
        <v>0</v>
      </c>
      <c r="GF15" s="16">
        <f t="shared" si="21"/>
        <v>0</v>
      </c>
      <c r="GG15" s="18"/>
      <c r="GV15" s="16">
        <f t="shared" si="22"/>
        <v>0</v>
      </c>
      <c r="GW15" s="16">
        <f t="shared" si="23"/>
        <v>0</v>
      </c>
      <c r="GX15" s="18"/>
      <c r="HM15" s="16">
        <f t="shared" si="24"/>
        <v>0</v>
      </c>
      <c r="HN15" s="16">
        <f t="shared" si="25"/>
        <v>0</v>
      </c>
      <c r="HO15" s="18"/>
      <c r="ID15" s="16">
        <f t="shared" si="26"/>
        <v>0</v>
      </c>
      <c r="IE15" s="16">
        <f t="shared" si="27"/>
        <v>0</v>
      </c>
      <c r="IF15" s="18"/>
      <c r="IU15" s="16">
        <f t="shared" si="28"/>
        <v>0</v>
      </c>
      <c r="IV15" s="16">
        <f t="shared" si="29"/>
        <v>0</v>
      </c>
    </row>
    <row r="16" spans="1:256" s="16" customFormat="1" x14ac:dyDescent="0.25">
      <c r="A16" s="15" t="s">
        <v>44</v>
      </c>
      <c r="B16" s="49">
        <v>31</v>
      </c>
      <c r="C16" s="16">
        <v>3</v>
      </c>
      <c r="D16" s="16">
        <v>2</v>
      </c>
      <c r="E16" s="16">
        <v>2</v>
      </c>
      <c r="F16" s="16">
        <v>1</v>
      </c>
      <c r="I16" s="16">
        <v>2</v>
      </c>
      <c r="J16" s="16">
        <v>1</v>
      </c>
      <c r="L16" s="16">
        <v>3</v>
      </c>
      <c r="Q16" s="16">
        <f t="shared" si="0"/>
        <v>3</v>
      </c>
      <c r="R16" s="16">
        <f t="shared" si="1"/>
        <v>3</v>
      </c>
      <c r="S16" s="17"/>
      <c r="AH16" s="16">
        <f t="shared" si="2"/>
        <v>0</v>
      </c>
      <c r="AI16" s="16">
        <f t="shared" si="3"/>
        <v>0</v>
      </c>
      <c r="AJ16" s="18"/>
      <c r="AY16" s="16">
        <f t="shared" si="4"/>
        <v>0</v>
      </c>
      <c r="AZ16" s="16">
        <f t="shared" si="5"/>
        <v>0</v>
      </c>
      <c r="BA16" s="18"/>
      <c r="BP16" s="16">
        <f t="shared" si="6"/>
        <v>0</v>
      </c>
      <c r="BQ16" s="16">
        <f t="shared" si="7"/>
        <v>0</v>
      </c>
      <c r="BR16" s="18"/>
      <c r="CG16" s="16">
        <f t="shared" si="8"/>
        <v>0</v>
      </c>
      <c r="CH16" s="16">
        <f t="shared" si="9"/>
        <v>0</v>
      </c>
      <c r="CI16" s="18"/>
      <c r="CX16" s="16">
        <f t="shared" si="10"/>
        <v>0</v>
      </c>
      <c r="CY16" s="16">
        <f t="shared" si="11"/>
        <v>0</v>
      </c>
      <c r="CZ16" s="18"/>
      <c r="DO16" s="16">
        <f t="shared" si="12"/>
        <v>0</v>
      </c>
      <c r="DP16" s="16">
        <f t="shared" si="13"/>
        <v>0</v>
      </c>
      <c r="DQ16" s="18"/>
      <c r="EF16" s="16">
        <f t="shared" si="14"/>
        <v>0</v>
      </c>
      <c r="EG16" s="16">
        <f t="shared" si="15"/>
        <v>0</v>
      </c>
      <c r="EH16" s="18"/>
      <c r="EW16" s="16">
        <f t="shared" si="16"/>
        <v>0</v>
      </c>
      <c r="EX16" s="16">
        <f t="shared" si="17"/>
        <v>0</v>
      </c>
      <c r="EY16" s="18"/>
      <c r="FN16" s="16">
        <f t="shared" si="18"/>
        <v>0</v>
      </c>
      <c r="FO16" s="16">
        <f t="shared" si="19"/>
        <v>0</v>
      </c>
      <c r="FP16" s="18"/>
      <c r="GE16" s="16">
        <f t="shared" si="20"/>
        <v>0</v>
      </c>
      <c r="GF16" s="16">
        <f t="shared" si="21"/>
        <v>0</v>
      </c>
      <c r="GG16" s="18"/>
      <c r="GV16" s="16">
        <f t="shared" si="22"/>
        <v>0</v>
      </c>
      <c r="GW16" s="16">
        <f t="shared" si="23"/>
        <v>0</v>
      </c>
      <c r="GX16" s="18"/>
      <c r="HM16" s="16">
        <f t="shared" si="24"/>
        <v>0</v>
      </c>
      <c r="HN16" s="16">
        <f t="shared" si="25"/>
        <v>0</v>
      </c>
      <c r="HO16" s="18"/>
      <c r="ID16" s="16">
        <f t="shared" si="26"/>
        <v>0</v>
      </c>
      <c r="IE16" s="16">
        <f t="shared" si="27"/>
        <v>0</v>
      </c>
      <c r="IF16" s="18"/>
      <c r="IU16" s="16">
        <f t="shared" si="28"/>
        <v>0</v>
      </c>
      <c r="IV16" s="16">
        <f t="shared" si="29"/>
        <v>0</v>
      </c>
    </row>
    <row r="17" spans="1:256" s="16" customFormat="1" x14ac:dyDescent="0.25">
      <c r="A17" s="19" t="s">
        <v>45</v>
      </c>
      <c r="B17" s="49">
        <v>32</v>
      </c>
      <c r="C17" s="16">
        <v>2</v>
      </c>
      <c r="D17" s="16">
        <v>1</v>
      </c>
      <c r="J17" s="16">
        <v>1</v>
      </c>
      <c r="K17" s="16">
        <v>1</v>
      </c>
      <c r="L17" s="16">
        <v>1</v>
      </c>
      <c r="Q17" s="16">
        <f t="shared" si="0"/>
        <v>0</v>
      </c>
      <c r="R17" s="16">
        <f t="shared" si="1"/>
        <v>3</v>
      </c>
      <c r="S17" s="17"/>
      <c r="AH17" s="16">
        <f t="shared" si="2"/>
        <v>0</v>
      </c>
      <c r="AI17" s="16">
        <f t="shared" si="3"/>
        <v>0</v>
      </c>
      <c r="AJ17" s="18"/>
      <c r="AY17" s="16">
        <f t="shared" si="4"/>
        <v>0</v>
      </c>
      <c r="AZ17" s="16">
        <f t="shared" si="5"/>
        <v>0</v>
      </c>
      <c r="BA17" s="18"/>
      <c r="BP17" s="16">
        <f t="shared" si="6"/>
        <v>0</v>
      </c>
      <c r="BQ17" s="16">
        <f t="shared" si="7"/>
        <v>0</v>
      </c>
      <c r="BR17" s="18"/>
      <c r="CG17" s="16">
        <f t="shared" si="8"/>
        <v>0</v>
      </c>
      <c r="CH17" s="16">
        <f t="shared" si="9"/>
        <v>0</v>
      </c>
      <c r="CI17" s="18"/>
      <c r="CX17" s="16">
        <f t="shared" si="10"/>
        <v>0</v>
      </c>
      <c r="CY17" s="16">
        <f t="shared" si="11"/>
        <v>0</v>
      </c>
      <c r="CZ17" s="18"/>
      <c r="DO17" s="16">
        <f t="shared" si="12"/>
        <v>0</v>
      </c>
      <c r="DP17" s="16">
        <f t="shared" si="13"/>
        <v>0</v>
      </c>
      <c r="DQ17" s="18"/>
      <c r="EF17" s="16">
        <f t="shared" si="14"/>
        <v>0</v>
      </c>
      <c r="EG17" s="16">
        <f t="shared" si="15"/>
        <v>0</v>
      </c>
      <c r="EH17" s="18"/>
      <c r="EW17" s="16">
        <f t="shared" si="16"/>
        <v>0</v>
      </c>
      <c r="EX17" s="16">
        <f t="shared" si="17"/>
        <v>0</v>
      </c>
      <c r="EY17" s="18"/>
      <c r="FN17" s="16">
        <f t="shared" si="18"/>
        <v>0</v>
      </c>
      <c r="FO17" s="16">
        <f t="shared" si="19"/>
        <v>0</v>
      </c>
      <c r="FP17" s="18"/>
      <c r="GE17" s="16">
        <f t="shared" si="20"/>
        <v>0</v>
      </c>
      <c r="GF17" s="16">
        <f t="shared" si="21"/>
        <v>0</v>
      </c>
      <c r="GG17" s="18"/>
      <c r="GV17" s="16">
        <f t="shared" si="22"/>
        <v>0</v>
      </c>
      <c r="GW17" s="16">
        <f t="shared" si="23"/>
        <v>0</v>
      </c>
      <c r="GX17" s="18"/>
      <c r="HM17" s="16">
        <f t="shared" si="24"/>
        <v>0</v>
      </c>
      <c r="HN17" s="16">
        <f t="shared" si="25"/>
        <v>0</v>
      </c>
      <c r="HO17" s="18"/>
      <c r="ID17" s="16">
        <f t="shared" si="26"/>
        <v>0</v>
      </c>
      <c r="IE17" s="16">
        <f t="shared" si="27"/>
        <v>0</v>
      </c>
      <c r="IF17" s="18"/>
      <c r="IU17" s="16">
        <f t="shared" si="28"/>
        <v>0</v>
      </c>
      <c r="IV17" s="16">
        <f t="shared" si="29"/>
        <v>0</v>
      </c>
    </row>
    <row r="18" spans="1:256" s="16" customFormat="1" x14ac:dyDescent="0.25">
      <c r="A18" s="19" t="s">
        <v>46</v>
      </c>
      <c r="B18" s="49">
        <v>33</v>
      </c>
      <c r="Q18" s="16">
        <f t="shared" si="0"/>
        <v>0</v>
      </c>
      <c r="R18" s="16">
        <f t="shared" si="1"/>
        <v>0</v>
      </c>
      <c r="S18" s="17"/>
      <c r="AH18" s="16">
        <f t="shared" si="2"/>
        <v>0</v>
      </c>
      <c r="AI18" s="16">
        <f t="shared" si="3"/>
        <v>0</v>
      </c>
      <c r="AJ18" s="18"/>
      <c r="AY18" s="16">
        <f t="shared" si="4"/>
        <v>0</v>
      </c>
      <c r="AZ18" s="16">
        <f t="shared" si="5"/>
        <v>0</v>
      </c>
      <c r="BA18" s="18"/>
      <c r="BP18" s="16">
        <f t="shared" si="6"/>
        <v>0</v>
      </c>
      <c r="BQ18" s="16">
        <f t="shared" si="7"/>
        <v>0</v>
      </c>
      <c r="BR18" s="18"/>
      <c r="CG18" s="16">
        <f t="shared" si="8"/>
        <v>0</v>
      </c>
      <c r="CH18" s="16">
        <f t="shared" si="9"/>
        <v>0</v>
      </c>
      <c r="CI18" s="18"/>
      <c r="CX18" s="16">
        <f t="shared" si="10"/>
        <v>0</v>
      </c>
      <c r="CY18" s="16">
        <f t="shared" si="11"/>
        <v>0</v>
      </c>
      <c r="CZ18" s="18"/>
      <c r="DO18" s="16">
        <f t="shared" si="12"/>
        <v>0</v>
      </c>
      <c r="DP18" s="16">
        <f t="shared" si="13"/>
        <v>0</v>
      </c>
      <c r="DQ18" s="18"/>
      <c r="EF18" s="16">
        <f t="shared" si="14"/>
        <v>0</v>
      </c>
      <c r="EG18" s="16">
        <f t="shared" si="15"/>
        <v>0</v>
      </c>
      <c r="EH18" s="18"/>
      <c r="EW18" s="16">
        <f t="shared" si="16"/>
        <v>0</v>
      </c>
      <c r="EX18" s="16">
        <f t="shared" si="17"/>
        <v>0</v>
      </c>
      <c r="EY18" s="18"/>
      <c r="FN18" s="16">
        <f t="shared" si="18"/>
        <v>0</v>
      </c>
      <c r="FO18" s="16">
        <f t="shared" si="19"/>
        <v>0</v>
      </c>
      <c r="FP18" s="18"/>
      <c r="GE18" s="16">
        <f t="shared" si="20"/>
        <v>0</v>
      </c>
      <c r="GF18" s="16">
        <f t="shared" si="21"/>
        <v>0</v>
      </c>
      <c r="GG18" s="18"/>
      <c r="GV18" s="16">
        <f t="shared" si="22"/>
        <v>0</v>
      </c>
      <c r="GW18" s="16">
        <f t="shared" si="23"/>
        <v>0</v>
      </c>
      <c r="GX18" s="18"/>
      <c r="HM18" s="16">
        <f t="shared" si="24"/>
        <v>0</v>
      </c>
      <c r="HN18" s="16">
        <f t="shared" si="25"/>
        <v>0</v>
      </c>
      <c r="HO18" s="18"/>
      <c r="ID18" s="16">
        <f t="shared" si="26"/>
        <v>0</v>
      </c>
      <c r="IE18" s="16">
        <f t="shared" si="27"/>
        <v>0</v>
      </c>
      <c r="IF18" s="18"/>
      <c r="IU18" s="16">
        <f t="shared" si="28"/>
        <v>0</v>
      </c>
      <c r="IV18" s="16">
        <f t="shared" si="29"/>
        <v>0</v>
      </c>
    </row>
    <row r="19" spans="1:256" s="16" customFormat="1" x14ac:dyDescent="0.25">
      <c r="A19" s="19" t="s">
        <v>47</v>
      </c>
      <c r="B19" s="49">
        <v>35</v>
      </c>
      <c r="Q19" s="16">
        <f t="shared" si="0"/>
        <v>0</v>
      </c>
      <c r="R19" s="16">
        <f t="shared" si="1"/>
        <v>0</v>
      </c>
      <c r="S19" s="17"/>
      <c r="AH19" s="16">
        <f t="shared" si="2"/>
        <v>0</v>
      </c>
      <c r="AI19" s="16">
        <f t="shared" si="3"/>
        <v>0</v>
      </c>
      <c r="AJ19" s="18"/>
      <c r="AY19" s="16">
        <f t="shared" si="4"/>
        <v>0</v>
      </c>
      <c r="AZ19" s="16">
        <f t="shared" si="5"/>
        <v>0</v>
      </c>
      <c r="BA19" s="18"/>
      <c r="BP19" s="16">
        <f t="shared" si="6"/>
        <v>0</v>
      </c>
      <c r="BQ19" s="16">
        <f t="shared" si="7"/>
        <v>0</v>
      </c>
      <c r="BR19" s="18"/>
      <c r="CG19" s="16">
        <f t="shared" si="8"/>
        <v>0</v>
      </c>
      <c r="CH19" s="16">
        <f t="shared" si="9"/>
        <v>0</v>
      </c>
      <c r="CI19" s="18"/>
      <c r="CX19" s="16">
        <f t="shared" si="10"/>
        <v>0</v>
      </c>
      <c r="CY19" s="16">
        <f t="shared" si="11"/>
        <v>0</v>
      </c>
      <c r="CZ19" s="18"/>
      <c r="DO19" s="16">
        <f t="shared" si="12"/>
        <v>0</v>
      </c>
      <c r="DP19" s="16">
        <f t="shared" si="13"/>
        <v>0</v>
      </c>
      <c r="DQ19" s="18"/>
      <c r="EF19" s="16">
        <f t="shared" si="14"/>
        <v>0</v>
      </c>
      <c r="EG19" s="16">
        <f t="shared" si="15"/>
        <v>0</v>
      </c>
      <c r="EH19" s="18"/>
      <c r="EW19" s="16">
        <f t="shared" si="16"/>
        <v>0</v>
      </c>
      <c r="EX19" s="16">
        <f t="shared" si="17"/>
        <v>0</v>
      </c>
      <c r="EY19" s="18"/>
      <c r="FN19" s="16">
        <f t="shared" si="18"/>
        <v>0</v>
      </c>
      <c r="FO19" s="16">
        <f t="shared" si="19"/>
        <v>0</v>
      </c>
      <c r="FP19" s="18"/>
      <c r="GE19" s="16">
        <f t="shared" si="20"/>
        <v>0</v>
      </c>
      <c r="GF19" s="16">
        <f t="shared" si="21"/>
        <v>0</v>
      </c>
      <c r="GG19" s="18"/>
      <c r="GV19" s="16">
        <f t="shared" si="22"/>
        <v>0</v>
      </c>
      <c r="GW19" s="16">
        <f t="shared" si="23"/>
        <v>0</v>
      </c>
      <c r="GX19" s="18"/>
      <c r="HM19" s="16">
        <f t="shared" si="24"/>
        <v>0</v>
      </c>
      <c r="HN19" s="16">
        <f t="shared" si="25"/>
        <v>0</v>
      </c>
      <c r="HO19" s="18"/>
      <c r="ID19" s="16">
        <f t="shared" si="26"/>
        <v>0</v>
      </c>
      <c r="IE19" s="16">
        <f t="shared" si="27"/>
        <v>0</v>
      </c>
      <c r="IF19" s="18"/>
      <c r="IU19" s="16">
        <f t="shared" si="28"/>
        <v>0</v>
      </c>
      <c r="IV19" s="16">
        <f t="shared" si="29"/>
        <v>0</v>
      </c>
    </row>
    <row r="20" spans="1:256" s="16" customFormat="1" x14ac:dyDescent="0.25">
      <c r="A20" s="19"/>
      <c r="B20" s="49"/>
      <c r="Q20" s="16">
        <f t="shared" si="0"/>
        <v>0</v>
      </c>
      <c r="R20" s="16">
        <f t="shared" si="1"/>
        <v>0</v>
      </c>
      <c r="S20" s="17"/>
      <c r="AH20" s="16">
        <f t="shared" si="2"/>
        <v>0</v>
      </c>
      <c r="AI20" s="16">
        <f t="shared" si="3"/>
        <v>0</v>
      </c>
      <c r="AJ20" s="18"/>
      <c r="AY20" s="16">
        <f t="shared" si="4"/>
        <v>0</v>
      </c>
      <c r="AZ20" s="16">
        <f t="shared" si="5"/>
        <v>0</v>
      </c>
      <c r="BA20" s="18"/>
      <c r="BP20" s="16">
        <f t="shared" si="6"/>
        <v>0</v>
      </c>
      <c r="BQ20" s="16">
        <f t="shared" si="7"/>
        <v>0</v>
      </c>
      <c r="BR20" s="18"/>
      <c r="CG20" s="16">
        <f t="shared" si="8"/>
        <v>0</v>
      </c>
      <c r="CH20" s="16">
        <f t="shared" si="9"/>
        <v>0</v>
      </c>
      <c r="CI20" s="18"/>
      <c r="CX20" s="16">
        <f t="shared" si="10"/>
        <v>0</v>
      </c>
      <c r="CY20" s="16">
        <f t="shared" si="11"/>
        <v>0</v>
      </c>
      <c r="CZ20" s="18"/>
      <c r="DO20" s="16">
        <f t="shared" si="12"/>
        <v>0</v>
      </c>
      <c r="DP20" s="16">
        <f t="shared" si="13"/>
        <v>0</v>
      </c>
      <c r="DQ20" s="18"/>
      <c r="EF20" s="16">
        <f t="shared" si="14"/>
        <v>0</v>
      </c>
      <c r="EG20" s="16">
        <f t="shared" si="15"/>
        <v>0</v>
      </c>
      <c r="EH20" s="18"/>
      <c r="EW20" s="16">
        <f t="shared" si="16"/>
        <v>0</v>
      </c>
      <c r="EX20" s="16">
        <f t="shared" si="17"/>
        <v>0</v>
      </c>
      <c r="EY20" s="18"/>
      <c r="FN20" s="16">
        <f t="shared" si="18"/>
        <v>0</v>
      </c>
      <c r="FO20" s="16">
        <f t="shared" si="19"/>
        <v>0</v>
      </c>
      <c r="FP20" s="18"/>
      <c r="GE20" s="16">
        <f t="shared" si="20"/>
        <v>0</v>
      </c>
      <c r="GF20" s="16">
        <f t="shared" si="21"/>
        <v>0</v>
      </c>
      <c r="GG20" s="18"/>
      <c r="GV20" s="16">
        <f t="shared" si="22"/>
        <v>0</v>
      </c>
      <c r="GW20" s="16">
        <f t="shared" si="23"/>
        <v>0</v>
      </c>
      <c r="GX20" s="18"/>
      <c r="HM20" s="16">
        <f t="shared" si="24"/>
        <v>0</v>
      </c>
      <c r="HN20" s="16">
        <f t="shared" si="25"/>
        <v>0</v>
      </c>
      <c r="HO20" s="18"/>
      <c r="ID20" s="16">
        <f t="shared" si="26"/>
        <v>0</v>
      </c>
      <c r="IE20" s="16">
        <f t="shared" si="27"/>
        <v>0</v>
      </c>
      <c r="IF20" s="18"/>
      <c r="IU20" s="16">
        <f t="shared" si="28"/>
        <v>0</v>
      </c>
      <c r="IV20" s="16">
        <f t="shared" si="29"/>
        <v>0</v>
      </c>
    </row>
    <row r="21" spans="1:256" s="16" customFormat="1" x14ac:dyDescent="0.25">
      <c r="A21" s="14"/>
      <c r="B21" s="49"/>
      <c r="Q21" s="16">
        <f t="shared" si="0"/>
        <v>0</v>
      </c>
      <c r="R21" s="16">
        <f t="shared" si="1"/>
        <v>0</v>
      </c>
      <c r="S21" s="17"/>
      <c r="AH21" s="16">
        <f t="shared" si="2"/>
        <v>0</v>
      </c>
      <c r="AI21" s="16">
        <f t="shared" si="3"/>
        <v>0</v>
      </c>
      <c r="AJ21" s="18"/>
      <c r="AY21" s="16">
        <f t="shared" si="4"/>
        <v>0</v>
      </c>
      <c r="AZ21" s="16">
        <f t="shared" si="5"/>
        <v>0</v>
      </c>
      <c r="BA21" s="18"/>
      <c r="BP21" s="16">
        <f t="shared" si="6"/>
        <v>0</v>
      </c>
      <c r="BQ21" s="16">
        <f t="shared" si="7"/>
        <v>0</v>
      </c>
      <c r="BR21" s="18"/>
      <c r="CG21" s="16">
        <f t="shared" si="8"/>
        <v>0</v>
      </c>
      <c r="CH21" s="16">
        <f t="shared" si="9"/>
        <v>0</v>
      </c>
      <c r="CI21" s="18"/>
      <c r="CX21" s="16">
        <f t="shared" si="10"/>
        <v>0</v>
      </c>
      <c r="CY21" s="16">
        <f t="shared" si="11"/>
        <v>0</v>
      </c>
      <c r="CZ21" s="18"/>
      <c r="DO21" s="16">
        <f t="shared" si="12"/>
        <v>0</v>
      </c>
      <c r="DP21" s="16">
        <f t="shared" si="13"/>
        <v>0</v>
      </c>
      <c r="DQ21" s="18"/>
      <c r="EF21" s="16">
        <f t="shared" si="14"/>
        <v>0</v>
      </c>
      <c r="EG21" s="16">
        <f t="shared" si="15"/>
        <v>0</v>
      </c>
      <c r="EH21" s="18"/>
      <c r="EW21" s="16">
        <f t="shared" si="16"/>
        <v>0</v>
      </c>
      <c r="EX21" s="16">
        <f t="shared" si="17"/>
        <v>0</v>
      </c>
      <c r="EY21" s="18"/>
      <c r="FN21" s="16">
        <f t="shared" si="18"/>
        <v>0</v>
      </c>
      <c r="FO21" s="16">
        <f t="shared" si="19"/>
        <v>0</v>
      </c>
      <c r="FP21" s="18"/>
      <c r="GE21" s="16">
        <f t="shared" si="20"/>
        <v>0</v>
      </c>
      <c r="GF21" s="16">
        <f t="shared" si="21"/>
        <v>0</v>
      </c>
      <c r="GG21" s="18"/>
      <c r="GV21" s="16">
        <f t="shared" si="22"/>
        <v>0</v>
      </c>
      <c r="GW21" s="16">
        <f t="shared" si="23"/>
        <v>0</v>
      </c>
      <c r="GX21" s="18"/>
      <c r="HM21" s="16">
        <f t="shared" si="24"/>
        <v>0</v>
      </c>
      <c r="HN21" s="16">
        <f t="shared" si="25"/>
        <v>0</v>
      </c>
      <c r="HO21" s="18"/>
      <c r="ID21" s="16">
        <f t="shared" si="26"/>
        <v>0</v>
      </c>
      <c r="IE21" s="16">
        <f t="shared" si="27"/>
        <v>0</v>
      </c>
      <c r="IF21" s="18"/>
      <c r="IU21" s="16">
        <f t="shared" si="28"/>
        <v>0</v>
      </c>
      <c r="IV21" s="16">
        <f t="shared" si="29"/>
        <v>0</v>
      </c>
    </row>
    <row r="22" spans="1:256" s="16" customFormat="1" x14ac:dyDescent="0.25">
      <c r="A22" s="14"/>
      <c r="B22" s="49"/>
      <c r="Q22" s="16">
        <f t="shared" si="0"/>
        <v>0</v>
      </c>
      <c r="R22" s="16">
        <f t="shared" si="1"/>
        <v>0</v>
      </c>
      <c r="S22" s="17"/>
      <c r="AH22" s="16">
        <f t="shared" si="2"/>
        <v>0</v>
      </c>
      <c r="AI22" s="16">
        <f t="shared" si="3"/>
        <v>0</v>
      </c>
      <c r="AJ22" s="18"/>
      <c r="AY22" s="16">
        <f t="shared" si="4"/>
        <v>0</v>
      </c>
      <c r="AZ22" s="16">
        <f t="shared" si="5"/>
        <v>0</v>
      </c>
      <c r="BA22" s="18"/>
      <c r="BP22" s="16">
        <f t="shared" si="6"/>
        <v>0</v>
      </c>
      <c r="BQ22" s="16">
        <f t="shared" si="7"/>
        <v>0</v>
      </c>
      <c r="BR22" s="18"/>
      <c r="CG22" s="16">
        <f t="shared" si="8"/>
        <v>0</v>
      </c>
      <c r="CH22" s="16">
        <f t="shared" si="9"/>
        <v>0</v>
      </c>
      <c r="CI22" s="18"/>
      <c r="CX22" s="16">
        <f t="shared" si="10"/>
        <v>0</v>
      </c>
      <c r="CY22" s="16">
        <f t="shared" si="11"/>
        <v>0</v>
      </c>
      <c r="CZ22" s="18"/>
      <c r="DO22" s="16">
        <f t="shared" si="12"/>
        <v>0</v>
      </c>
      <c r="DP22" s="16">
        <f t="shared" si="13"/>
        <v>0</v>
      </c>
      <c r="DQ22" s="18"/>
      <c r="EF22" s="16">
        <f t="shared" si="14"/>
        <v>0</v>
      </c>
      <c r="EG22" s="16">
        <f t="shared" si="15"/>
        <v>0</v>
      </c>
      <c r="EH22" s="18"/>
      <c r="EW22" s="16">
        <f t="shared" si="16"/>
        <v>0</v>
      </c>
      <c r="EX22" s="16">
        <f t="shared" si="17"/>
        <v>0</v>
      </c>
      <c r="EY22" s="18"/>
      <c r="FN22" s="16">
        <f t="shared" si="18"/>
        <v>0</v>
      </c>
      <c r="FO22" s="16">
        <f t="shared" si="19"/>
        <v>0</v>
      </c>
      <c r="FP22" s="18"/>
      <c r="GE22" s="16">
        <f t="shared" si="20"/>
        <v>0</v>
      </c>
      <c r="GF22" s="16">
        <f t="shared" si="21"/>
        <v>0</v>
      </c>
      <c r="GG22" s="18"/>
      <c r="GV22" s="16">
        <f t="shared" si="22"/>
        <v>0</v>
      </c>
      <c r="GW22" s="16">
        <f t="shared" si="23"/>
        <v>0</v>
      </c>
      <c r="GX22" s="18"/>
      <c r="HM22" s="16">
        <f t="shared" si="24"/>
        <v>0</v>
      </c>
      <c r="HN22" s="16">
        <f t="shared" si="25"/>
        <v>0</v>
      </c>
      <c r="HO22" s="18"/>
      <c r="ID22" s="16">
        <f t="shared" si="26"/>
        <v>0</v>
      </c>
      <c r="IE22" s="16">
        <f t="shared" si="27"/>
        <v>0</v>
      </c>
      <c r="IF22" s="18"/>
      <c r="IU22" s="16">
        <f t="shared" si="28"/>
        <v>0</v>
      </c>
      <c r="IV22" s="16">
        <f t="shared" si="29"/>
        <v>0</v>
      </c>
    </row>
    <row r="23" spans="1:256" s="16" customFormat="1" x14ac:dyDescent="0.25">
      <c r="A23" s="14"/>
      <c r="B23" s="49"/>
      <c r="Q23" s="16">
        <f t="shared" si="0"/>
        <v>0</v>
      </c>
      <c r="R23" s="16">
        <f t="shared" si="1"/>
        <v>0</v>
      </c>
      <c r="S23" s="17"/>
      <c r="AH23" s="16">
        <f t="shared" si="2"/>
        <v>0</v>
      </c>
      <c r="AI23" s="16">
        <f t="shared" si="3"/>
        <v>0</v>
      </c>
      <c r="AJ23" s="18"/>
      <c r="AY23" s="16">
        <f t="shared" si="4"/>
        <v>0</v>
      </c>
      <c r="AZ23" s="16">
        <f t="shared" si="5"/>
        <v>0</v>
      </c>
      <c r="BA23" s="18"/>
      <c r="BP23" s="16">
        <f t="shared" si="6"/>
        <v>0</v>
      </c>
      <c r="BQ23" s="16">
        <f t="shared" si="7"/>
        <v>0</v>
      </c>
      <c r="BR23" s="18"/>
      <c r="CG23" s="16">
        <f t="shared" si="8"/>
        <v>0</v>
      </c>
      <c r="CH23" s="16">
        <f t="shared" si="9"/>
        <v>0</v>
      </c>
      <c r="CI23" s="18"/>
      <c r="CX23" s="16">
        <f t="shared" si="10"/>
        <v>0</v>
      </c>
      <c r="CY23" s="16">
        <f t="shared" si="11"/>
        <v>0</v>
      </c>
      <c r="CZ23" s="18"/>
      <c r="DO23" s="16">
        <f t="shared" si="12"/>
        <v>0</v>
      </c>
      <c r="DP23" s="16">
        <f t="shared" si="13"/>
        <v>0</v>
      </c>
      <c r="DQ23" s="18"/>
      <c r="EF23" s="16">
        <f t="shared" si="14"/>
        <v>0</v>
      </c>
      <c r="EG23" s="16">
        <f t="shared" si="15"/>
        <v>0</v>
      </c>
      <c r="EH23" s="18"/>
      <c r="EW23" s="16">
        <f t="shared" si="16"/>
        <v>0</v>
      </c>
      <c r="EX23" s="16">
        <f t="shared" si="17"/>
        <v>0</v>
      </c>
      <c r="EY23" s="18"/>
      <c r="FN23" s="16">
        <f t="shared" si="18"/>
        <v>0</v>
      </c>
      <c r="FO23" s="16">
        <f t="shared" si="19"/>
        <v>0</v>
      </c>
      <c r="FP23" s="18"/>
      <c r="GE23" s="16">
        <f t="shared" si="20"/>
        <v>0</v>
      </c>
      <c r="GF23" s="16">
        <f t="shared" si="21"/>
        <v>0</v>
      </c>
      <c r="GG23" s="18"/>
      <c r="GV23" s="16">
        <f t="shared" si="22"/>
        <v>0</v>
      </c>
      <c r="GW23" s="16">
        <f t="shared" si="23"/>
        <v>0</v>
      </c>
      <c r="GX23" s="18"/>
      <c r="HM23" s="16">
        <f t="shared" si="24"/>
        <v>0</v>
      </c>
      <c r="HN23" s="16">
        <f t="shared" si="25"/>
        <v>0</v>
      </c>
      <c r="HO23" s="18"/>
      <c r="ID23" s="16">
        <f t="shared" si="26"/>
        <v>0</v>
      </c>
      <c r="IE23" s="16">
        <f t="shared" si="27"/>
        <v>0</v>
      </c>
      <c r="IF23" s="18"/>
      <c r="IU23" s="16">
        <f t="shared" si="28"/>
        <v>0</v>
      </c>
      <c r="IV23" s="16">
        <f t="shared" si="29"/>
        <v>0</v>
      </c>
    </row>
    <row r="24" spans="1:256" s="16" customFormat="1" x14ac:dyDescent="0.25">
      <c r="A24" s="14"/>
      <c r="B24" s="49"/>
      <c r="Q24" s="16">
        <f t="shared" si="0"/>
        <v>0</v>
      </c>
      <c r="R24" s="16">
        <f t="shared" si="1"/>
        <v>0</v>
      </c>
      <c r="S24" s="17"/>
      <c r="AH24" s="16">
        <f t="shared" si="2"/>
        <v>0</v>
      </c>
      <c r="AI24" s="16">
        <f t="shared" si="3"/>
        <v>0</v>
      </c>
      <c r="AJ24" s="18"/>
      <c r="AY24" s="16">
        <f t="shared" si="4"/>
        <v>0</v>
      </c>
      <c r="AZ24" s="16">
        <f t="shared" si="5"/>
        <v>0</v>
      </c>
      <c r="BA24" s="18"/>
      <c r="BP24" s="16">
        <f t="shared" si="6"/>
        <v>0</v>
      </c>
      <c r="BQ24" s="16">
        <f t="shared" si="7"/>
        <v>0</v>
      </c>
      <c r="BR24" s="18"/>
      <c r="CG24" s="16">
        <f t="shared" si="8"/>
        <v>0</v>
      </c>
      <c r="CH24" s="16">
        <f t="shared" si="9"/>
        <v>0</v>
      </c>
      <c r="CI24" s="18"/>
      <c r="CX24" s="16">
        <f t="shared" si="10"/>
        <v>0</v>
      </c>
      <c r="CY24" s="16">
        <f t="shared" si="11"/>
        <v>0</v>
      </c>
      <c r="CZ24" s="18"/>
      <c r="DO24" s="16">
        <f t="shared" si="12"/>
        <v>0</v>
      </c>
      <c r="DP24" s="16">
        <f t="shared" si="13"/>
        <v>0</v>
      </c>
      <c r="DQ24" s="18"/>
      <c r="EF24" s="16">
        <f t="shared" si="14"/>
        <v>0</v>
      </c>
      <c r="EG24" s="16">
        <f t="shared" si="15"/>
        <v>0</v>
      </c>
      <c r="EH24" s="18"/>
      <c r="EW24" s="16">
        <f t="shared" si="16"/>
        <v>0</v>
      </c>
      <c r="EX24" s="16">
        <f t="shared" si="17"/>
        <v>0</v>
      </c>
      <c r="EY24" s="18"/>
      <c r="FN24" s="16">
        <f t="shared" si="18"/>
        <v>0</v>
      </c>
      <c r="FO24" s="16">
        <f t="shared" si="19"/>
        <v>0</v>
      </c>
      <c r="FP24" s="18"/>
      <c r="GE24" s="16">
        <f t="shared" si="20"/>
        <v>0</v>
      </c>
      <c r="GF24" s="16">
        <f t="shared" si="21"/>
        <v>0</v>
      </c>
      <c r="GG24" s="18"/>
      <c r="GV24" s="16">
        <f t="shared" si="22"/>
        <v>0</v>
      </c>
      <c r="GW24" s="16">
        <f t="shared" si="23"/>
        <v>0</v>
      </c>
      <c r="GX24" s="18"/>
      <c r="HM24" s="16">
        <f t="shared" si="24"/>
        <v>0</v>
      </c>
      <c r="HN24" s="16">
        <f t="shared" si="25"/>
        <v>0</v>
      </c>
      <c r="HO24" s="18"/>
      <c r="ID24" s="16">
        <f t="shared" si="26"/>
        <v>0</v>
      </c>
      <c r="IE24" s="16">
        <f t="shared" si="27"/>
        <v>0</v>
      </c>
      <c r="IF24" s="18"/>
      <c r="IU24" s="16">
        <f t="shared" si="28"/>
        <v>0</v>
      </c>
      <c r="IV24" s="16">
        <f t="shared" si="29"/>
        <v>0</v>
      </c>
    </row>
    <row r="25" spans="1:256" s="16" customFormat="1" x14ac:dyDescent="0.25">
      <c r="A25" s="14"/>
      <c r="B25" s="49"/>
      <c r="Q25" s="16">
        <f t="shared" si="0"/>
        <v>0</v>
      </c>
      <c r="R25" s="16">
        <f t="shared" si="1"/>
        <v>0</v>
      </c>
      <c r="S25" s="17"/>
      <c r="AH25" s="16">
        <f t="shared" si="2"/>
        <v>0</v>
      </c>
      <c r="AI25" s="16">
        <f t="shared" si="3"/>
        <v>0</v>
      </c>
      <c r="AJ25" s="18"/>
      <c r="AY25" s="16">
        <f t="shared" si="4"/>
        <v>0</v>
      </c>
      <c r="AZ25" s="16">
        <f t="shared" si="5"/>
        <v>0</v>
      </c>
      <c r="BA25" s="18"/>
      <c r="BP25" s="16">
        <f t="shared" si="6"/>
        <v>0</v>
      </c>
      <c r="BQ25" s="16">
        <f t="shared" si="7"/>
        <v>0</v>
      </c>
      <c r="BR25" s="18"/>
      <c r="CG25" s="16">
        <f t="shared" si="8"/>
        <v>0</v>
      </c>
      <c r="CH25" s="16">
        <f t="shared" si="9"/>
        <v>0</v>
      </c>
      <c r="CI25" s="18"/>
      <c r="CX25" s="16">
        <f t="shared" si="10"/>
        <v>0</v>
      </c>
      <c r="CY25" s="16">
        <f t="shared" si="11"/>
        <v>0</v>
      </c>
      <c r="CZ25" s="18"/>
      <c r="DO25" s="16">
        <f t="shared" si="12"/>
        <v>0</v>
      </c>
      <c r="DP25" s="16">
        <f t="shared" si="13"/>
        <v>0</v>
      </c>
      <c r="DQ25" s="18"/>
      <c r="EF25" s="16">
        <f t="shared" si="14"/>
        <v>0</v>
      </c>
      <c r="EG25" s="16">
        <f t="shared" si="15"/>
        <v>0</v>
      </c>
      <c r="EH25" s="18"/>
      <c r="EW25" s="16">
        <f t="shared" si="16"/>
        <v>0</v>
      </c>
      <c r="EX25" s="16">
        <f t="shared" si="17"/>
        <v>0</v>
      </c>
      <c r="EY25" s="18"/>
      <c r="FN25" s="16">
        <f t="shared" si="18"/>
        <v>0</v>
      </c>
      <c r="FO25" s="16">
        <f t="shared" si="19"/>
        <v>0</v>
      </c>
      <c r="FP25" s="18"/>
      <c r="GE25" s="16">
        <f t="shared" si="20"/>
        <v>0</v>
      </c>
      <c r="GF25" s="16">
        <f t="shared" si="21"/>
        <v>0</v>
      </c>
      <c r="GG25" s="18"/>
      <c r="GV25" s="16">
        <f t="shared" si="22"/>
        <v>0</v>
      </c>
      <c r="GW25" s="16">
        <f t="shared" si="23"/>
        <v>0</v>
      </c>
      <c r="GX25" s="18"/>
      <c r="HM25" s="16">
        <f t="shared" si="24"/>
        <v>0</v>
      </c>
      <c r="HN25" s="16">
        <f t="shared" si="25"/>
        <v>0</v>
      </c>
      <c r="HO25" s="18"/>
      <c r="ID25" s="16">
        <f t="shared" si="26"/>
        <v>0</v>
      </c>
      <c r="IE25" s="16">
        <f t="shared" si="27"/>
        <v>0</v>
      </c>
      <c r="IF25" s="18"/>
      <c r="IU25" s="16">
        <f t="shared" si="28"/>
        <v>0</v>
      </c>
      <c r="IV25" s="16">
        <f t="shared" si="29"/>
        <v>0</v>
      </c>
    </row>
    <row r="26" spans="1:256" s="20" customFormat="1" ht="13.8" thickBot="1" x14ac:dyDescent="0.3">
      <c r="A26" s="14"/>
      <c r="B26" s="49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>
        <f t="shared" si="0"/>
        <v>0</v>
      </c>
      <c r="R26" s="16">
        <f t="shared" si="1"/>
        <v>0</v>
      </c>
      <c r="S26" s="17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>
        <f t="shared" si="2"/>
        <v>0</v>
      </c>
      <c r="AI26" s="16">
        <f t="shared" si="3"/>
        <v>0</v>
      </c>
      <c r="AJ26" s="18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>
        <f t="shared" si="4"/>
        <v>0</v>
      </c>
      <c r="AZ26" s="16">
        <f t="shared" si="5"/>
        <v>0</v>
      </c>
      <c r="BA26" s="18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>
        <f t="shared" si="6"/>
        <v>0</v>
      </c>
      <c r="BQ26" s="16">
        <f t="shared" si="7"/>
        <v>0</v>
      </c>
      <c r="BR26" s="18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>
        <f t="shared" si="8"/>
        <v>0</v>
      </c>
      <c r="CH26" s="16">
        <f t="shared" si="9"/>
        <v>0</v>
      </c>
      <c r="CI26" s="18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>
        <f t="shared" si="10"/>
        <v>0</v>
      </c>
      <c r="CY26" s="16">
        <f t="shared" si="11"/>
        <v>0</v>
      </c>
      <c r="CZ26" s="18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>
        <f t="shared" si="12"/>
        <v>0</v>
      </c>
      <c r="DP26" s="16">
        <f t="shared" si="13"/>
        <v>0</v>
      </c>
      <c r="DQ26" s="18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>
        <f t="shared" si="14"/>
        <v>0</v>
      </c>
      <c r="EG26" s="16">
        <f t="shared" si="15"/>
        <v>0</v>
      </c>
      <c r="EH26" s="18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>
        <f t="shared" si="16"/>
        <v>0</v>
      </c>
      <c r="EX26" s="16">
        <f t="shared" si="17"/>
        <v>0</v>
      </c>
      <c r="EY26" s="18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>
        <f t="shared" si="18"/>
        <v>0</v>
      </c>
      <c r="FO26" s="16">
        <f t="shared" si="19"/>
        <v>0</v>
      </c>
      <c r="FP26" s="18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>
        <f t="shared" si="20"/>
        <v>0</v>
      </c>
      <c r="GF26" s="16">
        <f t="shared" si="21"/>
        <v>0</v>
      </c>
      <c r="GG26" s="18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>
        <f t="shared" si="22"/>
        <v>0</v>
      </c>
      <c r="GW26" s="16">
        <f t="shared" si="23"/>
        <v>0</v>
      </c>
      <c r="GX26" s="18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>
        <f t="shared" si="24"/>
        <v>0</v>
      </c>
      <c r="HN26" s="16">
        <f t="shared" si="25"/>
        <v>0</v>
      </c>
      <c r="HO26" s="18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>
        <f t="shared" si="26"/>
        <v>0</v>
      </c>
      <c r="IE26" s="16">
        <f t="shared" si="27"/>
        <v>0</v>
      </c>
      <c r="IF26" s="18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>
        <f t="shared" si="28"/>
        <v>0</v>
      </c>
      <c r="IV26" s="16">
        <f t="shared" si="29"/>
        <v>0</v>
      </c>
    </row>
    <row r="27" spans="1:256" s="22" customFormat="1" ht="13.8" thickBot="1" x14ac:dyDescent="0.3">
      <c r="A27" s="64" t="s">
        <v>48</v>
      </c>
      <c r="B27" s="64"/>
      <c r="C27" s="21">
        <f>SUM(C8:C26)</f>
        <v>25</v>
      </c>
      <c r="D27" s="21">
        <f t="shared" ref="D27:P27" si="30">SUM(D8:D26)</f>
        <v>10</v>
      </c>
      <c r="E27" s="21">
        <f t="shared" si="30"/>
        <v>9</v>
      </c>
      <c r="F27" s="21">
        <f t="shared" si="30"/>
        <v>2</v>
      </c>
      <c r="G27" s="21">
        <f t="shared" si="30"/>
        <v>1</v>
      </c>
      <c r="H27" s="21">
        <f t="shared" si="30"/>
        <v>0</v>
      </c>
      <c r="I27" s="21">
        <f t="shared" si="30"/>
        <v>4</v>
      </c>
      <c r="J27" s="21">
        <f t="shared" si="30"/>
        <v>4</v>
      </c>
      <c r="K27" s="21">
        <f t="shared" si="30"/>
        <v>5</v>
      </c>
      <c r="L27" s="21">
        <f t="shared" si="30"/>
        <v>9</v>
      </c>
      <c r="M27" s="21">
        <f t="shared" si="30"/>
        <v>0</v>
      </c>
      <c r="N27" s="21">
        <f t="shared" si="30"/>
        <v>0</v>
      </c>
      <c r="O27" s="21">
        <f t="shared" si="30"/>
        <v>0</v>
      </c>
      <c r="P27" s="21">
        <f t="shared" si="30"/>
        <v>0</v>
      </c>
      <c r="Q27" s="21">
        <f>SUM(Q8:Q26)</f>
        <v>13</v>
      </c>
      <c r="R27" s="21">
        <f>SUM(R8:R26)</f>
        <v>30</v>
      </c>
      <c r="T27" s="21">
        <f>SUM(T8:T26)</f>
        <v>0</v>
      </c>
      <c r="U27" s="21">
        <f t="shared" ref="U27:AG27" si="31">SUM(U8:U26)</f>
        <v>0</v>
      </c>
      <c r="V27" s="21">
        <f t="shared" si="31"/>
        <v>0</v>
      </c>
      <c r="W27" s="21">
        <f t="shared" si="31"/>
        <v>0</v>
      </c>
      <c r="X27" s="21">
        <f t="shared" si="31"/>
        <v>0</v>
      </c>
      <c r="Y27" s="21">
        <f t="shared" si="31"/>
        <v>0</v>
      </c>
      <c r="Z27" s="21">
        <f t="shared" si="31"/>
        <v>0</v>
      </c>
      <c r="AA27" s="21">
        <f t="shared" si="31"/>
        <v>0</v>
      </c>
      <c r="AB27" s="21">
        <f t="shared" si="31"/>
        <v>0</v>
      </c>
      <c r="AC27" s="21">
        <f t="shared" si="31"/>
        <v>0</v>
      </c>
      <c r="AD27" s="21">
        <f t="shared" si="31"/>
        <v>0</v>
      </c>
      <c r="AE27" s="21">
        <f t="shared" si="31"/>
        <v>0</v>
      </c>
      <c r="AF27" s="21">
        <f t="shared" si="31"/>
        <v>0</v>
      </c>
      <c r="AG27" s="21">
        <f t="shared" si="31"/>
        <v>0</v>
      </c>
      <c r="AH27" s="21">
        <f>SUM(AH8:AH26)</f>
        <v>0</v>
      </c>
      <c r="AI27" s="21">
        <f>SUM(AI8:AI26)</f>
        <v>0</v>
      </c>
      <c r="AK27" s="21">
        <f>SUM(AK8:AK26)</f>
        <v>0</v>
      </c>
      <c r="AL27" s="21">
        <f t="shared" ref="AL27:AX27" si="32">SUM(AL8:AL26)</f>
        <v>0</v>
      </c>
      <c r="AM27" s="21">
        <f t="shared" si="32"/>
        <v>0</v>
      </c>
      <c r="AN27" s="21">
        <f t="shared" si="32"/>
        <v>0</v>
      </c>
      <c r="AO27" s="21">
        <f t="shared" si="32"/>
        <v>0</v>
      </c>
      <c r="AP27" s="21">
        <f t="shared" si="32"/>
        <v>0</v>
      </c>
      <c r="AQ27" s="21">
        <f t="shared" si="32"/>
        <v>0</v>
      </c>
      <c r="AR27" s="21">
        <f t="shared" si="32"/>
        <v>0</v>
      </c>
      <c r="AS27" s="21">
        <f t="shared" si="32"/>
        <v>0</v>
      </c>
      <c r="AT27" s="21">
        <f t="shared" si="32"/>
        <v>0</v>
      </c>
      <c r="AU27" s="21">
        <f t="shared" si="32"/>
        <v>0</v>
      </c>
      <c r="AV27" s="21">
        <f t="shared" si="32"/>
        <v>0</v>
      </c>
      <c r="AW27" s="21">
        <f t="shared" si="32"/>
        <v>0</v>
      </c>
      <c r="AX27" s="21">
        <f t="shared" si="32"/>
        <v>0</v>
      </c>
      <c r="AY27" s="21">
        <f>SUM(AY8:AY26)</f>
        <v>0</v>
      </c>
      <c r="AZ27" s="21">
        <f>SUM(AZ8:AZ26)</f>
        <v>0</v>
      </c>
      <c r="BB27" s="21">
        <f>SUM(BB8:BB26)</f>
        <v>0</v>
      </c>
      <c r="BC27" s="21">
        <f t="shared" ref="BC27:BO27" si="33">SUM(BC8:BC26)</f>
        <v>0</v>
      </c>
      <c r="BD27" s="21">
        <f t="shared" si="33"/>
        <v>0</v>
      </c>
      <c r="BE27" s="21">
        <f t="shared" si="33"/>
        <v>0</v>
      </c>
      <c r="BF27" s="21">
        <f t="shared" si="33"/>
        <v>0</v>
      </c>
      <c r="BG27" s="21">
        <f t="shared" si="33"/>
        <v>0</v>
      </c>
      <c r="BH27" s="21">
        <f t="shared" si="33"/>
        <v>0</v>
      </c>
      <c r="BI27" s="21">
        <f t="shared" si="33"/>
        <v>0</v>
      </c>
      <c r="BJ27" s="21">
        <f t="shared" si="33"/>
        <v>0</v>
      </c>
      <c r="BK27" s="21">
        <f t="shared" si="33"/>
        <v>0</v>
      </c>
      <c r="BL27" s="21">
        <f t="shared" si="33"/>
        <v>0</v>
      </c>
      <c r="BM27" s="21">
        <f t="shared" si="33"/>
        <v>0</v>
      </c>
      <c r="BN27" s="21">
        <f t="shared" si="33"/>
        <v>0</v>
      </c>
      <c r="BO27" s="21">
        <f t="shared" si="33"/>
        <v>0</v>
      </c>
      <c r="BP27" s="21">
        <f>SUM(BP8:BP26)</f>
        <v>0</v>
      </c>
      <c r="BQ27" s="21">
        <f>SUM(BQ8:BQ26)</f>
        <v>0</v>
      </c>
      <c r="BS27" s="21">
        <f>SUM(BS8:BS26)</f>
        <v>0</v>
      </c>
      <c r="BT27" s="21">
        <f t="shared" ref="BT27:CF27" si="34">SUM(BT8:BT26)</f>
        <v>0</v>
      </c>
      <c r="BU27" s="21">
        <f t="shared" si="34"/>
        <v>0</v>
      </c>
      <c r="BV27" s="21">
        <f t="shared" si="34"/>
        <v>0</v>
      </c>
      <c r="BW27" s="21">
        <f t="shared" si="34"/>
        <v>0</v>
      </c>
      <c r="BX27" s="21">
        <f t="shared" si="34"/>
        <v>0</v>
      </c>
      <c r="BY27" s="21">
        <f t="shared" si="34"/>
        <v>0</v>
      </c>
      <c r="BZ27" s="21">
        <f t="shared" si="34"/>
        <v>0</v>
      </c>
      <c r="CA27" s="21">
        <f t="shared" si="34"/>
        <v>0</v>
      </c>
      <c r="CB27" s="21">
        <f t="shared" si="34"/>
        <v>0</v>
      </c>
      <c r="CC27" s="21">
        <f t="shared" si="34"/>
        <v>0</v>
      </c>
      <c r="CD27" s="21">
        <f t="shared" si="34"/>
        <v>0</v>
      </c>
      <c r="CE27" s="21">
        <f t="shared" si="34"/>
        <v>0</v>
      </c>
      <c r="CF27" s="21">
        <f t="shared" si="34"/>
        <v>0</v>
      </c>
      <c r="CG27" s="21">
        <f>SUM(CG8:CG26)</f>
        <v>0</v>
      </c>
      <c r="CH27" s="21">
        <f>SUM(CH8:CH26)</f>
        <v>0</v>
      </c>
      <c r="CJ27" s="21">
        <f>SUM(CJ8:CJ26)</f>
        <v>0</v>
      </c>
      <c r="CK27" s="21">
        <f t="shared" ref="CK27:CW27" si="35">SUM(CK8:CK26)</f>
        <v>0</v>
      </c>
      <c r="CL27" s="21">
        <f t="shared" si="35"/>
        <v>0</v>
      </c>
      <c r="CM27" s="21">
        <f t="shared" si="35"/>
        <v>0</v>
      </c>
      <c r="CN27" s="21">
        <f t="shared" si="35"/>
        <v>0</v>
      </c>
      <c r="CO27" s="21">
        <f t="shared" si="35"/>
        <v>0</v>
      </c>
      <c r="CP27" s="21">
        <f t="shared" si="35"/>
        <v>0</v>
      </c>
      <c r="CQ27" s="21">
        <f t="shared" si="35"/>
        <v>0</v>
      </c>
      <c r="CR27" s="21">
        <f t="shared" si="35"/>
        <v>0</v>
      </c>
      <c r="CS27" s="21">
        <f t="shared" si="35"/>
        <v>0</v>
      </c>
      <c r="CT27" s="21">
        <f t="shared" si="35"/>
        <v>0</v>
      </c>
      <c r="CU27" s="21">
        <f t="shared" si="35"/>
        <v>0</v>
      </c>
      <c r="CV27" s="21">
        <f t="shared" si="35"/>
        <v>0</v>
      </c>
      <c r="CW27" s="21">
        <f t="shared" si="35"/>
        <v>0</v>
      </c>
      <c r="CX27" s="21">
        <f>SUM(CX8:CX26)</f>
        <v>0</v>
      </c>
      <c r="CY27" s="21">
        <f>SUM(CY8:CY26)</f>
        <v>0</v>
      </c>
      <c r="DA27" s="21">
        <f>SUM(DA8:DA26)</f>
        <v>0</v>
      </c>
      <c r="DB27" s="21">
        <f t="shared" ref="DB27:DN27" si="36">SUM(DB8:DB26)</f>
        <v>0</v>
      </c>
      <c r="DC27" s="21">
        <f t="shared" si="36"/>
        <v>0</v>
      </c>
      <c r="DD27" s="21">
        <f t="shared" si="36"/>
        <v>0</v>
      </c>
      <c r="DE27" s="21">
        <f t="shared" si="36"/>
        <v>0</v>
      </c>
      <c r="DF27" s="21">
        <f t="shared" si="36"/>
        <v>0</v>
      </c>
      <c r="DG27" s="21">
        <f t="shared" si="36"/>
        <v>0</v>
      </c>
      <c r="DH27" s="21">
        <f t="shared" si="36"/>
        <v>0</v>
      </c>
      <c r="DI27" s="21">
        <f t="shared" si="36"/>
        <v>0</v>
      </c>
      <c r="DJ27" s="21">
        <f t="shared" si="36"/>
        <v>0</v>
      </c>
      <c r="DK27" s="21">
        <f t="shared" si="36"/>
        <v>0</v>
      </c>
      <c r="DL27" s="21">
        <f t="shared" si="36"/>
        <v>0</v>
      </c>
      <c r="DM27" s="21">
        <f t="shared" si="36"/>
        <v>0</v>
      </c>
      <c r="DN27" s="21">
        <f t="shared" si="36"/>
        <v>0</v>
      </c>
      <c r="DO27" s="21">
        <f>SUM(DO8:DO26)</f>
        <v>0</v>
      </c>
      <c r="DP27" s="21">
        <f>SUM(DP8:DP26)</f>
        <v>0</v>
      </c>
      <c r="DR27" s="21">
        <f>SUM(DR8:DR26)</f>
        <v>0</v>
      </c>
      <c r="DS27" s="21">
        <f t="shared" ref="DS27:EE27" si="37">SUM(DS8:DS26)</f>
        <v>0</v>
      </c>
      <c r="DT27" s="21">
        <f t="shared" si="37"/>
        <v>0</v>
      </c>
      <c r="DU27" s="21">
        <f t="shared" si="37"/>
        <v>0</v>
      </c>
      <c r="DV27" s="21">
        <f t="shared" si="37"/>
        <v>0</v>
      </c>
      <c r="DW27" s="21">
        <f t="shared" si="37"/>
        <v>0</v>
      </c>
      <c r="DX27" s="21">
        <f t="shared" si="37"/>
        <v>0</v>
      </c>
      <c r="DY27" s="21">
        <f t="shared" si="37"/>
        <v>0</v>
      </c>
      <c r="DZ27" s="21">
        <f t="shared" si="37"/>
        <v>0</v>
      </c>
      <c r="EA27" s="21">
        <f t="shared" si="37"/>
        <v>0</v>
      </c>
      <c r="EB27" s="21">
        <f t="shared" si="37"/>
        <v>0</v>
      </c>
      <c r="EC27" s="21">
        <f t="shared" si="37"/>
        <v>0</v>
      </c>
      <c r="ED27" s="21">
        <f t="shared" si="37"/>
        <v>0</v>
      </c>
      <c r="EE27" s="21">
        <f t="shared" si="37"/>
        <v>0</v>
      </c>
      <c r="EF27" s="21">
        <f>SUM(EF8:EF26)</f>
        <v>0</v>
      </c>
      <c r="EG27" s="21">
        <f>SUM(EG8:EG26)</f>
        <v>0</v>
      </c>
      <c r="EI27" s="21">
        <f>SUM(EI8:EI26)</f>
        <v>0</v>
      </c>
      <c r="EJ27" s="21">
        <f t="shared" ref="EJ27:EV27" si="38">SUM(EJ8:EJ26)</f>
        <v>0</v>
      </c>
      <c r="EK27" s="21">
        <f t="shared" si="38"/>
        <v>0</v>
      </c>
      <c r="EL27" s="21">
        <f t="shared" si="38"/>
        <v>0</v>
      </c>
      <c r="EM27" s="21">
        <f t="shared" si="38"/>
        <v>0</v>
      </c>
      <c r="EN27" s="21">
        <f t="shared" si="38"/>
        <v>0</v>
      </c>
      <c r="EO27" s="21">
        <f t="shared" si="38"/>
        <v>0</v>
      </c>
      <c r="EP27" s="21">
        <f t="shared" si="38"/>
        <v>0</v>
      </c>
      <c r="EQ27" s="21">
        <f t="shared" si="38"/>
        <v>0</v>
      </c>
      <c r="ER27" s="21">
        <f t="shared" si="38"/>
        <v>0</v>
      </c>
      <c r="ES27" s="21">
        <f t="shared" si="38"/>
        <v>0</v>
      </c>
      <c r="ET27" s="21">
        <f t="shared" si="38"/>
        <v>0</v>
      </c>
      <c r="EU27" s="21">
        <f t="shared" si="38"/>
        <v>0</v>
      </c>
      <c r="EV27" s="21">
        <f t="shared" si="38"/>
        <v>0</v>
      </c>
      <c r="EW27" s="21">
        <f>SUM(EW8:EW26)</f>
        <v>0</v>
      </c>
      <c r="EX27" s="21">
        <f>SUM(EX8:EX26)</f>
        <v>0</v>
      </c>
      <c r="EZ27" s="21">
        <f>SUM(EZ8:EZ26)</f>
        <v>0</v>
      </c>
      <c r="FA27" s="21">
        <f t="shared" ref="FA27:FM27" si="39">SUM(FA8:FA26)</f>
        <v>0</v>
      </c>
      <c r="FB27" s="21">
        <f t="shared" si="39"/>
        <v>0</v>
      </c>
      <c r="FC27" s="21">
        <f t="shared" si="39"/>
        <v>0</v>
      </c>
      <c r="FD27" s="21">
        <f t="shared" si="39"/>
        <v>0</v>
      </c>
      <c r="FE27" s="21">
        <f t="shared" si="39"/>
        <v>0</v>
      </c>
      <c r="FF27" s="21">
        <f t="shared" si="39"/>
        <v>0</v>
      </c>
      <c r="FG27" s="21">
        <f t="shared" si="39"/>
        <v>0</v>
      </c>
      <c r="FH27" s="21">
        <f t="shared" si="39"/>
        <v>0</v>
      </c>
      <c r="FI27" s="21">
        <f t="shared" si="39"/>
        <v>0</v>
      </c>
      <c r="FJ27" s="21">
        <f t="shared" si="39"/>
        <v>0</v>
      </c>
      <c r="FK27" s="21">
        <f t="shared" si="39"/>
        <v>0</v>
      </c>
      <c r="FL27" s="21">
        <f t="shared" si="39"/>
        <v>0</v>
      </c>
      <c r="FM27" s="21">
        <f t="shared" si="39"/>
        <v>0</v>
      </c>
      <c r="FN27" s="21">
        <f>SUM(FN8:FN26)</f>
        <v>0</v>
      </c>
      <c r="FO27" s="21">
        <f>SUM(FO8:FO26)</f>
        <v>0</v>
      </c>
      <c r="FQ27" s="21">
        <f>SUM(FQ8:FQ26)</f>
        <v>0</v>
      </c>
      <c r="FR27" s="21">
        <f t="shared" ref="FR27:GD27" si="40">SUM(FR8:FR26)</f>
        <v>0</v>
      </c>
      <c r="FS27" s="21">
        <f t="shared" si="40"/>
        <v>0</v>
      </c>
      <c r="FT27" s="21">
        <f t="shared" si="40"/>
        <v>0</v>
      </c>
      <c r="FU27" s="21">
        <f t="shared" si="40"/>
        <v>0</v>
      </c>
      <c r="FV27" s="21">
        <f t="shared" si="40"/>
        <v>0</v>
      </c>
      <c r="FW27" s="21">
        <f t="shared" si="40"/>
        <v>0</v>
      </c>
      <c r="FX27" s="21">
        <f t="shared" si="40"/>
        <v>0</v>
      </c>
      <c r="FY27" s="21">
        <f t="shared" si="40"/>
        <v>0</v>
      </c>
      <c r="FZ27" s="21">
        <f t="shared" si="40"/>
        <v>0</v>
      </c>
      <c r="GA27" s="21">
        <f t="shared" si="40"/>
        <v>0</v>
      </c>
      <c r="GB27" s="21">
        <f t="shared" si="40"/>
        <v>0</v>
      </c>
      <c r="GC27" s="21">
        <f t="shared" si="40"/>
        <v>0</v>
      </c>
      <c r="GD27" s="21">
        <f t="shared" si="40"/>
        <v>0</v>
      </c>
      <c r="GE27" s="21">
        <f>SUM(GE8:GE26)</f>
        <v>0</v>
      </c>
      <c r="GF27" s="21">
        <f>SUM(GF8:GF26)</f>
        <v>0</v>
      </c>
      <c r="GH27" s="21">
        <f>SUM(GH8:GH26)</f>
        <v>0</v>
      </c>
      <c r="GI27" s="21">
        <f t="shared" ref="GI27:GU27" si="41">SUM(GI8:GI26)</f>
        <v>0</v>
      </c>
      <c r="GJ27" s="21">
        <f t="shared" si="41"/>
        <v>0</v>
      </c>
      <c r="GK27" s="21">
        <f t="shared" si="41"/>
        <v>0</v>
      </c>
      <c r="GL27" s="21">
        <f t="shared" si="41"/>
        <v>0</v>
      </c>
      <c r="GM27" s="21">
        <f t="shared" si="41"/>
        <v>0</v>
      </c>
      <c r="GN27" s="21">
        <f t="shared" si="41"/>
        <v>0</v>
      </c>
      <c r="GO27" s="21">
        <f t="shared" si="41"/>
        <v>0</v>
      </c>
      <c r="GP27" s="21">
        <f t="shared" si="41"/>
        <v>0</v>
      </c>
      <c r="GQ27" s="21">
        <f t="shared" si="41"/>
        <v>0</v>
      </c>
      <c r="GR27" s="21">
        <f t="shared" si="41"/>
        <v>0</v>
      </c>
      <c r="GS27" s="21">
        <f t="shared" si="41"/>
        <v>0</v>
      </c>
      <c r="GT27" s="21">
        <f t="shared" si="41"/>
        <v>0</v>
      </c>
      <c r="GU27" s="21">
        <f t="shared" si="41"/>
        <v>0</v>
      </c>
      <c r="GV27" s="21">
        <f>SUM(GV8:GV26)</f>
        <v>0</v>
      </c>
      <c r="GW27" s="21">
        <f>SUM(GW8:GW26)</f>
        <v>0</v>
      </c>
      <c r="GY27" s="21">
        <f>SUM(GY8:GY26)</f>
        <v>0</v>
      </c>
      <c r="GZ27" s="21">
        <f t="shared" ref="GZ27:HL27" si="42">SUM(GZ8:GZ26)</f>
        <v>0</v>
      </c>
      <c r="HA27" s="21">
        <f t="shared" si="42"/>
        <v>0</v>
      </c>
      <c r="HB27" s="21">
        <f t="shared" si="42"/>
        <v>0</v>
      </c>
      <c r="HC27" s="21">
        <f t="shared" si="42"/>
        <v>0</v>
      </c>
      <c r="HD27" s="21">
        <f t="shared" si="42"/>
        <v>0</v>
      </c>
      <c r="HE27" s="21">
        <f t="shared" si="42"/>
        <v>0</v>
      </c>
      <c r="HF27" s="21">
        <f t="shared" si="42"/>
        <v>0</v>
      </c>
      <c r="HG27" s="21">
        <f t="shared" si="42"/>
        <v>0</v>
      </c>
      <c r="HH27" s="21">
        <f t="shared" si="42"/>
        <v>0</v>
      </c>
      <c r="HI27" s="21">
        <f t="shared" si="42"/>
        <v>0</v>
      </c>
      <c r="HJ27" s="21">
        <f t="shared" si="42"/>
        <v>0</v>
      </c>
      <c r="HK27" s="21">
        <f t="shared" si="42"/>
        <v>0</v>
      </c>
      <c r="HL27" s="21">
        <f t="shared" si="42"/>
        <v>0</v>
      </c>
      <c r="HM27" s="21">
        <f>SUM(HM8:HM26)</f>
        <v>0</v>
      </c>
      <c r="HN27" s="21">
        <f>SUM(HN8:HN26)</f>
        <v>0</v>
      </c>
      <c r="HP27" s="21">
        <f>SUM(HP8:HP26)</f>
        <v>0</v>
      </c>
      <c r="HQ27" s="21">
        <f t="shared" ref="HQ27:IC27" si="43">SUM(HQ8:HQ26)</f>
        <v>0</v>
      </c>
      <c r="HR27" s="21">
        <f t="shared" si="43"/>
        <v>0</v>
      </c>
      <c r="HS27" s="21">
        <f t="shared" si="43"/>
        <v>0</v>
      </c>
      <c r="HT27" s="21">
        <f t="shared" si="43"/>
        <v>0</v>
      </c>
      <c r="HU27" s="21">
        <f t="shared" si="43"/>
        <v>0</v>
      </c>
      <c r="HV27" s="21">
        <f t="shared" si="43"/>
        <v>0</v>
      </c>
      <c r="HW27" s="21">
        <f t="shared" si="43"/>
        <v>0</v>
      </c>
      <c r="HX27" s="21">
        <f t="shared" si="43"/>
        <v>0</v>
      </c>
      <c r="HY27" s="21">
        <f t="shared" si="43"/>
        <v>0</v>
      </c>
      <c r="HZ27" s="21">
        <f t="shared" si="43"/>
        <v>0</v>
      </c>
      <c r="IA27" s="21">
        <f t="shared" si="43"/>
        <v>0</v>
      </c>
      <c r="IB27" s="21">
        <f t="shared" si="43"/>
        <v>0</v>
      </c>
      <c r="IC27" s="21">
        <f t="shared" si="43"/>
        <v>0</v>
      </c>
      <c r="ID27" s="21">
        <f>SUM(ID8:ID26)</f>
        <v>0</v>
      </c>
      <c r="IE27" s="21">
        <f>SUM(IE8:IE26)</f>
        <v>0</v>
      </c>
      <c r="IG27" s="21">
        <f>SUM(IG8:IG26)</f>
        <v>0</v>
      </c>
      <c r="IH27" s="21">
        <f t="shared" ref="IH27:IT27" si="44">SUM(IH8:IH26)</f>
        <v>0</v>
      </c>
      <c r="II27" s="21">
        <f t="shared" si="44"/>
        <v>0</v>
      </c>
      <c r="IJ27" s="21">
        <f t="shared" si="44"/>
        <v>0</v>
      </c>
      <c r="IK27" s="21">
        <f t="shared" si="44"/>
        <v>0</v>
      </c>
      <c r="IL27" s="21">
        <f t="shared" si="44"/>
        <v>0</v>
      </c>
      <c r="IM27" s="21">
        <f t="shared" si="44"/>
        <v>0</v>
      </c>
      <c r="IN27" s="21">
        <f t="shared" si="44"/>
        <v>0</v>
      </c>
      <c r="IO27" s="21">
        <f t="shared" si="44"/>
        <v>0</v>
      </c>
      <c r="IP27" s="21">
        <f t="shared" si="44"/>
        <v>0</v>
      </c>
      <c r="IQ27" s="21">
        <f t="shared" si="44"/>
        <v>0</v>
      </c>
      <c r="IR27" s="21">
        <f t="shared" si="44"/>
        <v>0</v>
      </c>
      <c r="IS27" s="21">
        <f t="shared" si="44"/>
        <v>0</v>
      </c>
      <c r="IT27" s="21">
        <f t="shared" si="44"/>
        <v>0</v>
      </c>
      <c r="IU27" s="21">
        <f>SUM(IU8:IU26)</f>
        <v>0</v>
      </c>
      <c r="IV27" s="21">
        <f>SUM(IV8:IV26)</f>
        <v>0</v>
      </c>
    </row>
    <row r="28" spans="1:256" s="23" customFormat="1" ht="10.199999999999999" x14ac:dyDescent="0.2">
      <c r="B28" s="46"/>
      <c r="S28" s="24"/>
      <c r="AJ28" s="24"/>
      <c r="BA28" s="24"/>
      <c r="BR28" s="24"/>
      <c r="CI28" s="24"/>
      <c r="CZ28" s="24"/>
      <c r="DQ28" s="24"/>
      <c r="EH28" s="24"/>
      <c r="EY28" s="24"/>
      <c r="FP28" s="24"/>
      <c r="GG28" s="24"/>
      <c r="GX28" s="24"/>
      <c r="HO28" s="24"/>
      <c r="IF28" s="24"/>
    </row>
    <row r="29" spans="1:256" s="23" customFormat="1" ht="10.199999999999999" x14ac:dyDescent="0.2">
      <c r="B29" s="46"/>
      <c r="S29" s="24"/>
      <c r="AJ29" s="24"/>
      <c r="BA29" s="24"/>
      <c r="BR29" s="24"/>
      <c r="CI29" s="24"/>
      <c r="CZ29" s="24"/>
      <c r="DQ29" s="24"/>
      <c r="EH29" s="24"/>
      <c r="EY29" s="24"/>
      <c r="FP29" s="24"/>
      <c r="GG29" s="24"/>
      <c r="GX29" s="24"/>
      <c r="HO29" s="24"/>
      <c r="IF29" s="24"/>
    </row>
    <row r="30" spans="1:256" s="23" customFormat="1" x14ac:dyDescent="0.25">
      <c r="A30" s="65" t="s">
        <v>49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AJ30" s="24"/>
      <c r="BA30" s="24"/>
      <c r="BR30" s="24"/>
      <c r="CI30" s="24"/>
      <c r="CZ30" s="24"/>
      <c r="DQ30" s="24"/>
      <c r="EH30" s="24"/>
      <c r="EY30" s="24"/>
      <c r="FP30" s="24"/>
      <c r="GG30" s="24"/>
      <c r="GX30" s="24"/>
      <c r="HO30" s="24"/>
      <c r="IF30" s="24"/>
    </row>
    <row r="31" spans="1:256" s="23" customFormat="1" x14ac:dyDescent="0.2">
      <c r="A31" s="45" t="s">
        <v>19</v>
      </c>
      <c r="B31" s="58" t="s">
        <v>73</v>
      </c>
      <c r="C31" s="13" t="s">
        <v>20</v>
      </c>
      <c r="D31" s="11" t="s">
        <v>21</v>
      </c>
      <c r="E31" s="11" t="s">
        <v>22</v>
      </c>
      <c r="F31" s="11" t="s">
        <v>23</v>
      </c>
      <c r="G31" s="11" t="s">
        <v>24</v>
      </c>
      <c r="H31" s="11" t="s">
        <v>25</v>
      </c>
      <c r="I31" s="11" t="s">
        <v>26</v>
      </c>
      <c r="J31" s="11" t="s">
        <v>27</v>
      </c>
      <c r="K31" s="11" t="s">
        <v>28</v>
      </c>
      <c r="L31" s="11" t="s">
        <v>29</v>
      </c>
      <c r="M31" s="11" t="s">
        <v>30</v>
      </c>
      <c r="N31" s="11" t="s">
        <v>31</v>
      </c>
      <c r="O31" s="11" t="s">
        <v>32</v>
      </c>
      <c r="P31" s="12" t="s">
        <v>33</v>
      </c>
      <c r="Q31" s="11" t="s">
        <v>34</v>
      </c>
      <c r="R31" s="27" t="s">
        <v>35</v>
      </c>
      <c r="S31" s="24"/>
      <c r="T31" s="28" t="s">
        <v>50</v>
      </c>
      <c r="U31" s="29" t="s">
        <v>51</v>
      </c>
      <c r="AJ31" s="24"/>
      <c r="BA31" s="24"/>
      <c r="BR31" s="24"/>
      <c r="CI31" s="24"/>
      <c r="CZ31" s="24"/>
      <c r="DQ31" s="24"/>
      <c r="EH31" s="24"/>
      <c r="EY31" s="24"/>
      <c r="FP31" s="24"/>
      <c r="GG31" s="24"/>
      <c r="GX31" s="24"/>
      <c r="HO31" s="24"/>
      <c r="IF31" s="24"/>
    </row>
    <row r="32" spans="1:256" s="23" customFormat="1" x14ac:dyDescent="0.25">
      <c r="A32" s="30" t="str">
        <f t="shared" ref="A32:B50" si="45">IF(A8="","",A8)</f>
        <v>LUIS TORRENS EQUIPO9</v>
      </c>
      <c r="B32" s="47">
        <f t="shared" si="45"/>
        <v>22</v>
      </c>
      <c r="C32" s="16">
        <f t="shared" ref="C32:C50" si="46">+C8+T8+AK8+BB8+BS8+CJ8+DA8+DR8+EI8+EZ8+FQ8+GH8+GY8+HP8+IG8</f>
        <v>4</v>
      </c>
      <c r="D32" s="16">
        <f t="shared" ref="D32:D50" si="47">+D8+U8+AL8+BC8+BT8+CK8+DB8+DS8+EJ8+FA8+FR8+GI8+GZ8+HQ8+IH8</f>
        <v>2</v>
      </c>
      <c r="E32" s="16">
        <f t="shared" ref="E32:E50" si="48">+E8+V8+AM8+BD8+BU8+CL8+DC8+DT8+EK8+FB8+FS8+GJ8+HA8+HR8+II8</f>
        <v>1</v>
      </c>
      <c r="F32" s="16">
        <f t="shared" ref="F32:F50" si="49">+F8+W8+AN8+BE8+BV8+CM8+DD8+DU8+EL8+FC8+FT8+GK8+HB8+HS8+IJ8</f>
        <v>0</v>
      </c>
      <c r="G32" s="16">
        <f t="shared" ref="G32:G50" si="50">+G8+X8+AO8+BF8+BW8+CN8+DE8+DV8+EM8+FD8+FU8+GL8+HC8+HT8+IK8</f>
        <v>0</v>
      </c>
      <c r="H32" s="16">
        <f t="shared" ref="H32:H50" si="51">+H8+Y8+AP8+BG8+BX8+CO8+DF8+DW8+EN8+FE8+FV8+GM8+HD8+HU8+IL8</f>
        <v>0</v>
      </c>
      <c r="I32" s="16">
        <f t="shared" ref="I32:I50" si="52">+I8+Z8+AQ8+BH8+BY8+CP8+DG8+DX8+EO8+FF8+FW8+GN8+HE8+HV8+IM8</f>
        <v>0</v>
      </c>
      <c r="J32" s="16">
        <f t="shared" ref="J32:J50" si="53">+J8+AA8+AR8+BI8+BZ8+CQ8+DH8+DY8+EP8+FG8+FX8+GO8+HF8+HW8+IN8</f>
        <v>0</v>
      </c>
      <c r="K32" s="16">
        <f t="shared" ref="K32:K50" si="54">+K8+AB8+AS8+BJ8+CA8+CR8+DI8+DZ8+EQ8+FH8+FY8+GP8+HG8+HX8+IO8</f>
        <v>0</v>
      </c>
      <c r="L32" s="16">
        <f t="shared" ref="L32:L50" si="55">+L8+AC8+AT8+BK8+CB8+CS8+DJ8+EA8+ER8+FI8+FZ8+GQ8+HH8+HY8+IP8</f>
        <v>1</v>
      </c>
      <c r="M32" s="16">
        <f t="shared" ref="M32:M50" si="56">+M8+AD8+AU8+BL8+CC8+CT8+DK8+EB8+ES8+FJ8+GA8+GR8+HI8+HZ8+IQ8</f>
        <v>0</v>
      </c>
      <c r="N32" s="16">
        <f t="shared" ref="N32:N50" si="57">+N8+AE8+AV8+BM8+CD8+CU8+DL8+EC8+ET8+FK8+GB8+GS8+HJ8+IA8+IR8</f>
        <v>0</v>
      </c>
      <c r="O32" s="16">
        <f t="shared" ref="O32:O50" si="58">+O8+AF8+AW8+BN8+CE8+CV8+DM8+ED8+EU8+FL8+GC8+GT8+HK8+IB8+IS8</f>
        <v>0</v>
      </c>
      <c r="P32" s="16">
        <f t="shared" ref="P32:P50" si="59">+P8+AG8+AX8+BO8+CF8+CW8+DN8+EE8+EV8+FM8+GD8+GU8+HL8+IC8+IT8</f>
        <v>0</v>
      </c>
      <c r="Q32" s="16">
        <f t="shared" ref="Q32:Q50" si="60">+Q8+AH8+AY8+BP8+CG8+CX8+DO8+EF8+EW8+FN8+GE8+GV8+HM8+ID8+IU8</f>
        <v>1</v>
      </c>
      <c r="R32" s="16">
        <f t="shared" ref="R32:R50" si="61">+R8+AI8+AZ8+BQ8+CH8+CY8+DP8+EG8+EX8+FO8+GF8+GW8+HN8+IE8+IV8</f>
        <v>4</v>
      </c>
      <c r="S32" s="24"/>
      <c r="T32" s="31">
        <f t="shared" ref="T32:T51" si="62">IF(C32=0,0,E32*1000/C32)</f>
        <v>250</v>
      </c>
      <c r="U32" s="31">
        <f t="shared" ref="U32:U51" si="63">IF(C32=0,0,Q32*1000/C32)</f>
        <v>250</v>
      </c>
      <c r="AJ32" s="24"/>
      <c r="BA32" s="24"/>
      <c r="BR32" s="24"/>
      <c r="CI32" s="24"/>
      <c r="CZ32" s="24"/>
      <c r="DQ32" s="24"/>
      <c r="EH32" s="24"/>
      <c r="EY32" s="24"/>
      <c r="FP32" s="24"/>
      <c r="GG32" s="24"/>
      <c r="GX32" s="24"/>
      <c r="HO32" s="24"/>
      <c r="IF32" s="24"/>
    </row>
    <row r="33" spans="1:240" s="23" customFormat="1" x14ac:dyDescent="0.25">
      <c r="A33" s="30" t="str">
        <f t="shared" si="45"/>
        <v>JOSEPH MENDOZA</v>
      </c>
      <c r="B33" s="47">
        <f t="shared" si="45"/>
        <v>23</v>
      </c>
      <c r="C33" s="16">
        <f t="shared" si="46"/>
        <v>3</v>
      </c>
      <c r="D33" s="16">
        <f t="shared" si="47"/>
        <v>1</v>
      </c>
      <c r="E33" s="16">
        <f t="shared" si="48"/>
        <v>1</v>
      </c>
      <c r="F33" s="16">
        <f t="shared" si="49"/>
        <v>1</v>
      </c>
      <c r="G33" s="16">
        <f t="shared" si="50"/>
        <v>0</v>
      </c>
      <c r="H33" s="16">
        <f t="shared" si="51"/>
        <v>0</v>
      </c>
      <c r="I33" s="16">
        <f t="shared" si="52"/>
        <v>0</v>
      </c>
      <c r="J33" s="16">
        <f t="shared" si="53"/>
        <v>0</v>
      </c>
      <c r="K33" s="16">
        <f t="shared" si="54"/>
        <v>1</v>
      </c>
      <c r="L33" s="16">
        <f t="shared" si="55"/>
        <v>0</v>
      </c>
      <c r="M33" s="16">
        <f t="shared" si="56"/>
        <v>0</v>
      </c>
      <c r="N33" s="16">
        <f t="shared" si="57"/>
        <v>0</v>
      </c>
      <c r="O33" s="16">
        <f t="shared" si="58"/>
        <v>0</v>
      </c>
      <c r="P33" s="16">
        <f t="shared" si="59"/>
        <v>0</v>
      </c>
      <c r="Q33" s="16">
        <f t="shared" si="60"/>
        <v>2</v>
      </c>
      <c r="R33" s="16">
        <f t="shared" si="61"/>
        <v>4</v>
      </c>
      <c r="S33" s="24"/>
      <c r="T33" s="31">
        <f t="shared" si="62"/>
        <v>333.33333333333331</v>
      </c>
      <c r="U33" s="31">
        <f t="shared" si="63"/>
        <v>666.66666666666663</v>
      </c>
      <c r="AJ33" s="24"/>
      <c r="BA33" s="24"/>
      <c r="BR33" s="24"/>
      <c r="CI33" s="24"/>
      <c r="CZ33" s="24"/>
      <c r="DQ33" s="24"/>
      <c r="EH33" s="24"/>
      <c r="EY33" s="24"/>
      <c r="FP33" s="24"/>
      <c r="GG33" s="24"/>
      <c r="GX33" s="24"/>
      <c r="HO33" s="24"/>
      <c r="IF33" s="24"/>
    </row>
    <row r="34" spans="1:240" s="23" customFormat="1" x14ac:dyDescent="0.25">
      <c r="A34" s="30" t="str">
        <f t="shared" si="45"/>
        <v>ABRAHAN RODRIGUZ</v>
      </c>
      <c r="B34" s="47">
        <f t="shared" si="45"/>
        <v>24</v>
      </c>
      <c r="C34" s="16">
        <f t="shared" si="46"/>
        <v>4</v>
      </c>
      <c r="D34" s="16">
        <f t="shared" si="47"/>
        <v>0</v>
      </c>
      <c r="E34" s="16">
        <f t="shared" si="48"/>
        <v>1</v>
      </c>
      <c r="F34" s="16">
        <f t="shared" si="49"/>
        <v>0</v>
      </c>
      <c r="G34" s="16">
        <f t="shared" si="50"/>
        <v>0</v>
      </c>
      <c r="H34" s="16">
        <f t="shared" si="51"/>
        <v>0</v>
      </c>
      <c r="I34" s="16">
        <f t="shared" si="52"/>
        <v>0</v>
      </c>
      <c r="J34" s="16">
        <f t="shared" si="53"/>
        <v>0</v>
      </c>
      <c r="K34" s="16">
        <f t="shared" si="54"/>
        <v>0</v>
      </c>
      <c r="L34" s="16">
        <f t="shared" si="55"/>
        <v>0</v>
      </c>
      <c r="M34" s="16">
        <f t="shared" si="56"/>
        <v>0</v>
      </c>
      <c r="N34" s="16">
        <f t="shared" si="57"/>
        <v>0</v>
      </c>
      <c r="O34" s="16">
        <f t="shared" si="58"/>
        <v>0</v>
      </c>
      <c r="P34" s="16">
        <f t="shared" si="59"/>
        <v>0</v>
      </c>
      <c r="Q34" s="16">
        <f t="shared" si="60"/>
        <v>1</v>
      </c>
      <c r="R34" s="16">
        <f t="shared" si="61"/>
        <v>4</v>
      </c>
      <c r="S34" s="24"/>
      <c r="T34" s="31">
        <f t="shared" si="62"/>
        <v>250</v>
      </c>
      <c r="U34" s="31">
        <f t="shared" si="63"/>
        <v>250</v>
      </c>
      <c r="AJ34" s="24"/>
      <c r="BA34" s="24"/>
      <c r="BR34" s="24"/>
      <c r="CI34" s="24"/>
      <c r="CZ34" s="24"/>
      <c r="DQ34" s="24"/>
      <c r="EH34" s="24"/>
      <c r="EY34" s="24"/>
      <c r="FP34" s="24"/>
      <c r="GG34" s="24"/>
      <c r="GX34" s="24"/>
      <c r="HO34" s="24"/>
      <c r="IF34" s="24"/>
    </row>
    <row r="35" spans="1:240" s="23" customFormat="1" x14ac:dyDescent="0.25">
      <c r="A35" s="30" t="str">
        <f t="shared" si="45"/>
        <v>ALEXANDER HERNANDEZ</v>
      </c>
      <c r="B35" s="47">
        <f t="shared" si="45"/>
        <v>25</v>
      </c>
      <c r="C35" s="16">
        <f t="shared" si="46"/>
        <v>0</v>
      </c>
      <c r="D35" s="16">
        <f t="shared" si="47"/>
        <v>1</v>
      </c>
      <c r="E35" s="16">
        <f t="shared" si="48"/>
        <v>0</v>
      </c>
      <c r="F35" s="16">
        <f t="shared" si="49"/>
        <v>0</v>
      </c>
      <c r="G35" s="16">
        <f t="shared" si="50"/>
        <v>0</v>
      </c>
      <c r="H35" s="16">
        <f t="shared" si="51"/>
        <v>0</v>
      </c>
      <c r="I35" s="16">
        <f t="shared" si="52"/>
        <v>1</v>
      </c>
      <c r="J35" s="16">
        <f t="shared" si="53"/>
        <v>0</v>
      </c>
      <c r="K35" s="16">
        <f t="shared" si="54"/>
        <v>3</v>
      </c>
      <c r="L35" s="16">
        <f t="shared" si="55"/>
        <v>3</v>
      </c>
      <c r="M35" s="16">
        <f t="shared" si="56"/>
        <v>0</v>
      </c>
      <c r="N35" s="16">
        <f t="shared" si="57"/>
        <v>0</v>
      </c>
      <c r="O35" s="16">
        <f t="shared" si="58"/>
        <v>0</v>
      </c>
      <c r="P35" s="16">
        <f t="shared" si="59"/>
        <v>0</v>
      </c>
      <c r="Q35" s="16">
        <f t="shared" si="60"/>
        <v>0</v>
      </c>
      <c r="R35" s="16">
        <f t="shared" si="61"/>
        <v>3</v>
      </c>
      <c r="S35" s="24"/>
      <c r="T35" s="31">
        <f t="shared" si="62"/>
        <v>0</v>
      </c>
      <c r="U35" s="31">
        <f t="shared" si="63"/>
        <v>0</v>
      </c>
      <c r="AJ35" s="24"/>
      <c r="BA35" s="24"/>
      <c r="BR35" s="24"/>
      <c r="CI35" s="24"/>
      <c r="CZ35" s="24"/>
      <c r="DQ35" s="24"/>
      <c r="EH35" s="24"/>
      <c r="EY35" s="24"/>
      <c r="FP35" s="24"/>
      <c r="GG35" s="24"/>
      <c r="GX35" s="24"/>
      <c r="HO35" s="24"/>
      <c r="IF35" s="24"/>
    </row>
    <row r="36" spans="1:240" s="23" customFormat="1" x14ac:dyDescent="0.25">
      <c r="A36" s="30" t="str">
        <f t="shared" si="45"/>
        <v>DANIEL LIENDO</v>
      </c>
      <c r="B36" s="47">
        <f t="shared" si="45"/>
        <v>26</v>
      </c>
      <c r="C36" s="16">
        <f t="shared" si="46"/>
        <v>1</v>
      </c>
      <c r="D36" s="16">
        <f t="shared" si="47"/>
        <v>0</v>
      </c>
      <c r="E36" s="16">
        <f t="shared" si="48"/>
        <v>0</v>
      </c>
      <c r="F36" s="16">
        <f t="shared" si="49"/>
        <v>0</v>
      </c>
      <c r="G36" s="16">
        <f t="shared" si="50"/>
        <v>0</v>
      </c>
      <c r="H36" s="16">
        <f t="shared" si="51"/>
        <v>0</v>
      </c>
      <c r="I36" s="16">
        <f t="shared" si="52"/>
        <v>0</v>
      </c>
      <c r="J36" s="16">
        <f t="shared" si="53"/>
        <v>0</v>
      </c>
      <c r="K36" s="16">
        <f t="shared" si="54"/>
        <v>0</v>
      </c>
      <c r="L36" s="16">
        <f t="shared" si="55"/>
        <v>0</v>
      </c>
      <c r="M36" s="16">
        <f t="shared" si="56"/>
        <v>0</v>
      </c>
      <c r="N36" s="16">
        <f t="shared" si="57"/>
        <v>0</v>
      </c>
      <c r="O36" s="16">
        <f t="shared" si="58"/>
        <v>0</v>
      </c>
      <c r="P36" s="16">
        <f t="shared" si="59"/>
        <v>0</v>
      </c>
      <c r="Q36" s="16">
        <f t="shared" si="60"/>
        <v>0</v>
      </c>
      <c r="R36" s="16">
        <f t="shared" si="61"/>
        <v>1</v>
      </c>
      <c r="S36" s="24"/>
      <c r="T36" s="31">
        <f t="shared" si="62"/>
        <v>0</v>
      </c>
      <c r="U36" s="31">
        <f t="shared" si="63"/>
        <v>0</v>
      </c>
      <c r="AJ36" s="24"/>
      <c r="BA36" s="24"/>
      <c r="BR36" s="24"/>
      <c r="CI36" s="24"/>
      <c r="CZ36" s="24"/>
      <c r="DQ36" s="24"/>
      <c r="EH36" s="24"/>
      <c r="EY36" s="24"/>
      <c r="FP36" s="24"/>
      <c r="GG36" s="24"/>
      <c r="GX36" s="24"/>
      <c r="HO36" s="24"/>
      <c r="IF36" s="24"/>
    </row>
    <row r="37" spans="1:240" s="23" customFormat="1" x14ac:dyDescent="0.25">
      <c r="A37" s="30" t="str">
        <f t="shared" si="45"/>
        <v>SEBASTIAN MUJICA</v>
      </c>
      <c r="B37" s="47">
        <f t="shared" si="45"/>
        <v>28</v>
      </c>
      <c r="C37" s="16">
        <f t="shared" si="46"/>
        <v>2</v>
      </c>
      <c r="D37" s="16">
        <f t="shared" si="47"/>
        <v>0</v>
      </c>
      <c r="E37" s="16">
        <f t="shared" si="48"/>
        <v>0</v>
      </c>
      <c r="F37" s="16">
        <f t="shared" si="49"/>
        <v>0</v>
      </c>
      <c r="G37" s="16">
        <f t="shared" si="50"/>
        <v>0</v>
      </c>
      <c r="H37" s="16">
        <f t="shared" si="51"/>
        <v>0</v>
      </c>
      <c r="I37" s="16">
        <f t="shared" si="52"/>
        <v>0</v>
      </c>
      <c r="J37" s="16">
        <f t="shared" si="53"/>
        <v>1</v>
      </c>
      <c r="K37" s="16">
        <f t="shared" si="54"/>
        <v>0</v>
      </c>
      <c r="L37" s="16">
        <f t="shared" si="55"/>
        <v>0</v>
      </c>
      <c r="M37" s="16">
        <f t="shared" si="56"/>
        <v>0</v>
      </c>
      <c r="N37" s="16">
        <f t="shared" si="57"/>
        <v>0</v>
      </c>
      <c r="O37" s="16">
        <f t="shared" si="58"/>
        <v>0</v>
      </c>
      <c r="P37" s="16">
        <f t="shared" si="59"/>
        <v>0</v>
      </c>
      <c r="Q37" s="16">
        <f t="shared" si="60"/>
        <v>0</v>
      </c>
      <c r="R37" s="16">
        <f t="shared" si="61"/>
        <v>2</v>
      </c>
      <c r="S37" s="24"/>
      <c r="T37" s="31">
        <f t="shared" si="62"/>
        <v>0</v>
      </c>
      <c r="U37" s="31">
        <f t="shared" si="63"/>
        <v>0</v>
      </c>
      <c r="AJ37" s="24"/>
      <c r="BA37" s="24"/>
      <c r="BR37" s="24"/>
      <c r="CI37" s="24"/>
      <c r="CZ37" s="24"/>
      <c r="DQ37" s="24"/>
      <c r="EH37" s="24"/>
      <c r="EY37" s="24"/>
      <c r="FP37" s="24"/>
      <c r="GG37" s="24"/>
      <c r="GX37" s="24"/>
      <c r="HO37" s="24"/>
      <c r="IF37" s="24"/>
    </row>
    <row r="38" spans="1:240" s="23" customFormat="1" x14ac:dyDescent="0.25">
      <c r="A38" s="30" t="str">
        <f t="shared" si="45"/>
        <v>ANGEL RODRIGUEZ</v>
      </c>
      <c r="B38" s="47">
        <f t="shared" si="45"/>
        <v>29</v>
      </c>
      <c r="C38" s="16">
        <f t="shared" si="46"/>
        <v>3</v>
      </c>
      <c r="D38" s="16">
        <f t="shared" si="47"/>
        <v>2</v>
      </c>
      <c r="E38" s="16">
        <f t="shared" si="48"/>
        <v>2</v>
      </c>
      <c r="F38" s="16">
        <f t="shared" si="49"/>
        <v>0</v>
      </c>
      <c r="G38" s="16">
        <f t="shared" si="50"/>
        <v>0</v>
      </c>
      <c r="H38" s="16">
        <f t="shared" si="51"/>
        <v>0</v>
      </c>
      <c r="I38" s="16">
        <f t="shared" si="52"/>
        <v>1</v>
      </c>
      <c r="J38" s="16">
        <f t="shared" si="53"/>
        <v>1</v>
      </c>
      <c r="K38" s="16">
        <f t="shared" si="54"/>
        <v>0</v>
      </c>
      <c r="L38" s="16">
        <f t="shared" si="55"/>
        <v>1</v>
      </c>
      <c r="M38" s="16">
        <f t="shared" si="56"/>
        <v>0</v>
      </c>
      <c r="N38" s="16">
        <f t="shared" si="57"/>
        <v>0</v>
      </c>
      <c r="O38" s="16">
        <f t="shared" si="58"/>
        <v>0</v>
      </c>
      <c r="P38" s="16">
        <f t="shared" si="59"/>
        <v>0</v>
      </c>
      <c r="Q38" s="16">
        <f t="shared" si="60"/>
        <v>2</v>
      </c>
      <c r="R38" s="16">
        <f t="shared" si="61"/>
        <v>3</v>
      </c>
      <c r="S38" s="24"/>
      <c r="T38" s="31">
        <f t="shared" si="62"/>
        <v>666.66666666666663</v>
      </c>
      <c r="U38" s="31">
        <f t="shared" si="63"/>
        <v>666.66666666666663</v>
      </c>
      <c r="AJ38" s="24"/>
      <c r="BA38" s="24"/>
      <c r="BR38" s="24"/>
      <c r="CI38" s="24"/>
      <c r="CZ38" s="24"/>
      <c r="DQ38" s="24"/>
      <c r="EH38" s="24"/>
      <c r="EY38" s="24"/>
      <c r="FP38" s="24"/>
      <c r="GG38" s="24"/>
      <c r="GX38" s="24"/>
      <c r="HO38" s="24"/>
      <c r="IF38" s="24"/>
    </row>
    <row r="39" spans="1:240" s="23" customFormat="1" x14ac:dyDescent="0.25">
      <c r="A39" s="30" t="str">
        <f t="shared" si="45"/>
        <v>FRANCISCO MONASTERIO</v>
      </c>
      <c r="B39" s="47">
        <f t="shared" si="45"/>
        <v>30</v>
      </c>
      <c r="C39" s="16">
        <f t="shared" si="46"/>
        <v>3</v>
      </c>
      <c r="D39" s="16">
        <f t="shared" si="47"/>
        <v>1</v>
      </c>
      <c r="E39" s="16">
        <f t="shared" si="48"/>
        <v>2</v>
      </c>
      <c r="F39" s="16">
        <f t="shared" si="49"/>
        <v>0</v>
      </c>
      <c r="G39" s="16">
        <f t="shared" si="50"/>
        <v>1</v>
      </c>
      <c r="H39" s="16">
        <f t="shared" si="51"/>
        <v>0</v>
      </c>
      <c r="I39" s="16">
        <f t="shared" si="52"/>
        <v>0</v>
      </c>
      <c r="J39" s="16">
        <f t="shared" si="53"/>
        <v>0</v>
      </c>
      <c r="K39" s="16">
        <f t="shared" si="54"/>
        <v>0</v>
      </c>
      <c r="L39" s="16">
        <f t="shared" si="55"/>
        <v>0</v>
      </c>
      <c r="M39" s="16">
        <f t="shared" si="56"/>
        <v>0</v>
      </c>
      <c r="N39" s="16">
        <f t="shared" si="57"/>
        <v>0</v>
      </c>
      <c r="O39" s="16">
        <f t="shared" si="58"/>
        <v>0</v>
      </c>
      <c r="P39" s="16">
        <f t="shared" si="59"/>
        <v>0</v>
      </c>
      <c r="Q39" s="16">
        <f t="shared" si="60"/>
        <v>4</v>
      </c>
      <c r="R39" s="16">
        <f t="shared" si="61"/>
        <v>3</v>
      </c>
      <c r="S39" s="24"/>
      <c r="T39" s="31">
        <f t="shared" si="62"/>
        <v>666.66666666666663</v>
      </c>
      <c r="U39" s="31">
        <f t="shared" si="63"/>
        <v>1333.3333333333333</v>
      </c>
      <c r="AJ39" s="24"/>
      <c r="BA39" s="24"/>
      <c r="BR39" s="24"/>
      <c r="CI39" s="24"/>
      <c r="CZ39" s="24"/>
      <c r="DQ39" s="24"/>
      <c r="EH39" s="24"/>
      <c r="EY39" s="24"/>
      <c r="FP39" s="24"/>
      <c r="GG39" s="24"/>
      <c r="GX39" s="24"/>
      <c r="HO39" s="24"/>
      <c r="IF39" s="24"/>
    </row>
    <row r="40" spans="1:240" s="23" customFormat="1" x14ac:dyDescent="0.25">
      <c r="A40" s="30" t="str">
        <f t="shared" si="45"/>
        <v>MARCOS MORALES</v>
      </c>
      <c r="B40" s="47">
        <f t="shared" si="45"/>
        <v>31</v>
      </c>
      <c r="C40" s="16">
        <f t="shared" si="46"/>
        <v>3</v>
      </c>
      <c r="D40" s="16">
        <f t="shared" si="47"/>
        <v>2</v>
      </c>
      <c r="E40" s="16">
        <f t="shared" si="48"/>
        <v>2</v>
      </c>
      <c r="F40" s="16">
        <f t="shared" si="49"/>
        <v>1</v>
      </c>
      <c r="G40" s="16">
        <f t="shared" si="50"/>
        <v>0</v>
      </c>
      <c r="H40" s="16">
        <f t="shared" si="51"/>
        <v>0</v>
      </c>
      <c r="I40" s="16">
        <f t="shared" si="52"/>
        <v>2</v>
      </c>
      <c r="J40" s="16">
        <f t="shared" si="53"/>
        <v>1</v>
      </c>
      <c r="K40" s="16">
        <f t="shared" si="54"/>
        <v>0</v>
      </c>
      <c r="L40" s="16">
        <f t="shared" si="55"/>
        <v>3</v>
      </c>
      <c r="M40" s="16">
        <f t="shared" si="56"/>
        <v>0</v>
      </c>
      <c r="N40" s="16">
        <f t="shared" si="57"/>
        <v>0</v>
      </c>
      <c r="O40" s="16">
        <f t="shared" si="58"/>
        <v>0</v>
      </c>
      <c r="P40" s="16">
        <f t="shared" si="59"/>
        <v>0</v>
      </c>
      <c r="Q40" s="16">
        <f t="shared" si="60"/>
        <v>3</v>
      </c>
      <c r="R40" s="16">
        <f t="shared" si="61"/>
        <v>3</v>
      </c>
      <c r="S40" s="24"/>
      <c r="T40" s="31">
        <f t="shared" si="62"/>
        <v>666.66666666666663</v>
      </c>
      <c r="U40" s="31">
        <f t="shared" si="63"/>
        <v>1000</v>
      </c>
      <c r="AJ40" s="24"/>
      <c r="BA40" s="24"/>
      <c r="BR40" s="24"/>
      <c r="CI40" s="24"/>
      <c r="CZ40" s="24"/>
      <c r="DQ40" s="24"/>
      <c r="EH40" s="24"/>
      <c r="EY40" s="24"/>
      <c r="FP40" s="24"/>
      <c r="GG40" s="24"/>
      <c r="GX40" s="24"/>
      <c r="HO40" s="24"/>
      <c r="IF40" s="24"/>
    </row>
    <row r="41" spans="1:240" s="23" customFormat="1" x14ac:dyDescent="0.25">
      <c r="A41" s="30" t="str">
        <f t="shared" si="45"/>
        <v>ADRIAN MURILLO</v>
      </c>
      <c r="B41" s="47">
        <f t="shared" si="45"/>
        <v>32</v>
      </c>
      <c r="C41" s="16">
        <f t="shared" si="46"/>
        <v>2</v>
      </c>
      <c r="D41" s="16">
        <f t="shared" si="47"/>
        <v>1</v>
      </c>
      <c r="E41" s="16">
        <f t="shared" si="48"/>
        <v>0</v>
      </c>
      <c r="F41" s="16">
        <f t="shared" si="49"/>
        <v>0</v>
      </c>
      <c r="G41" s="16">
        <f t="shared" si="50"/>
        <v>0</v>
      </c>
      <c r="H41" s="16">
        <f t="shared" si="51"/>
        <v>0</v>
      </c>
      <c r="I41" s="16">
        <f t="shared" si="52"/>
        <v>0</v>
      </c>
      <c r="J41" s="16">
        <f t="shared" si="53"/>
        <v>1</v>
      </c>
      <c r="K41" s="16">
        <f t="shared" si="54"/>
        <v>1</v>
      </c>
      <c r="L41" s="16">
        <f t="shared" si="55"/>
        <v>1</v>
      </c>
      <c r="M41" s="16">
        <f t="shared" si="56"/>
        <v>0</v>
      </c>
      <c r="N41" s="16">
        <f t="shared" si="57"/>
        <v>0</v>
      </c>
      <c r="O41" s="16">
        <f t="shared" si="58"/>
        <v>0</v>
      </c>
      <c r="P41" s="16">
        <f t="shared" si="59"/>
        <v>0</v>
      </c>
      <c r="Q41" s="16">
        <f t="shared" si="60"/>
        <v>0</v>
      </c>
      <c r="R41" s="16">
        <f t="shared" si="61"/>
        <v>3</v>
      </c>
      <c r="S41" s="24"/>
      <c r="T41" s="31">
        <f t="shared" si="62"/>
        <v>0</v>
      </c>
      <c r="U41" s="31">
        <f t="shared" si="63"/>
        <v>0</v>
      </c>
      <c r="AJ41" s="24"/>
      <c r="BA41" s="24"/>
      <c r="BR41" s="24"/>
      <c r="CI41" s="24"/>
      <c r="CZ41" s="24"/>
      <c r="DQ41" s="24"/>
      <c r="EH41" s="24"/>
      <c r="EY41" s="24"/>
      <c r="FP41" s="24"/>
      <c r="GG41" s="24"/>
      <c r="GX41" s="24"/>
      <c r="HO41" s="24"/>
      <c r="IF41" s="24"/>
    </row>
    <row r="42" spans="1:240" s="23" customFormat="1" x14ac:dyDescent="0.25">
      <c r="A42" s="30" t="str">
        <f t="shared" si="45"/>
        <v>DARGREYBER RODRIGUEZ</v>
      </c>
      <c r="B42" s="47">
        <f t="shared" si="45"/>
        <v>33</v>
      </c>
      <c r="C42" s="16">
        <f t="shared" si="46"/>
        <v>0</v>
      </c>
      <c r="D42" s="16">
        <f t="shared" si="47"/>
        <v>0</v>
      </c>
      <c r="E42" s="16">
        <f t="shared" si="48"/>
        <v>0</v>
      </c>
      <c r="F42" s="16">
        <f t="shared" si="49"/>
        <v>0</v>
      </c>
      <c r="G42" s="16">
        <f t="shared" si="50"/>
        <v>0</v>
      </c>
      <c r="H42" s="16">
        <f t="shared" si="51"/>
        <v>0</v>
      </c>
      <c r="I42" s="16">
        <f t="shared" si="52"/>
        <v>0</v>
      </c>
      <c r="J42" s="16">
        <f t="shared" si="53"/>
        <v>0</v>
      </c>
      <c r="K42" s="16">
        <f t="shared" si="54"/>
        <v>0</v>
      </c>
      <c r="L42" s="16">
        <f t="shared" si="55"/>
        <v>0</v>
      </c>
      <c r="M42" s="16">
        <f t="shared" si="56"/>
        <v>0</v>
      </c>
      <c r="N42" s="16">
        <f t="shared" si="57"/>
        <v>0</v>
      </c>
      <c r="O42" s="16">
        <f t="shared" si="58"/>
        <v>0</v>
      </c>
      <c r="P42" s="16">
        <f t="shared" si="59"/>
        <v>0</v>
      </c>
      <c r="Q42" s="16">
        <f t="shared" si="60"/>
        <v>0</v>
      </c>
      <c r="R42" s="16">
        <f t="shared" si="61"/>
        <v>0</v>
      </c>
      <c r="S42" s="24"/>
      <c r="T42" s="31">
        <f t="shared" si="62"/>
        <v>0</v>
      </c>
      <c r="U42" s="31">
        <f t="shared" si="63"/>
        <v>0</v>
      </c>
      <c r="AJ42" s="24"/>
      <c r="BA42" s="24"/>
      <c r="BR42" s="24"/>
      <c r="CI42" s="24"/>
      <c r="CZ42" s="24"/>
      <c r="DQ42" s="24"/>
      <c r="EH42" s="24"/>
      <c r="EY42" s="24"/>
      <c r="FP42" s="24"/>
      <c r="GG42" s="24"/>
      <c r="GX42" s="24"/>
      <c r="HO42" s="24"/>
      <c r="IF42" s="24"/>
    </row>
    <row r="43" spans="1:240" s="23" customFormat="1" x14ac:dyDescent="0.25">
      <c r="A43" s="30" t="str">
        <f t="shared" si="45"/>
        <v>JENSE FLORES</v>
      </c>
      <c r="B43" s="47">
        <f t="shared" si="45"/>
        <v>35</v>
      </c>
      <c r="C43" s="16">
        <f t="shared" si="46"/>
        <v>0</v>
      </c>
      <c r="D43" s="16">
        <f t="shared" si="47"/>
        <v>0</v>
      </c>
      <c r="E43" s="16">
        <f t="shared" si="48"/>
        <v>0</v>
      </c>
      <c r="F43" s="16">
        <f t="shared" si="49"/>
        <v>0</v>
      </c>
      <c r="G43" s="16">
        <f t="shared" si="50"/>
        <v>0</v>
      </c>
      <c r="H43" s="16">
        <f t="shared" si="51"/>
        <v>0</v>
      </c>
      <c r="I43" s="16">
        <f t="shared" si="52"/>
        <v>0</v>
      </c>
      <c r="J43" s="16">
        <f t="shared" si="53"/>
        <v>0</v>
      </c>
      <c r="K43" s="16">
        <f t="shared" si="54"/>
        <v>0</v>
      </c>
      <c r="L43" s="16">
        <f t="shared" si="55"/>
        <v>0</v>
      </c>
      <c r="M43" s="16">
        <f t="shared" si="56"/>
        <v>0</v>
      </c>
      <c r="N43" s="16">
        <f t="shared" si="57"/>
        <v>0</v>
      </c>
      <c r="O43" s="16">
        <f t="shared" si="58"/>
        <v>0</v>
      </c>
      <c r="P43" s="16">
        <f t="shared" si="59"/>
        <v>0</v>
      </c>
      <c r="Q43" s="16">
        <f t="shared" si="60"/>
        <v>0</v>
      </c>
      <c r="R43" s="16">
        <f t="shared" si="61"/>
        <v>0</v>
      </c>
      <c r="S43" s="24"/>
      <c r="T43" s="31">
        <f t="shared" si="62"/>
        <v>0</v>
      </c>
      <c r="U43" s="31">
        <f t="shared" si="63"/>
        <v>0</v>
      </c>
      <c r="AJ43" s="24"/>
      <c r="BA43" s="24"/>
      <c r="BR43" s="24"/>
      <c r="CI43" s="24"/>
      <c r="CZ43" s="24"/>
      <c r="DQ43" s="24"/>
      <c r="EH43" s="24"/>
      <c r="EY43" s="24"/>
      <c r="FP43" s="24"/>
      <c r="GG43" s="24"/>
      <c r="GX43" s="24"/>
      <c r="HO43" s="24"/>
      <c r="IF43" s="24"/>
    </row>
    <row r="44" spans="1:240" s="23" customFormat="1" x14ac:dyDescent="0.25">
      <c r="A44" s="30" t="str">
        <f t="shared" si="45"/>
        <v/>
      </c>
      <c r="B44" s="47" t="str">
        <f t="shared" si="45"/>
        <v/>
      </c>
      <c r="C44" s="16">
        <f t="shared" si="46"/>
        <v>0</v>
      </c>
      <c r="D44" s="16">
        <f t="shared" si="47"/>
        <v>0</v>
      </c>
      <c r="E44" s="16">
        <f t="shared" si="48"/>
        <v>0</v>
      </c>
      <c r="F44" s="16">
        <f t="shared" si="49"/>
        <v>0</v>
      </c>
      <c r="G44" s="16">
        <f t="shared" si="50"/>
        <v>0</v>
      </c>
      <c r="H44" s="16">
        <f t="shared" si="51"/>
        <v>0</v>
      </c>
      <c r="I44" s="16">
        <f t="shared" si="52"/>
        <v>0</v>
      </c>
      <c r="J44" s="16">
        <f t="shared" si="53"/>
        <v>0</v>
      </c>
      <c r="K44" s="16">
        <f t="shared" si="54"/>
        <v>0</v>
      </c>
      <c r="L44" s="16">
        <f t="shared" si="55"/>
        <v>0</v>
      </c>
      <c r="M44" s="16">
        <f t="shared" si="56"/>
        <v>0</v>
      </c>
      <c r="N44" s="16">
        <f t="shared" si="57"/>
        <v>0</v>
      </c>
      <c r="O44" s="16">
        <f t="shared" si="58"/>
        <v>0</v>
      </c>
      <c r="P44" s="16">
        <f t="shared" si="59"/>
        <v>0</v>
      </c>
      <c r="Q44" s="16">
        <f t="shared" si="60"/>
        <v>0</v>
      </c>
      <c r="R44" s="16">
        <f t="shared" si="61"/>
        <v>0</v>
      </c>
      <c r="S44" s="24"/>
      <c r="T44" s="31">
        <f t="shared" si="62"/>
        <v>0</v>
      </c>
      <c r="U44" s="31">
        <f t="shared" si="63"/>
        <v>0</v>
      </c>
      <c r="AJ44" s="24"/>
      <c r="BA44" s="24"/>
      <c r="BR44" s="24"/>
      <c r="CI44" s="24"/>
      <c r="CZ44" s="24"/>
      <c r="DQ44" s="24"/>
      <c r="EH44" s="24"/>
      <c r="EY44" s="24"/>
      <c r="FP44" s="24"/>
      <c r="GG44" s="24"/>
      <c r="GX44" s="24"/>
      <c r="HO44" s="24"/>
      <c r="IF44" s="24"/>
    </row>
    <row r="45" spans="1:240" s="23" customFormat="1" x14ac:dyDescent="0.25">
      <c r="A45" s="30" t="str">
        <f t="shared" si="45"/>
        <v/>
      </c>
      <c r="B45" s="47" t="str">
        <f t="shared" si="45"/>
        <v/>
      </c>
      <c r="C45" s="16">
        <f t="shared" si="46"/>
        <v>0</v>
      </c>
      <c r="D45" s="16">
        <f t="shared" si="47"/>
        <v>0</v>
      </c>
      <c r="E45" s="16">
        <f t="shared" si="48"/>
        <v>0</v>
      </c>
      <c r="F45" s="16">
        <f t="shared" si="49"/>
        <v>0</v>
      </c>
      <c r="G45" s="16">
        <f t="shared" si="50"/>
        <v>0</v>
      </c>
      <c r="H45" s="16">
        <f t="shared" si="51"/>
        <v>0</v>
      </c>
      <c r="I45" s="16">
        <f t="shared" si="52"/>
        <v>0</v>
      </c>
      <c r="J45" s="16">
        <f t="shared" si="53"/>
        <v>0</v>
      </c>
      <c r="K45" s="16">
        <f t="shared" si="54"/>
        <v>0</v>
      </c>
      <c r="L45" s="16">
        <f t="shared" si="55"/>
        <v>0</v>
      </c>
      <c r="M45" s="16">
        <f t="shared" si="56"/>
        <v>0</v>
      </c>
      <c r="N45" s="16">
        <f t="shared" si="57"/>
        <v>0</v>
      </c>
      <c r="O45" s="16">
        <f t="shared" si="58"/>
        <v>0</v>
      </c>
      <c r="P45" s="16">
        <f t="shared" si="59"/>
        <v>0</v>
      </c>
      <c r="Q45" s="16">
        <f t="shared" si="60"/>
        <v>0</v>
      </c>
      <c r="R45" s="16">
        <f t="shared" si="61"/>
        <v>0</v>
      </c>
      <c r="S45" s="24"/>
      <c r="T45" s="31">
        <f t="shared" si="62"/>
        <v>0</v>
      </c>
      <c r="U45" s="31">
        <f t="shared" si="63"/>
        <v>0</v>
      </c>
      <c r="AJ45" s="24"/>
      <c r="BA45" s="24"/>
      <c r="BR45" s="24"/>
      <c r="CI45" s="24"/>
      <c r="CZ45" s="24"/>
      <c r="DQ45" s="24"/>
      <c r="EH45" s="24"/>
      <c r="EY45" s="24"/>
      <c r="FP45" s="24"/>
      <c r="GG45" s="24"/>
      <c r="GX45" s="24"/>
      <c r="HO45" s="24"/>
      <c r="IF45" s="24"/>
    </row>
    <row r="46" spans="1:240" s="23" customFormat="1" x14ac:dyDescent="0.25">
      <c r="A46" s="30" t="str">
        <f t="shared" si="45"/>
        <v/>
      </c>
      <c r="B46" s="47" t="str">
        <f t="shared" si="45"/>
        <v/>
      </c>
      <c r="C46" s="16">
        <f t="shared" si="46"/>
        <v>0</v>
      </c>
      <c r="D46" s="16">
        <f t="shared" si="47"/>
        <v>0</v>
      </c>
      <c r="E46" s="16">
        <f t="shared" si="48"/>
        <v>0</v>
      </c>
      <c r="F46" s="16">
        <f t="shared" si="49"/>
        <v>0</v>
      </c>
      <c r="G46" s="16">
        <f t="shared" si="50"/>
        <v>0</v>
      </c>
      <c r="H46" s="16">
        <f t="shared" si="51"/>
        <v>0</v>
      </c>
      <c r="I46" s="16">
        <f t="shared" si="52"/>
        <v>0</v>
      </c>
      <c r="J46" s="16">
        <f t="shared" si="53"/>
        <v>0</v>
      </c>
      <c r="K46" s="16">
        <f t="shared" si="54"/>
        <v>0</v>
      </c>
      <c r="L46" s="16">
        <f t="shared" si="55"/>
        <v>0</v>
      </c>
      <c r="M46" s="16">
        <f t="shared" si="56"/>
        <v>0</v>
      </c>
      <c r="N46" s="16">
        <f t="shared" si="57"/>
        <v>0</v>
      </c>
      <c r="O46" s="16">
        <f t="shared" si="58"/>
        <v>0</v>
      </c>
      <c r="P46" s="16">
        <f t="shared" si="59"/>
        <v>0</v>
      </c>
      <c r="Q46" s="16">
        <f t="shared" si="60"/>
        <v>0</v>
      </c>
      <c r="R46" s="16">
        <f t="shared" si="61"/>
        <v>0</v>
      </c>
      <c r="S46" s="24"/>
      <c r="T46" s="31">
        <f t="shared" si="62"/>
        <v>0</v>
      </c>
      <c r="U46" s="31">
        <f t="shared" si="63"/>
        <v>0</v>
      </c>
      <c r="AJ46" s="24"/>
      <c r="BA46" s="24"/>
      <c r="BR46" s="24"/>
      <c r="CI46" s="24"/>
      <c r="CZ46" s="24"/>
      <c r="DQ46" s="24"/>
      <c r="EH46" s="24"/>
      <c r="EY46" s="24"/>
      <c r="FP46" s="24"/>
      <c r="GG46" s="24"/>
      <c r="GX46" s="24"/>
      <c r="HO46" s="24"/>
      <c r="IF46" s="24"/>
    </row>
    <row r="47" spans="1:240" x14ac:dyDescent="0.25">
      <c r="A47" s="30" t="str">
        <f t="shared" si="45"/>
        <v/>
      </c>
      <c r="B47" s="47" t="str">
        <f t="shared" si="45"/>
        <v/>
      </c>
      <c r="C47" s="16">
        <f t="shared" si="46"/>
        <v>0</v>
      </c>
      <c r="D47" s="16">
        <f t="shared" si="47"/>
        <v>0</v>
      </c>
      <c r="E47" s="16">
        <f t="shared" si="48"/>
        <v>0</v>
      </c>
      <c r="F47" s="16">
        <f t="shared" si="49"/>
        <v>0</v>
      </c>
      <c r="G47" s="16">
        <f t="shared" si="50"/>
        <v>0</v>
      </c>
      <c r="H47" s="16">
        <f t="shared" si="51"/>
        <v>0</v>
      </c>
      <c r="I47" s="16">
        <f t="shared" si="52"/>
        <v>0</v>
      </c>
      <c r="J47" s="16">
        <f t="shared" si="53"/>
        <v>0</v>
      </c>
      <c r="K47" s="16">
        <f t="shared" si="54"/>
        <v>0</v>
      </c>
      <c r="L47" s="16">
        <f t="shared" si="55"/>
        <v>0</v>
      </c>
      <c r="M47" s="16">
        <f t="shared" si="56"/>
        <v>0</v>
      </c>
      <c r="N47" s="16">
        <f t="shared" si="57"/>
        <v>0</v>
      </c>
      <c r="O47" s="16">
        <f t="shared" si="58"/>
        <v>0</v>
      </c>
      <c r="P47" s="16">
        <f t="shared" si="59"/>
        <v>0</v>
      </c>
      <c r="Q47" s="16">
        <f t="shared" si="60"/>
        <v>0</v>
      </c>
      <c r="R47" s="16">
        <f t="shared" si="61"/>
        <v>0</v>
      </c>
      <c r="S47" s="2"/>
      <c r="T47" s="31">
        <f t="shared" si="62"/>
        <v>0</v>
      </c>
      <c r="U47" s="31">
        <f t="shared" si="63"/>
        <v>0</v>
      </c>
      <c r="AJ47" s="2"/>
      <c r="BA47" s="2"/>
      <c r="BR47" s="2"/>
      <c r="CI47" s="2"/>
      <c r="CZ47" s="2"/>
      <c r="DQ47" s="2"/>
      <c r="EH47" s="2"/>
      <c r="EY47" s="2"/>
      <c r="FP47" s="2"/>
      <c r="GG47" s="2"/>
      <c r="GX47" s="2"/>
      <c r="HO47" s="2"/>
      <c r="IF47" s="2"/>
    </row>
    <row r="48" spans="1:240" x14ac:dyDescent="0.25">
      <c r="A48" s="30" t="str">
        <f t="shared" si="45"/>
        <v/>
      </c>
      <c r="B48" s="47" t="str">
        <f t="shared" si="45"/>
        <v/>
      </c>
      <c r="C48" s="16">
        <f t="shared" si="46"/>
        <v>0</v>
      </c>
      <c r="D48" s="16">
        <f t="shared" si="47"/>
        <v>0</v>
      </c>
      <c r="E48" s="16">
        <f t="shared" si="48"/>
        <v>0</v>
      </c>
      <c r="F48" s="16">
        <f t="shared" si="49"/>
        <v>0</v>
      </c>
      <c r="G48" s="16">
        <f t="shared" si="50"/>
        <v>0</v>
      </c>
      <c r="H48" s="16">
        <f t="shared" si="51"/>
        <v>0</v>
      </c>
      <c r="I48" s="16">
        <f t="shared" si="52"/>
        <v>0</v>
      </c>
      <c r="J48" s="16">
        <f t="shared" si="53"/>
        <v>0</v>
      </c>
      <c r="K48" s="16">
        <f t="shared" si="54"/>
        <v>0</v>
      </c>
      <c r="L48" s="16">
        <f t="shared" si="55"/>
        <v>0</v>
      </c>
      <c r="M48" s="16">
        <f t="shared" si="56"/>
        <v>0</v>
      </c>
      <c r="N48" s="16">
        <f t="shared" si="57"/>
        <v>0</v>
      </c>
      <c r="O48" s="16">
        <f t="shared" si="58"/>
        <v>0</v>
      </c>
      <c r="P48" s="16">
        <f t="shared" si="59"/>
        <v>0</v>
      </c>
      <c r="Q48" s="16">
        <f t="shared" si="60"/>
        <v>0</v>
      </c>
      <c r="R48" s="16">
        <f t="shared" si="61"/>
        <v>0</v>
      </c>
      <c r="S48" s="2"/>
      <c r="T48" s="31">
        <f t="shared" si="62"/>
        <v>0</v>
      </c>
      <c r="U48" s="31">
        <f t="shared" si="63"/>
        <v>0</v>
      </c>
      <c r="AJ48" s="2"/>
      <c r="BA48" s="2"/>
      <c r="BR48" s="2"/>
      <c r="CI48" s="2"/>
      <c r="CZ48" s="2"/>
      <c r="DQ48" s="2"/>
      <c r="EH48" s="2"/>
      <c r="EY48" s="2"/>
      <c r="FP48" s="2"/>
      <c r="GG48" s="2"/>
      <c r="GX48" s="2"/>
      <c r="HO48" s="2"/>
      <c r="IF48" s="2"/>
    </row>
    <row r="49" spans="1:240" x14ac:dyDescent="0.25">
      <c r="A49" s="30" t="str">
        <f t="shared" si="45"/>
        <v/>
      </c>
      <c r="B49" s="47" t="str">
        <f t="shared" si="45"/>
        <v/>
      </c>
      <c r="C49" s="16">
        <f t="shared" si="46"/>
        <v>0</v>
      </c>
      <c r="D49" s="16">
        <f t="shared" si="47"/>
        <v>0</v>
      </c>
      <c r="E49" s="16">
        <f t="shared" si="48"/>
        <v>0</v>
      </c>
      <c r="F49" s="16">
        <f t="shared" si="49"/>
        <v>0</v>
      </c>
      <c r="G49" s="16">
        <f t="shared" si="50"/>
        <v>0</v>
      </c>
      <c r="H49" s="16">
        <f t="shared" si="51"/>
        <v>0</v>
      </c>
      <c r="I49" s="16">
        <f t="shared" si="52"/>
        <v>0</v>
      </c>
      <c r="J49" s="16">
        <f t="shared" si="53"/>
        <v>0</v>
      </c>
      <c r="K49" s="16">
        <f t="shared" si="54"/>
        <v>0</v>
      </c>
      <c r="L49" s="16">
        <f t="shared" si="55"/>
        <v>0</v>
      </c>
      <c r="M49" s="16">
        <f t="shared" si="56"/>
        <v>0</v>
      </c>
      <c r="N49" s="16">
        <f t="shared" si="57"/>
        <v>0</v>
      </c>
      <c r="O49" s="16">
        <f t="shared" si="58"/>
        <v>0</v>
      </c>
      <c r="P49" s="16">
        <f t="shared" si="59"/>
        <v>0</v>
      </c>
      <c r="Q49" s="16">
        <f t="shared" si="60"/>
        <v>0</v>
      </c>
      <c r="R49" s="16">
        <f t="shared" si="61"/>
        <v>0</v>
      </c>
      <c r="S49" s="2"/>
      <c r="T49" s="31">
        <f t="shared" si="62"/>
        <v>0</v>
      </c>
      <c r="U49" s="31">
        <f t="shared" si="63"/>
        <v>0</v>
      </c>
      <c r="AJ49" s="2"/>
      <c r="BA49" s="2"/>
      <c r="BR49" s="2"/>
      <c r="CI49" s="2"/>
      <c r="CZ49" s="2"/>
      <c r="DQ49" s="2"/>
      <c r="EH49" s="2"/>
      <c r="EY49" s="2"/>
      <c r="FP49" s="2"/>
      <c r="GG49" s="2"/>
      <c r="GX49" s="2"/>
      <c r="HO49" s="2"/>
      <c r="IF49" s="2"/>
    </row>
    <row r="50" spans="1:240" ht="13.8" thickBot="1" x14ac:dyDescent="0.3">
      <c r="A50" s="30" t="str">
        <f t="shared" si="45"/>
        <v/>
      </c>
      <c r="B50" s="47" t="str">
        <f t="shared" si="45"/>
        <v/>
      </c>
      <c r="C50" s="16">
        <f t="shared" si="46"/>
        <v>0</v>
      </c>
      <c r="D50" s="16">
        <f t="shared" si="47"/>
        <v>0</v>
      </c>
      <c r="E50" s="16">
        <f t="shared" si="48"/>
        <v>0</v>
      </c>
      <c r="F50" s="16">
        <f t="shared" si="49"/>
        <v>0</v>
      </c>
      <c r="G50" s="16">
        <f t="shared" si="50"/>
        <v>0</v>
      </c>
      <c r="H50" s="16">
        <f t="shared" si="51"/>
        <v>0</v>
      </c>
      <c r="I50" s="16">
        <f t="shared" si="52"/>
        <v>0</v>
      </c>
      <c r="J50" s="16">
        <f t="shared" si="53"/>
        <v>0</v>
      </c>
      <c r="K50" s="16">
        <f t="shared" si="54"/>
        <v>0</v>
      </c>
      <c r="L50" s="16">
        <f t="shared" si="55"/>
        <v>0</v>
      </c>
      <c r="M50" s="16">
        <f t="shared" si="56"/>
        <v>0</v>
      </c>
      <c r="N50" s="16">
        <f t="shared" si="57"/>
        <v>0</v>
      </c>
      <c r="O50" s="16">
        <f t="shared" si="58"/>
        <v>0</v>
      </c>
      <c r="P50" s="16">
        <f t="shared" si="59"/>
        <v>0</v>
      </c>
      <c r="Q50" s="16">
        <f t="shared" si="60"/>
        <v>0</v>
      </c>
      <c r="R50" s="16">
        <f t="shared" si="61"/>
        <v>0</v>
      </c>
      <c r="S50" s="2"/>
      <c r="T50" s="31">
        <f t="shared" si="62"/>
        <v>0</v>
      </c>
      <c r="U50" s="31">
        <f t="shared" si="63"/>
        <v>0</v>
      </c>
      <c r="AJ50" s="2"/>
      <c r="BA50" s="2"/>
      <c r="BR50" s="2"/>
      <c r="CI50" s="2"/>
      <c r="CZ50" s="2"/>
      <c r="DQ50" s="2"/>
      <c r="EH50" s="2"/>
      <c r="EY50" s="2"/>
      <c r="FP50" s="2"/>
      <c r="GG50" s="2"/>
      <c r="GX50" s="2"/>
      <c r="HO50" s="2"/>
      <c r="IF50" s="2"/>
    </row>
    <row r="51" spans="1:240" ht="13.8" thickBot="1" x14ac:dyDescent="0.3">
      <c r="A51" s="62" t="s">
        <v>48</v>
      </c>
      <c r="B51" s="63"/>
      <c r="C51" s="32">
        <f>SUM(C32:C50)</f>
        <v>25</v>
      </c>
      <c r="D51" s="32">
        <f t="shared" ref="D51:P51" si="64">SUM(D32:D50)</f>
        <v>10</v>
      </c>
      <c r="E51" s="32">
        <f t="shared" si="64"/>
        <v>9</v>
      </c>
      <c r="F51" s="32">
        <f t="shared" si="64"/>
        <v>2</v>
      </c>
      <c r="G51" s="32">
        <f t="shared" si="64"/>
        <v>1</v>
      </c>
      <c r="H51" s="32">
        <f t="shared" si="64"/>
        <v>0</v>
      </c>
      <c r="I51" s="32">
        <f t="shared" si="64"/>
        <v>4</v>
      </c>
      <c r="J51" s="32">
        <f t="shared" si="64"/>
        <v>4</v>
      </c>
      <c r="K51" s="32">
        <f t="shared" si="64"/>
        <v>5</v>
      </c>
      <c r="L51" s="32">
        <f t="shared" si="64"/>
        <v>9</v>
      </c>
      <c r="M51" s="32">
        <f t="shared" si="64"/>
        <v>0</v>
      </c>
      <c r="N51" s="32">
        <f t="shared" si="64"/>
        <v>0</v>
      </c>
      <c r="O51" s="32">
        <f t="shared" si="64"/>
        <v>0</v>
      </c>
      <c r="P51" s="32">
        <f t="shared" si="64"/>
        <v>0</v>
      </c>
      <c r="Q51" s="32">
        <f>SUM(Q32:Q50)</f>
        <v>13</v>
      </c>
      <c r="R51" s="32">
        <f>SUM(R32:R50)</f>
        <v>30</v>
      </c>
      <c r="S51" s="33"/>
      <c r="T51" s="34">
        <f t="shared" si="62"/>
        <v>360</v>
      </c>
      <c r="U51" s="35">
        <f t="shared" si="63"/>
        <v>520</v>
      </c>
      <c r="AJ51" s="2"/>
      <c r="BA51" s="2"/>
      <c r="BR51" s="2"/>
      <c r="CI51" s="2"/>
      <c r="CZ51" s="2"/>
      <c r="DQ51" s="2"/>
      <c r="EH51" s="2"/>
      <c r="EY51" s="2"/>
      <c r="FP51" s="2"/>
      <c r="GG51" s="2"/>
      <c r="GX51" s="2"/>
      <c r="HO51" s="2"/>
      <c r="IF51" s="2"/>
    </row>
    <row r="52" spans="1:240" x14ac:dyDescent="0.25">
      <c r="S52" s="2"/>
      <c r="AJ52" s="2"/>
      <c r="BA52" s="2"/>
      <c r="BR52" s="2"/>
      <c r="CI52" s="2"/>
      <c r="CZ52" s="2"/>
      <c r="DQ52" s="2"/>
      <c r="EH52" s="2"/>
      <c r="EY52" s="2"/>
      <c r="FP52" s="2"/>
      <c r="GG52" s="2"/>
      <c r="GX52" s="2"/>
      <c r="HO52" s="2"/>
      <c r="IF52" s="2"/>
    </row>
    <row r="53" spans="1:240" x14ac:dyDescent="0.25">
      <c r="S53" s="2"/>
      <c r="AJ53" s="2"/>
      <c r="BA53" s="2"/>
      <c r="BR53" s="2"/>
      <c r="CI53" s="2"/>
      <c r="CZ53" s="2"/>
      <c r="DQ53" s="2"/>
      <c r="EH53" s="2"/>
      <c r="EY53" s="2"/>
      <c r="FP53" s="2"/>
      <c r="GG53" s="2"/>
      <c r="GX53" s="2"/>
      <c r="HO53" s="2"/>
      <c r="IF53" s="2"/>
    </row>
  </sheetData>
  <sheetProtection selectLockedCells="1" selectUnlockedCells="1"/>
  <mergeCells count="18">
    <mergeCell ref="GH6:GW6"/>
    <mergeCell ref="GY6:HN6"/>
    <mergeCell ref="HP6:IE6"/>
    <mergeCell ref="A27:B27"/>
    <mergeCell ref="A30:U30"/>
    <mergeCell ref="A51:B51"/>
    <mergeCell ref="CJ6:CY6"/>
    <mergeCell ref="DA6:DP6"/>
    <mergeCell ref="DR6:EG6"/>
    <mergeCell ref="EI6:EX6"/>
    <mergeCell ref="EZ6:FO6"/>
    <mergeCell ref="FQ6:GF6"/>
    <mergeCell ref="A6:B6"/>
    <mergeCell ref="C6:R6"/>
    <mergeCell ref="T6:AI6"/>
    <mergeCell ref="AK6:AZ6"/>
    <mergeCell ref="BB6:BQ6"/>
    <mergeCell ref="BS6:CH6"/>
  </mergeCell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 alignWithMargins="0"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BAEF7-64C4-4EF9-9BA7-B5382126347B}">
  <dimension ref="A1:IV64"/>
  <sheetViews>
    <sheetView tabSelected="1" zoomScale="180" zoomScaleNormal="180" workbookViewId="0">
      <pane xSplit="1" topLeftCell="B1" activePane="topRight" state="frozen"/>
      <selection pane="topRight" activeCell="A10" sqref="A10"/>
    </sheetView>
  </sheetViews>
  <sheetFormatPr baseColWidth="10" defaultColWidth="4.33203125" defaultRowHeight="13.2" x14ac:dyDescent="0.25"/>
  <cols>
    <col min="1" max="1" width="28.109375" customWidth="1"/>
    <col min="2" max="2" width="3.5546875" style="46" customWidth="1"/>
    <col min="19" max="19" width="1" customWidth="1"/>
    <col min="36" max="36" width="1.5546875" customWidth="1"/>
    <col min="53" max="53" width="1.33203125" customWidth="1"/>
    <col min="70" max="70" width="1.33203125" customWidth="1"/>
    <col min="87" max="87" width="1.109375" customWidth="1"/>
    <col min="104" max="104" width="1.44140625" customWidth="1"/>
    <col min="121" max="121" width="1.5546875" customWidth="1"/>
    <col min="138" max="138" width="1.44140625" customWidth="1"/>
    <col min="155" max="155" width="1.33203125" customWidth="1"/>
    <col min="172" max="172" width="1.33203125" customWidth="1"/>
    <col min="189" max="189" width="1.33203125" customWidth="1"/>
    <col min="206" max="206" width="1.109375" customWidth="1"/>
    <col min="223" max="223" width="1.33203125" customWidth="1"/>
    <col min="240" max="240" width="1.44140625" customWidth="1"/>
  </cols>
  <sheetData>
    <row r="1" spans="1:256" x14ac:dyDescent="0.25">
      <c r="A1" s="1" t="s">
        <v>0</v>
      </c>
      <c r="B1" s="56"/>
      <c r="C1" s="1"/>
      <c r="D1" s="1"/>
      <c r="E1" s="1"/>
      <c r="F1" s="1"/>
      <c r="G1" s="1"/>
      <c r="S1" s="2"/>
      <c r="AJ1" s="2"/>
      <c r="BA1" s="2"/>
      <c r="BR1" s="2"/>
      <c r="CI1" s="2"/>
      <c r="CZ1" s="2"/>
      <c r="DQ1" s="2"/>
      <c r="EH1" s="2"/>
      <c r="EY1" s="2"/>
      <c r="FP1" s="2"/>
      <c r="GG1" s="2"/>
      <c r="GX1" s="2"/>
      <c r="HO1" s="2"/>
      <c r="IF1" s="2"/>
    </row>
    <row r="2" spans="1:256" x14ac:dyDescent="0.25">
      <c r="A2" s="1" t="s">
        <v>1</v>
      </c>
      <c r="B2" s="56"/>
      <c r="C2" s="1"/>
      <c r="D2" s="1"/>
      <c r="E2" s="1"/>
      <c r="F2" s="1"/>
      <c r="G2" s="1"/>
      <c r="S2" s="2"/>
      <c r="AJ2" s="2"/>
      <c r="BA2" s="2"/>
      <c r="BR2" s="2"/>
      <c r="CI2" s="2"/>
      <c r="CZ2" s="2"/>
      <c r="DQ2" s="2"/>
      <c r="EH2" s="2"/>
      <c r="EY2" s="2"/>
      <c r="FP2" s="2"/>
      <c r="GG2" s="2"/>
      <c r="GX2" s="2"/>
      <c r="HO2" s="2"/>
      <c r="IF2" s="2"/>
    </row>
    <row r="3" spans="1:256" x14ac:dyDescent="0.25">
      <c r="B3" s="57" t="s">
        <v>2</v>
      </c>
      <c r="C3" s="3"/>
      <c r="D3" s="3"/>
      <c r="E3" s="3"/>
      <c r="F3" s="3"/>
      <c r="G3" s="3"/>
      <c r="S3" s="2"/>
      <c r="AJ3" s="2"/>
      <c r="BA3" s="2"/>
      <c r="BR3" s="2"/>
      <c r="CI3" s="2"/>
      <c r="CZ3" s="2"/>
      <c r="DQ3" s="2"/>
      <c r="EH3" s="2"/>
      <c r="EY3" s="2"/>
      <c r="FP3" s="2"/>
      <c r="GG3" s="2"/>
      <c r="GX3" s="2"/>
      <c r="HO3" s="2"/>
      <c r="IF3" s="2"/>
    </row>
    <row r="4" spans="1:256" x14ac:dyDescent="0.25">
      <c r="B4" s="46" t="s">
        <v>3</v>
      </c>
      <c r="S4" s="2"/>
      <c r="AJ4" s="2"/>
      <c r="BA4" s="2"/>
      <c r="BR4" s="2"/>
      <c r="CI4" s="2"/>
      <c r="CZ4" s="2"/>
      <c r="DQ4" s="2"/>
      <c r="EH4" s="2"/>
      <c r="EY4" s="2"/>
      <c r="FP4" s="2"/>
      <c r="GG4" s="2"/>
      <c r="GX4" s="2"/>
      <c r="HO4" s="2"/>
      <c r="IF4" s="2"/>
    </row>
    <row r="5" spans="1:256" ht="13.8" thickBot="1" x14ac:dyDescent="0.3">
      <c r="C5" t="s">
        <v>4</v>
      </c>
      <c r="F5" t="s">
        <v>5</v>
      </c>
      <c r="S5" s="2"/>
      <c r="U5" s="4" t="s">
        <v>6</v>
      </c>
      <c r="Y5" s="4" t="s">
        <v>7</v>
      </c>
      <c r="AC5">
        <v>2</v>
      </c>
      <c r="AJ5" s="2"/>
      <c r="AL5" s="4" t="s">
        <v>6</v>
      </c>
      <c r="AP5" t="s">
        <v>8</v>
      </c>
      <c r="AT5">
        <v>3</v>
      </c>
      <c r="BA5" s="2"/>
      <c r="BC5" s="4" t="s">
        <v>6</v>
      </c>
      <c r="BG5" t="s">
        <v>9</v>
      </c>
      <c r="BK5">
        <v>4</v>
      </c>
      <c r="BR5" s="2"/>
      <c r="BT5" s="4" t="s">
        <v>6</v>
      </c>
      <c r="BY5" t="s">
        <v>10</v>
      </c>
      <c r="CB5">
        <v>5</v>
      </c>
      <c r="CI5" s="2"/>
      <c r="CK5" s="4" t="s">
        <v>6</v>
      </c>
      <c r="CO5" t="s">
        <v>11</v>
      </c>
      <c r="CS5">
        <v>6</v>
      </c>
      <c r="CZ5" s="2"/>
      <c r="DB5" s="4" t="s">
        <v>6</v>
      </c>
      <c r="DF5" t="s">
        <v>12</v>
      </c>
      <c r="DJ5">
        <v>7</v>
      </c>
      <c r="DQ5" s="2"/>
      <c r="DS5" s="4" t="s">
        <v>6</v>
      </c>
      <c r="DW5" t="s">
        <v>13</v>
      </c>
      <c r="EA5">
        <v>8</v>
      </c>
      <c r="EH5" s="2"/>
      <c r="EJ5" s="4" t="s">
        <v>6</v>
      </c>
      <c r="EN5" t="s">
        <v>14</v>
      </c>
      <c r="ER5">
        <v>9</v>
      </c>
      <c r="EY5" s="2"/>
      <c r="FA5" s="4" t="s">
        <v>6</v>
      </c>
      <c r="FE5" t="s">
        <v>15</v>
      </c>
      <c r="FI5">
        <v>10</v>
      </c>
      <c r="FP5" s="2"/>
      <c r="FR5" s="4" t="s">
        <v>6</v>
      </c>
      <c r="FV5" t="s">
        <v>15</v>
      </c>
      <c r="FZ5">
        <v>11</v>
      </c>
      <c r="GG5" s="2"/>
      <c r="GI5" s="4" t="s">
        <v>6</v>
      </c>
      <c r="GM5" t="s">
        <v>16</v>
      </c>
      <c r="GQ5">
        <v>12</v>
      </c>
      <c r="GX5" s="2"/>
      <c r="GZ5" s="4" t="s">
        <v>6</v>
      </c>
      <c r="HH5">
        <v>13</v>
      </c>
      <c r="HO5" s="2"/>
      <c r="HQ5" s="4" t="s">
        <v>6</v>
      </c>
      <c r="HY5">
        <v>14</v>
      </c>
      <c r="IF5" s="2"/>
      <c r="IH5" s="4" t="s">
        <v>6</v>
      </c>
      <c r="IP5">
        <v>15</v>
      </c>
    </row>
    <row r="6" spans="1:256" s="5" customFormat="1" x14ac:dyDescent="0.25">
      <c r="A6" s="60" t="s">
        <v>62</v>
      </c>
      <c r="B6" s="60"/>
      <c r="C6" s="61" t="s">
        <v>17</v>
      </c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2"/>
      <c r="T6" s="59" t="s">
        <v>17</v>
      </c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2"/>
      <c r="AK6" s="59" t="s">
        <v>17</v>
      </c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2"/>
      <c r="BB6" s="59" t="s">
        <v>17</v>
      </c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59"/>
      <c r="BN6" s="59"/>
      <c r="BO6" s="59"/>
      <c r="BP6" s="59"/>
      <c r="BQ6" s="59"/>
      <c r="BR6" s="2"/>
      <c r="BS6" s="59" t="s">
        <v>17</v>
      </c>
      <c r="BT6" s="59"/>
      <c r="BU6" s="59"/>
      <c r="BV6" s="59"/>
      <c r="BW6" s="59"/>
      <c r="BX6" s="59"/>
      <c r="BY6" s="59"/>
      <c r="BZ6" s="59"/>
      <c r="CA6" s="59"/>
      <c r="CB6" s="59"/>
      <c r="CC6" s="59"/>
      <c r="CD6" s="59"/>
      <c r="CE6" s="59"/>
      <c r="CF6" s="59"/>
      <c r="CG6" s="59"/>
      <c r="CH6" s="59"/>
      <c r="CI6" s="2"/>
      <c r="CJ6" s="59" t="s">
        <v>17</v>
      </c>
      <c r="CK6" s="59"/>
      <c r="CL6" s="59"/>
      <c r="CM6" s="59"/>
      <c r="CN6" s="59"/>
      <c r="CO6" s="59"/>
      <c r="CP6" s="59"/>
      <c r="CQ6" s="59"/>
      <c r="CR6" s="59"/>
      <c r="CS6" s="59"/>
      <c r="CT6" s="59"/>
      <c r="CU6" s="59"/>
      <c r="CV6" s="59"/>
      <c r="CW6" s="59"/>
      <c r="CX6" s="59"/>
      <c r="CY6" s="59"/>
      <c r="CZ6" s="2"/>
      <c r="DA6" s="59" t="s">
        <v>17</v>
      </c>
      <c r="DB6" s="59"/>
      <c r="DC6" s="59"/>
      <c r="DD6" s="59"/>
      <c r="DE6" s="59"/>
      <c r="DF6" s="59"/>
      <c r="DG6" s="59"/>
      <c r="DH6" s="59"/>
      <c r="DI6" s="59"/>
      <c r="DJ6" s="59"/>
      <c r="DK6" s="59"/>
      <c r="DL6" s="59"/>
      <c r="DM6" s="59"/>
      <c r="DN6" s="59"/>
      <c r="DO6" s="59"/>
      <c r="DP6" s="59"/>
      <c r="DQ6" s="2"/>
      <c r="DR6" s="59" t="s">
        <v>17</v>
      </c>
      <c r="DS6" s="59"/>
      <c r="DT6" s="59"/>
      <c r="DU6" s="59"/>
      <c r="DV6" s="59"/>
      <c r="DW6" s="59"/>
      <c r="DX6" s="59"/>
      <c r="DY6" s="59"/>
      <c r="DZ6" s="59"/>
      <c r="EA6" s="59"/>
      <c r="EB6" s="59"/>
      <c r="EC6" s="59"/>
      <c r="ED6" s="59"/>
      <c r="EE6" s="59"/>
      <c r="EF6" s="59"/>
      <c r="EG6" s="59"/>
      <c r="EH6" s="2"/>
      <c r="EI6" s="59" t="s">
        <v>17</v>
      </c>
      <c r="EJ6" s="59"/>
      <c r="EK6" s="59"/>
      <c r="EL6" s="59"/>
      <c r="EM6" s="59"/>
      <c r="EN6" s="59"/>
      <c r="EO6" s="59"/>
      <c r="EP6" s="59"/>
      <c r="EQ6" s="59"/>
      <c r="ER6" s="59"/>
      <c r="ES6" s="59"/>
      <c r="ET6" s="59"/>
      <c r="EU6" s="59"/>
      <c r="EV6" s="59"/>
      <c r="EW6" s="59"/>
      <c r="EX6" s="59"/>
      <c r="EY6" s="2"/>
      <c r="EZ6" s="59" t="s">
        <v>17</v>
      </c>
      <c r="FA6" s="59"/>
      <c r="FB6" s="59"/>
      <c r="FC6" s="59"/>
      <c r="FD6" s="59"/>
      <c r="FE6" s="59"/>
      <c r="FF6" s="59"/>
      <c r="FG6" s="59"/>
      <c r="FH6" s="59"/>
      <c r="FI6" s="59"/>
      <c r="FJ6" s="59"/>
      <c r="FK6" s="59"/>
      <c r="FL6" s="59"/>
      <c r="FM6" s="59"/>
      <c r="FN6" s="59"/>
      <c r="FO6" s="59"/>
      <c r="FP6" s="2"/>
      <c r="FQ6" s="59" t="s">
        <v>17</v>
      </c>
      <c r="FR6" s="59"/>
      <c r="FS6" s="59"/>
      <c r="FT6" s="59"/>
      <c r="FU6" s="59"/>
      <c r="FV6" s="59"/>
      <c r="FW6" s="59"/>
      <c r="FX6" s="59"/>
      <c r="FY6" s="59"/>
      <c r="FZ6" s="59"/>
      <c r="GA6" s="59"/>
      <c r="GB6" s="59"/>
      <c r="GC6" s="59"/>
      <c r="GD6" s="59"/>
      <c r="GE6" s="59"/>
      <c r="GF6" s="59"/>
      <c r="GG6" s="2"/>
      <c r="GH6" s="59" t="s">
        <v>17</v>
      </c>
      <c r="GI6" s="59"/>
      <c r="GJ6" s="59"/>
      <c r="GK6" s="59"/>
      <c r="GL6" s="59"/>
      <c r="GM6" s="59"/>
      <c r="GN6" s="59"/>
      <c r="GO6" s="59"/>
      <c r="GP6" s="59"/>
      <c r="GQ6" s="59"/>
      <c r="GR6" s="59"/>
      <c r="GS6" s="59"/>
      <c r="GT6" s="59"/>
      <c r="GU6" s="59"/>
      <c r="GV6" s="59"/>
      <c r="GW6" s="59"/>
      <c r="GX6" s="2"/>
      <c r="GY6" s="59" t="s">
        <v>17</v>
      </c>
      <c r="GZ6" s="59"/>
      <c r="HA6" s="59"/>
      <c r="HB6" s="59"/>
      <c r="HC6" s="59"/>
      <c r="HD6" s="59"/>
      <c r="HE6" s="59"/>
      <c r="HF6" s="59"/>
      <c r="HG6" s="59"/>
      <c r="HH6" s="59"/>
      <c r="HI6" s="59"/>
      <c r="HJ6" s="59"/>
      <c r="HK6" s="59"/>
      <c r="HL6" s="59"/>
      <c r="HM6" s="59"/>
      <c r="HN6" s="59"/>
      <c r="HO6" s="2"/>
      <c r="HP6" s="59" t="s">
        <v>17</v>
      </c>
      <c r="HQ6" s="59"/>
      <c r="HR6" s="59"/>
      <c r="HS6" s="59"/>
      <c r="HT6" s="59"/>
      <c r="HU6" s="59"/>
      <c r="HV6" s="59"/>
      <c r="HW6" s="59"/>
      <c r="HX6" s="59"/>
      <c r="HY6" s="59"/>
      <c r="HZ6" s="59"/>
      <c r="IA6" s="59"/>
      <c r="IB6" s="59"/>
      <c r="IC6" s="59"/>
      <c r="ID6" s="59"/>
      <c r="IE6" s="59"/>
      <c r="IF6" s="2"/>
      <c r="IG6" s="6" t="s">
        <v>17</v>
      </c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</row>
    <row r="7" spans="1:256" s="2" customFormat="1" x14ac:dyDescent="0.25">
      <c r="A7" s="8" t="s">
        <v>19</v>
      </c>
      <c r="B7" s="48" t="s">
        <v>73</v>
      </c>
      <c r="C7" s="9" t="s">
        <v>20</v>
      </c>
      <c r="D7" s="9" t="s">
        <v>21</v>
      </c>
      <c r="E7" s="9" t="s">
        <v>22</v>
      </c>
      <c r="F7" s="9" t="s">
        <v>23</v>
      </c>
      <c r="G7" s="9" t="s">
        <v>24</v>
      </c>
      <c r="H7" s="9" t="s">
        <v>25</v>
      </c>
      <c r="I7" s="9" t="s">
        <v>26</v>
      </c>
      <c r="J7" s="9" t="s">
        <v>27</v>
      </c>
      <c r="K7" s="9" t="s">
        <v>28</v>
      </c>
      <c r="L7" s="9" t="s">
        <v>29</v>
      </c>
      <c r="M7" s="9" t="s">
        <v>30</v>
      </c>
      <c r="N7" s="9" t="s">
        <v>31</v>
      </c>
      <c r="O7" s="9" t="s">
        <v>32</v>
      </c>
      <c r="P7" s="9" t="s">
        <v>33</v>
      </c>
      <c r="Q7" s="9" t="s">
        <v>34</v>
      </c>
      <c r="R7" s="9" t="s">
        <v>35</v>
      </c>
      <c r="S7" s="10"/>
      <c r="T7" s="9" t="s">
        <v>20</v>
      </c>
      <c r="U7" s="9" t="s">
        <v>21</v>
      </c>
      <c r="V7" s="9" t="s">
        <v>22</v>
      </c>
      <c r="W7" s="9" t="s">
        <v>23</v>
      </c>
      <c r="X7" s="9" t="s">
        <v>24</v>
      </c>
      <c r="Y7" s="9" t="s">
        <v>25</v>
      </c>
      <c r="Z7" s="9" t="s">
        <v>26</v>
      </c>
      <c r="AA7" s="9" t="s">
        <v>27</v>
      </c>
      <c r="AB7" s="9" t="s">
        <v>28</v>
      </c>
      <c r="AC7" s="9" t="s">
        <v>29</v>
      </c>
      <c r="AD7" s="9" t="s">
        <v>30</v>
      </c>
      <c r="AE7" s="9" t="s">
        <v>31</v>
      </c>
      <c r="AF7" s="9" t="s">
        <v>32</v>
      </c>
      <c r="AG7" s="9" t="s">
        <v>33</v>
      </c>
      <c r="AH7" s="9" t="s">
        <v>34</v>
      </c>
      <c r="AI7" s="9" t="s">
        <v>35</v>
      </c>
      <c r="AK7" s="9" t="s">
        <v>20</v>
      </c>
      <c r="AL7" s="9" t="s">
        <v>21</v>
      </c>
      <c r="AM7" s="9" t="s">
        <v>22</v>
      </c>
      <c r="AN7" s="9" t="s">
        <v>23</v>
      </c>
      <c r="AO7" s="9" t="s">
        <v>24</v>
      </c>
      <c r="AP7" s="9" t="s">
        <v>25</v>
      </c>
      <c r="AQ7" s="9" t="s">
        <v>26</v>
      </c>
      <c r="AR7" s="9" t="s">
        <v>27</v>
      </c>
      <c r="AS7" s="9" t="s">
        <v>28</v>
      </c>
      <c r="AT7" s="9" t="s">
        <v>29</v>
      </c>
      <c r="AU7" s="9" t="s">
        <v>30</v>
      </c>
      <c r="AV7" s="9" t="s">
        <v>31</v>
      </c>
      <c r="AW7" s="9" t="s">
        <v>32</v>
      </c>
      <c r="AX7" s="9" t="s">
        <v>33</v>
      </c>
      <c r="AY7" s="9" t="s">
        <v>34</v>
      </c>
      <c r="AZ7" s="9" t="s">
        <v>35</v>
      </c>
      <c r="BB7" s="9" t="s">
        <v>20</v>
      </c>
      <c r="BC7" s="9" t="s">
        <v>21</v>
      </c>
      <c r="BD7" s="9" t="s">
        <v>22</v>
      </c>
      <c r="BE7" s="9" t="s">
        <v>23</v>
      </c>
      <c r="BF7" s="9" t="s">
        <v>24</v>
      </c>
      <c r="BG7" s="9" t="s">
        <v>25</v>
      </c>
      <c r="BH7" s="9" t="s">
        <v>26</v>
      </c>
      <c r="BI7" s="9" t="s">
        <v>27</v>
      </c>
      <c r="BJ7" s="9" t="s">
        <v>28</v>
      </c>
      <c r="BK7" s="9" t="s">
        <v>29</v>
      </c>
      <c r="BL7" s="9" t="s">
        <v>30</v>
      </c>
      <c r="BM7" s="9" t="s">
        <v>31</v>
      </c>
      <c r="BN7" s="9" t="s">
        <v>32</v>
      </c>
      <c r="BO7" s="9" t="s">
        <v>33</v>
      </c>
      <c r="BP7" s="9" t="s">
        <v>34</v>
      </c>
      <c r="BQ7" s="9" t="s">
        <v>35</v>
      </c>
      <c r="BS7" s="9" t="s">
        <v>20</v>
      </c>
      <c r="BT7" s="9" t="s">
        <v>21</v>
      </c>
      <c r="BU7" s="9" t="s">
        <v>22</v>
      </c>
      <c r="BV7" s="9" t="s">
        <v>23</v>
      </c>
      <c r="BW7" s="9" t="s">
        <v>24</v>
      </c>
      <c r="BX7" s="9" t="s">
        <v>25</v>
      </c>
      <c r="BY7" s="9" t="s">
        <v>26</v>
      </c>
      <c r="BZ7" s="9" t="s">
        <v>27</v>
      </c>
      <c r="CA7" s="9" t="s">
        <v>28</v>
      </c>
      <c r="CB7" s="9" t="s">
        <v>29</v>
      </c>
      <c r="CC7" s="9" t="s">
        <v>30</v>
      </c>
      <c r="CD7" s="9" t="s">
        <v>31</v>
      </c>
      <c r="CE7" s="9" t="s">
        <v>32</v>
      </c>
      <c r="CF7" s="9" t="s">
        <v>33</v>
      </c>
      <c r="CG7" s="9" t="s">
        <v>34</v>
      </c>
      <c r="CH7" s="9" t="s">
        <v>35</v>
      </c>
      <c r="CJ7" s="9" t="s">
        <v>20</v>
      </c>
      <c r="CK7" s="9" t="s">
        <v>21</v>
      </c>
      <c r="CL7" s="9" t="s">
        <v>22</v>
      </c>
      <c r="CM7" s="9" t="s">
        <v>23</v>
      </c>
      <c r="CN7" s="9" t="s">
        <v>24</v>
      </c>
      <c r="CO7" s="9" t="s">
        <v>25</v>
      </c>
      <c r="CP7" s="9" t="s">
        <v>26</v>
      </c>
      <c r="CQ7" s="9" t="s">
        <v>27</v>
      </c>
      <c r="CR7" s="9" t="s">
        <v>28</v>
      </c>
      <c r="CS7" s="9" t="s">
        <v>29</v>
      </c>
      <c r="CT7" s="9" t="s">
        <v>30</v>
      </c>
      <c r="CU7" s="9" t="s">
        <v>31</v>
      </c>
      <c r="CV7" s="9" t="s">
        <v>32</v>
      </c>
      <c r="CW7" s="9" t="s">
        <v>33</v>
      </c>
      <c r="CX7" s="9" t="s">
        <v>34</v>
      </c>
      <c r="CY7" s="9" t="s">
        <v>35</v>
      </c>
      <c r="DA7" s="9" t="s">
        <v>20</v>
      </c>
      <c r="DB7" s="9" t="s">
        <v>21</v>
      </c>
      <c r="DC7" s="9" t="s">
        <v>22</v>
      </c>
      <c r="DD7" s="9" t="s">
        <v>23</v>
      </c>
      <c r="DE7" s="9" t="s">
        <v>24</v>
      </c>
      <c r="DF7" s="9" t="s">
        <v>25</v>
      </c>
      <c r="DG7" s="9" t="s">
        <v>26</v>
      </c>
      <c r="DH7" s="9" t="s">
        <v>27</v>
      </c>
      <c r="DI7" s="9" t="s">
        <v>28</v>
      </c>
      <c r="DJ7" s="9" t="s">
        <v>29</v>
      </c>
      <c r="DK7" s="9" t="s">
        <v>30</v>
      </c>
      <c r="DL7" s="9" t="s">
        <v>31</v>
      </c>
      <c r="DM7" s="9" t="s">
        <v>32</v>
      </c>
      <c r="DN7" s="9" t="s">
        <v>33</v>
      </c>
      <c r="DO7" s="9" t="s">
        <v>34</v>
      </c>
      <c r="DP7" s="9" t="s">
        <v>35</v>
      </c>
      <c r="DR7" s="9" t="s">
        <v>20</v>
      </c>
      <c r="DS7" s="9" t="s">
        <v>21</v>
      </c>
      <c r="DT7" s="9" t="s">
        <v>22</v>
      </c>
      <c r="DU7" s="9" t="s">
        <v>23</v>
      </c>
      <c r="DV7" s="9" t="s">
        <v>24</v>
      </c>
      <c r="DW7" s="9" t="s">
        <v>25</v>
      </c>
      <c r="DX7" s="9" t="s">
        <v>26</v>
      </c>
      <c r="DY7" s="9" t="s">
        <v>27</v>
      </c>
      <c r="DZ7" s="9" t="s">
        <v>28</v>
      </c>
      <c r="EA7" s="9" t="s">
        <v>29</v>
      </c>
      <c r="EB7" s="9" t="s">
        <v>30</v>
      </c>
      <c r="EC7" s="9" t="s">
        <v>31</v>
      </c>
      <c r="ED7" s="9" t="s">
        <v>32</v>
      </c>
      <c r="EE7" s="9" t="s">
        <v>33</v>
      </c>
      <c r="EF7" s="9" t="s">
        <v>34</v>
      </c>
      <c r="EG7" s="9" t="s">
        <v>35</v>
      </c>
      <c r="EI7" s="9" t="s">
        <v>20</v>
      </c>
      <c r="EJ7" s="9" t="s">
        <v>21</v>
      </c>
      <c r="EK7" s="9" t="s">
        <v>22</v>
      </c>
      <c r="EL7" s="9" t="s">
        <v>23</v>
      </c>
      <c r="EM7" s="9" t="s">
        <v>24</v>
      </c>
      <c r="EN7" s="9" t="s">
        <v>25</v>
      </c>
      <c r="EO7" s="9" t="s">
        <v>26</v>
      </c>
      <c r="EP7" s="9" t="s">
        <v>27</v>
      </c>
      <c r="EQ7" s="9" t="s">
        <v>28</v>
      </c>
      <c r="ER7" s="9" t="s">
        <v>29</v>
      </c>
      <c r="ES7" s="9" t="s">
        <v>30</v>
      </c>
      <c r="ET7" s="9" t="s">
        <v>31</v>
      </c>
      <c r="EU7" s="9" t="s">
        <v>32</v>
      </c>
      <c r="EV7" s="9" t="s">
        <v>33</v>
      </c>
      <c r="EW7" s="9" t="s">
        <v>34</v>
      </c>
      <c r="EX7" s="9" t="s">
        <v>35</v>
      </c>
      <c r="EZ7" s="9" t="s">
        <v>20</v>
      </c>
      <c r="FA7" s="9" t="s">
        <v>21</v>
      </c>
      <c r="FB7" s="9" t="s">
        <v>22</v>
      </c>
      <c r="FC7" s="9" t="s">
        <v>23</v>
      </c>
      <c r="FD7" s="9" t="s">
        <v>24</v>
      </c>
      <c r="FE7" s="9" t="s">
        <v>25</v>
      </c>
      <c r="FF7" s="9" t="s">
        <v>26</v>
      </c>
      <c r="FG7" s="9" t="s">
        <v>27</v>
      </c>
      <c r="FH7" s="9" t="s">
        <v>28</v>
      </c>
      <c r="FI7" s="9" t="s">
        <v>29</v>
      </c>
      <c r="FJ7" s="9" t="s">
        <v>30</v>
      </c>
      <c r="FK7" s="9" t="s">
        <v>31</v>
      </c>
      <c r="FL7" s="9" t="s">
        <v>32</v>
      </c>
      <c r="FM7" s="9" t="s">
        <v>33</v>
      </c>
      <c r="FN7" s="9" t="s">
        <v>34</v>
      </c>
      <c r="FO7" s="9" t="s">
        <v>35</v>
      </c>
      <c r="FQ7" s="9" t="s">
        <v>20</v>
      </c>
      <c r="FR7" s="9" t="s">
        <v>21</v>
      </c>
      <c r="FS7" s="9" t="s">
        <v>22</v>
      </c>
      <c r="FT7" s="9" t="s">
        <v>23</v>
      </c>
      <c r="FU7" s="9" t="s">
        <v>24</v>
      </c>
      <c r="FV7" s="9" t="s">
        <v>25</v>
      </c>
      <c r="FW7" s="9" t="s">
        <v>26</v>
      </c>
      <c r="FX7" s="9" t="s">
        <v>27</v>
      </c>
      <c r="FY7" s="9" t="s">
        <v>28</v>
      </c>
      <c r="FZ7" s="9" t="s">
        <v>29</v>
      </c>
      <c r="GA7" s="9" t="s">
        <v>30</v>
      </c>
      <c r="GB7" s="9" t="s">
        <v>31</v>
      </c>
      <c r="GC7" s="9" t="s">
        <v>32</v>
      </c>
      <c r="GD7" s="9" t="s">
        <v>33</v>
      </c>
      <c r="GE7" s="9" t="s">
        <v>34</v>
      </c>
      <c r="GF7" s="9" t="s">
        <v>35</v>
      </c>
      <c r="GH7" s="9" t="s">
        <v>20</v>
      </c>
      <c r="GI7" s="9" t="s">
        <v>21</v>
      </c>
      <c r="GJ7" s="9" t="s">
        <v>22</v>
      </c>
      <c r="GK7" s="9" t="s">
        <v>23</v>
      </c>
      <c r="GL7" s="9" t="s">
        <v>24</v>
      </c>
      <c r="GM7" s="9" t="s">
        <v>25</v>
      </c>
      <c r="GN7" s="9" t="s">
        <v>26</v>
      </c>
      <c r="GO7" s="9" t="s">
        <v>27</v>
      </c>
      <c r="GP7" s="9" t="s">
        <v>28</v>
      </c>
      <c r="GQ7" s="9" t="s">
        <v>29</v>
      </c>
      <c r="GR7" s="9" t="s">
        <v>30</v>
      </c>
      <c r="GS7" s="9" t="s">
        <v>31</v>
      </c>
      <c r="GT7" s="9" t="s">
        <v>32</v>
      </c>
      <c r="GU7" s="9" t="s">
        <v>33</v>
      </c>
      <c r="GV7" s="9" t="s">
        <v>34</v>
      </c>
      <c r="GW7" s="9" t="s">
        <v>35</v>
      </c>
      <c r="GY7" s="9" t="s">
        <v>20</v>
      </c>
      <c r="GZ7" s="9" t="s">
        <v>21</v>
      </c>
      <c r="HA7" s="9" t="s">
        <v>22</v>
      </c>
      <c r="HB7" s="9" t="s">
        <v>23</v>
      </c>
      <c r="HC7" s="9" t="s">
        <v>24</v>
      </c>
      <c r="HD7" s="9" t="s">
        <v>25</v>
      </c>
      <c r="HE7" s="9" t="s">
        <v>26</v>
      </c>
      <c r="HF7" s="9" t="s">
        <v>27</v>
      </c>
      <c r="HG7" s="9" t="s">
        <v>28</v>
      </c>
      <c r="HH7" s="9" t="s">
        <v>29</v>
      </c>
      <c r="HI7" s="9" t="s">
        <v>30</v>
      </c>
      <c r="HJ7" s="9" t="s">
        <v>31</v>
      </c>
      <c r="HK7" s="9" t="s">
        <v>32</v>
      </c>
      <c r="HL7" s="9" t="s">
        <v>33</v>
      </c>
      <c r="HM7" s="9" t="s">
        <v>34</v>
      </c>
      <c r="HN7" s="9" t="s">
        <v>35</v>
      </c>
      <c r="HP7" s="9" t="s">
        <v>20</v>
      </c>
      <c r="HQ7" s="9" t="s">
        <v>21</v>
      </c>
      <c r="HR7" s="9" t="s">
        <v>22</v>
      </c>
      <c r="HS7" s="9" t="s">
        <v>23</v>
      </c>
      <c r="HT7" s="9" t="s">
        <v>24</v>
      </c>
      <c r="HU7" s="9" t="s">
        <v>25</v>
      </c>
      <c r="HV7" s="9" t="s">
        <v>26</v>
      </c>
      <c r="HW7" s="9" t="s">
        <v>27</v>
      </c>
      <c r="HX7" s="9" t="s">
        <v>28</v>
      </c>
      <c r="HY7" s="9" t="s">
        <v>29</v>
      </c>
      <c r="HZ7" s="9" t="s">
        <v>30</v>
      </c>
      <c r="IA7" s="9" t="s">
        <v>31</v>
      </c>
      <c r="IB7" s="9" t="s">
        <v>32</v>
      </c>
      <c r="IC7" s="9" t="s">
        <v>33</v>
      </c>
      <c r="ID7" s="9" t="s">
        <v>34</v>
      </c>
      <c r="IE7" s="9" t="s">
        <v>35</v>
      </c>
      <c r="IG7" s="9" t="s">
        <v>20</v>
      </c>
      <c r="IH7" s="9" t="s">
        <v>21</v>
      </c>
      <c r="II7" s="9" t="s">
        <v>22</v>
      </c>
      <c r="IJ7" s="9" t="s">
        <v>23</v>
      </c>
      <c r="IK7" s="9" t="s">
        <v>24</v>
      </c>
      <c r="IL7" s="9" t="s">
        <v>25</v>
      </c>
      <c r="IM7" s="9" t="s">
        <v>26</v>
      </c>
      <c r="IN7" s="9" t="s">
        <v>27</v>
      </c>
      <c r="IO7" s="9" t="s">
        <v>28</v>
      </c>
      <c r="IP7" s="9" t="s">
        <v>29</v>
      </c>
      <c r="IQ7" s="9" t="s">
        <v>30</v>
      </c>
      <c r="IR7" s="9" t="s">
        <v>31</v>
      </c>
      <c r="IS7" s="9" t="s">
        <v>32</v>
      </c>
      <c r="IT7" s="9" t="s">
        <v>33</v>
      </c>
      <c r="IU7" s="9" t="s">
        <v>34</v>
      </c>
      <c r="IV7" s="9" t="s">
        <v>35</v>
      </c>
    </row>
    <row r="8" spans="1:256" s="16" customFormat="1" x14ac:dyDescent="0.25">
      <c r="A8" s="15" t="s">
        <v>71</v>
      </c>
      <c r="B8" s="49">
        <v>13</v>
      </c>
      <c r="C8" s="16">
        <v>4</v>
      </c>
      <c r="D8" s="16">
        <v>2</v>
      </c>
      <c r="E8" s="16">
        <v>1</v>
      </c>
      <c r="L8" s="16">
        <v>1</v>
      </c>
      <c r="Q8" s="16">
        <f t="shared" ref="Q8:Q26" si="0">(E8-(F8+G8+H8))+(F8*2)+(G8*3)+(H8*4)</f>
        <v>1</v>
      </c>
      <c r="R8" s="16">
        <f t="shared" ref="R8:R26" si="1">+C8+K8+M8+N8+O8+P8</f>
        <v>4</v>
      </c>
      <c r="S8" s="17"/>
      <c r="AH8" s="16">
        <f t="shared" ref="AH8:AH26" si="2">(V8-(W8+X8+Y8))+(W8*2)+(X8*3)+(Y8*4)</f>
        <v>0</v>
      </c>
      <c r="AI8" s="16">
        <f t="shared" ref="AI8:AI26" si="3">+T8+AB8+AD8+AE8+AF8+AG8</f>
        <v>0</v>
      </c>
      <c r="AJ8" s="18"/>
      <c r="AY8" s="16">
        <f t="shared" ref="AY8:AY26" si="4">(AM8-(AN8+AO8+AP8))+(AN8*2)+(AO8*3)+(AP8*4)</f>
        <v>0</v>
      </c>
      <c r="AZ8" s="16">
        <f t="shared" ref="AZ8:AZ26" si="5">+AK8+AS8+AU8+AV8+AW8+AX8</f>
        <v>0</v>
      </c>
      <c r="BA8" s="18"/>
      <c r="BP8" s="16">
        <f t="shared" ref="BP8:BP26" si="6">(BD8-(BE8+BF8+BG8))+(BE8*2)+(BF8*3)+(BG8*4)</f>
        <v>0</v>
      </c>
      <c r="BQ8" s="16">
        <f t="shared" ref="BQ8:BQ26" si="7">+BB8+BJ8+BL8+BM8+BN8+BO8</f>
        <v>0</v>
      </c>
      <c r="BR8" s="18"/>
      <c r="CG8" s="16">
        <f t="shared" ref="CG8:CG26" si="8">(BU8-(BV8+BW8+BX8))+(BV8*2)+(BW8*3)+(BX8*4)</f>
        <v>0</v>
      </c>
      <c r="CH8" s="16">
        <f t="shared" ref="CH8:CH26" si="9">+BS8+CA8+CC8+CD8+CE8+CF8</f>
        <v>0</v>
      </c>
      <c r="CI8" s="18"/>
      <c r="CX8" s="16">
        <f t="shared" ref="CX8:CX26" si="10">(CL8-(CM8+CN8+CO8))+(CM8*2)+(CN8*3)+(CO8*4)</f>
        <v>0</v>
      </c>
      <c r="CY8" s="16">
        <f t="shared" ref="CY8:CY26" si="11">+CJ8+CR8+CT8+CU8+CV8+CW8</f>
        <v>0</v>
      </c>
      <c r="CZ8" s="18"/>
      <c r="DO8" s="16">
        <f t="shared" ref="DO8:DO26" si="12">(DC8-(DD8+DE8+DF8))+(DD8*2)+(DE8*3)+(DF8*4)</f>
        <v>0</v>
      </c>
      <c r="DP8" s="16">
        <f t="shared" ref="DP8:DP26" si="13">+DA8+DI8+DK8+DL8+DM8+DN8</f>
        <v>0</v>
      </c>
      <c r="DQ8" s="18"/>
      <c r="EF8" s="16">
        <f t="shared" ref="EF8:EF26" si="14">(DT8-(DU8+DV8+DW8))+(DU8*2)+(DV8*3)+(DW8*4)</f>
        <v>0</v>
      </c>
      <c r="EG8" s="16">
        <f t="shared" ref="EG8:EG26" si="15">+DR8+DZ8+EB8+EC8+ED8+EE8</f>
        <v>0</v>
      </c>
      <c r="EH8" s="18"/>
      <c r="EW8" s="16">
        <f t="shared" ref="EW8:EW26" si="16">(EK8-(EL8+EM8+EN8))+(EL8*2)+(EM8*3)+(EN8*4)</f>
        <v>0</v>
      </c>
      <c r="EX8" s="16">
        <f t="shared" ref="EX8:EX26" si="17">+EI8+EQ8+ES8+ET8+EU8+EV8</f>
        <v>0</v>
      </c>
      <c r="EY8" s="18"/>
      <c r="FN8" s="16">
        <f t="shared" ref="FN8:FN26" si="18">(FB8-(FC8+FD8+FE8))+(FC8*2)+(FD8*3)+(FE8*4)</f>
        <v>0</v>
      </c>
      <c r="FO8" s="16">
        <f t="shared" ref="FO8:FO26" si="19">+EZ8+FH8+FJ8+FK8+FL8+FM8</f>
        <v>0</v>
      </c>
      <c r="FP8" s="18"/>
      <c r="GE8" s="16">
        <f t="shared" ref="GE8:GE26" si="20">(FS8-(FT8+FU8+FV8))+(FT8*2)+(FU8*3)+(FV8*4)</f>
        <v>0</v>
      </c>
      <c r="GF8" s="16">
        <f t="shared" ref="GF8:GF26" si="21">+FQ8+FY8+GA8+GB8+GC8+GD8</f>
        <v>0</v>
      </c>
      <c r="GG8" s="18"/>
      <c r="GV8" s="16">
        <f t="shared" ref="GV8:GV26" si="22">(GJ8-(GK8+GL8+GM8))+(GK8*2)+(GL8*3)+(GM8*4)</f>
        <v>0</v>
      </c>
      <c r="GW8" s="16">
        <f t="shared" ref="GW8:GW26" si="23">+GH8+GP8+GR8+GS8+GT8+GU8</f>
        <v>0</v>
      </c>
      <c r="GX8" s="18"/>
      <c r="HM8" s="16">
        <f t="shared" ref="HM8:HM26" si="24">(HA8-(HB8+HC8+HD8))+(HB8*2)+(HC8*3)+(HD8*4)</f>
        <v>0</v>
      </c>
      <c r="HN8" s="16">
        <f t="shared" ref="HN8:HN26" si="25">+GY8+HG8+HI8+HJ8+HK8+HL8</f>
        <v>0</v>
      </c>
      <c r="HO8" s="18"/>
      <c r="ID8" s="16">
        <f t="shared" ref="ID8:ID26" si="26">(HR8-(HS8+HT8+HU8))+(HS8*2)+(HT8*3)+(HU8*4)</f>
        <v>0</v>
      </c>
      <c r="IE8" s="16">
        <f t="shared" ref="IE8:IE26" si="27">+HP8+HX8+HZ8+IA8+IB8+IC8</f>
        <v>0</v>
      </c>
      <c r="IF8" s="18"/>
      <c r="IU8" s="16">
        <f t="shared" ref="IU8:IU26" si="28">(II8-(IJ8+IK8+IL8))+(IJ8*2)+(IK8*3)+(IL8*4)</f>
        <v>0</v>
      </c>
      <c r="IV8" s="16">
        <f t="shared" ref="IV8:IV26" si="29">+IG8+IO8+IQ8+IR8+IS8+IT8</f>
        <v>0</v>
      </c>
    </row>
    <row r="9" spans="1:256" s="16" customFormat="1" x14ac:dyDescent="0.25">
      <c r="A9" s="15" t="s">
        <v>37</v>
      </c>
      <c r="B9" s="49">
        <v>15</v>
      </c>
      <c r="C9" s="16">
        <v>3</v>
      </c>
      <c r="D9" s="16">
        <v>1</v>
      </c>
      <c r="E9" s="16">
        <v>1</v>
      </c>
      <c r="F9" s="16">
        <v>1</v>
      </c>
      <c r="K9" s="16">
        <v>1</v>
      </c>
      <c r="Q9" s="16">
        <f t="shared" si="0"/>
        <v>2</v>
      </c>
      <c r="R9" s="16">
        <f t="shared" si="1"/>
        <v>4</v>
      </c>
      <c r="S9" s="17"/>
      <c r="AH9" s="16">
        <f t="shared" si="2"/>
        <v>0</v>
      </c>
      <c r="AI9" s="16">
        <f t="shared" si="3"/>
        <v>0</v>
      </c>
      <c r="AJ9" s="18"/>
      <c r="AY9" s="16">
        <f t="shared" si="4"/>
        <v>0</v>
      </c>
      <c r="AZ9" s="16">
        <f t="shared" si="5"/>
        <v>0</v>
      </c>
      <c r="BA9" s="18"/>
      <c r="BP9" s="16">
        <f t="shared" si="6"/>
        <v>0</v>
      </c>
      <c r="BQ9" s="16">
        <f t="shared" si="7"/>
        <v>0</v>
      </c>
      <c r="BR9" s="18"/>
      <c r="CG9" s="16">
        <f t="shared" si="8"/>
        <v>0</v>
      </c>
      <c r="CH9" s="16">
        <f t="shared" si="9"/>
        <v>0</v>
      </c>
      <c r="CI9" s="18"/>
      <c r="CX9" s="16">
        <f t="shared" si="10"/>
        <v>0</v>
      </c>
      <c r="CY9" s="16">
        <f t="shared" si="11"/>
        <v>0</v>
      </c>
      <c r="CZ9" s="18"/>
      <c r="DO9" s="16">
        <f t="shared" si="12"/>
        <v>0</v>
      </c>
      <c r="DP9" s="16">
        <f t="shared" si="13"/>
        <v>0</v>
      </c>
      <c r="DQ9" s="18"/>
      <c r="EF9" s="16">
        <f t="shared" si="14"/>
        <v>0</v>
      </c>
      <c r="EG9" s="16">
        <f t="shared" si="15"/>
        <v>0</v>
      </c>
      <c r="EH9" s="18"/>
      <c r="EW9" s="16">
        <f t="shared" si="16"/>
        <v>0</v>
      </c>
      <c r="EX9" s="16">
        <f t="shared" si="17"/>
        <v>0</v>
      </c>
      <c r="EY9" s="18"/>
      <c r="FN9" s="16">
        <f t="shared" si="18"/>
        <v>0</v>
      </c>
      <c r="FO9" s="16">
        <f t="shared" si="19"/>
        <v>0</v>
      </c>
      <c r="FP9" s="18"/>
      <c r="GE9" s="16">
        <f t="shared" si="20"/>
        <v>0</v>
      </c>
      <c r="GF9" s="16">
        <f t="shared" si="21"/>
        <v>0</v>
      </c>
      <c r="GG9" s="18"/>
      <c r="GV9" s="16">
        <f t="shared" si="22"/>
        <v>0</v>
      </c>
      <c r="GW9" s="16">
        <f t="shared" si="23"/>
        <v>0</v>
      </c>
      <c r="GX9" s="18"/>
      <c r="HM9" s="16">
        <f t="shared" si="24"/>
        <v>0</v>
      </c>
      <c r="HN9" s="16">
        <f t="shared" si="25"/>
        <v>0</v>
      </c>
      <c r="HO9" s="18"/>
      <c r="ID9" s="16">
        <f t="shared" si="26"/>
        <v>0</v>
      </c>
      <c r="IE9" s="16">
        <f t="shared" si="27"/>
        <v>0</v>
      </c>
      <c r="IF9" s="18"/>
      <c r="IU9" s="16">
        <f t="shared" si="28"/>
        <v>0</v>
      </c>
      <c r="IV9" s="16">
        <f t="shared" si="29"/>
        <v>0</v>
      </c>
    </row>
    <row r="10" spans="1:256" s="16" customFormat="1" x14ac:dyDescent="0.25">
      <c r="A10" s="15" t="s">
        <v>38</v>
      </c>
      <c r="B10" s="49">
        <v>22</v>
      </c>
      <c r="C10" s="16">
        <v>4</v>
      </c>
      <c r="E10" s="16">
        <v>1</v>
      </c>
      <c r="Q10" s="16">
        <f t="shared" si="0"/>
        <v>1</v>
      </c>
      <c r="R10" s="16">
        <f t="shared" si="1"/>
        <v>4</v>
      </c>
      <c r="S10" s="17"/>
      <c r="AH10" s="16">
        <f t="shared" si="2"/>
        <v>0</v>
      </c>
      <c r="AI10" s="16">
        <f t="shared" si="3"/>
        <v>0</v>
      </c>
      <c r="AJ10" s="18"/>
      <c r="AY10" s="16">
        <f t="shared" si="4"/>
        <v>0</v>
      </c>
      <c r="AZ10" s="16">
        <f t="shared" si="5"/>
        <v>0</v>
      </c>
      <c r="BA10" s="18"/>
      <c r="BP10" s="16">
        <f t="shared" si="6"/>
        <v>0</v>
      </c>
      <c r="BQ10" s="16">
        <f t="shared" si="7"/>
        <v>0</v>
      </c>
      <c r="BR10" s="18"/>
      <c r="CG10" s="16">
        <f t="shared" si="8"/>
        <v>0</v>
      </c>
      <c r="CH10" s="16">
        <f t="shared" si="9"/>
        <v>0</v>
      </c>
      <c r="CI10" s="18"/>
      <c r="CX10" s="16">
        <f t="shared" si="10"/>
        <v>0</v>
      </c>
      <c r="CY10" s="16">
        <f t="shared" si="11"/>
        <v>0</v>
      </c>
      <c r="CZ10" s="18"/>
      <c r="DO10" s="16">
        <f t="shared" si="12"/>
        <v>0</v>
      </c>
      <c r="DP10" s="16">
        <f t="shared" si="13"/>
        <v>0</v>
      </c>
      <c r="DQ10" s="18"/>
      <c r="EF10" s="16">
        <f t="shared" si="14"/>
        <v>0</v>
      </c>
      <c r="EG10" s="16">
        <f t="shared" si="15"/>
        <v>0</v>
      </c>
      <c r="EH10" s="18"/>
      <c r="EW10" s="16">
        <f t="shared" si="16"/>
        <v>0</v>
      </c>
      <c r="EX10" s="16">
        <f t="shared" si="17"/>
        <v>0</v>
      </c>
      <c r="EY10" s="18"/>
      <c r="FN10" s="16">
        <f t="shared" si="18"/>
        <v>0</v>
      </c>
      <c r="FO10" s="16">
        <f t="shared" si="19"/>
        <v>0</v>
      </c>
      <c r="FP10" s="18"/>
      <c r="GE10" s="16">
        <f t="shared" si="20"/>
        <v>0</v>
      </c>
      <c r="GF10" s="16">
        <f t="shared" si="21"/>
        <v>0</v>
      </c>
      <c r="GG10" s="18"/>
      <c r="GV10" s="16">
        <f t="shared" si="22"/>
        <v>0</v>
      </c>
      <c r="GW10" s="16">
        <f t="shared" si="23"/>
        <v>0</v>
      </c>
      <c r="GX10" s="18"/>
      <c r="HM10" s="16">
        <f t="shared" si="24"/>
        <v>0</v>
      </c>
      <c r="HN10" s="16">
        <f t="shared" si="25"/>
        <v>0</v>
      </c>
      <c r="HO10" s="18"/>
      <c r="ID10" s="16">
        <f t="shared" si="26"/>
        <v>0</v>
      </c>
      <c r="IE10" s="16">
        <f t="shared" si="27"/>
        <v>0</v>
      </c>
      <c r="IF10" s="18"/>
      <c r="IU10" s="16">
        <f t="shared" si="28"/>
        <v>0</v>
      </c>
      <c r="IV10" s="16">
        <f t="shared" si="29"/>
        <v>0</v>
      </c>
    </row>
    <row r="11" spans="1:256" s="16" customFormat="1" x14ac:dyDescent="0.25">
      <c r="A11" s="15" t="s">
        <v>39</v>
      </c>
      <c r="B11" s="49">
        <v>23</v>
      </c>
      <c r="D11" s="16">
        <v>1</v>
      </c>
      <c r="I11" s="16">
        <v>1</v>
      </c>
      <c r="K11" s="16">
        <v>3</v>
      </c>
      <c r="L11" s="16">
        <v>3</v>
      </c>
      <c r="Q11" s="16">
        <f t="shared" si="0"/>
        <v>0</v>
      </c>
      <c r="R11" s="16">
        <f t="shared" si="1"/>
        <v>3</v>
      </c>
      <c r="S11" s="17"/>
      <c r="AH11" s="16">
        <f t="shared" si="2"/>
        <v>0</v>
      </c>
      <c r="AI11" s="16">
        <f t="shared" si="3"/>
        <v>0</v>
      </c>
      <c r="AJ11" s="18"/>
      <c r="AY11" s="16">
        <f t="shared" si="4"/>
        <v>0</v>
      </c>
      <c r="AZ11" s="16">
        <f t="shared" si="5"/>
        <v>0</v>
      </c>
      <c r="BA11" s="18"/>
      <c r="BP11" s="16">
        <f t="shared" si="6"/>
        <v>0</v>
      </c>
      <c r="BQ11" s="16">
        <f t="shared" si="7"/>
        <v>0</v>
      </c>
      <c r="BR11" s="18"/>
      <c r="CG11" s="16">
        <f t="shared" si="8"/>
        <v>0</v>
      </c>
      <c r="CH11" s="16">
        <f t="shared" si="9"/>
        <v>0</v>
      </c>
      <c r="CI11" s="18"/>
      <c r="CX11" s="16">
        <f t="shared" si="10"/>
        <v>0</v>
      </c>
      <c r="CY11" s="16">
        <f t="shared" si="11"/>
        <v>0</v>
      </c>
      <c r="CZ11" s="18"/>
      <c r="DO11" s="16">
        <f t="shared" si="12"/>
        <v>0</v>
      </c>
      <c r="DP11" s="16">
        <f t="shared" si="13"/>
        <v>0</v>
      </c>
      <c r="DQ11" s="18"/>
      <c r="EF11" s="16">
        <f t="shared" si="14"/>
        <v>0</v>
      </c>
      <c r="EG11" s="16">
        <f t="shared" si="15"/>
        <v>0</v>
      </c>
      <c r="EH11" s="18"/>
      <c r="EW11" s="16">
        <f t="shared" si="16"/>
        <v>0</v>
      </c>
      <c r="EX11" s="16">
        <f t="shared" si="17"/>
        <v>0</v>
      </c>
      <c r="EY11" s="18"/>
      <c r="FN11" s="16">
        <f t="shared" si="18"/>
        <v>0</v>
      </c>
      <c r="FO11" s="16">
        <f t="shared" si="19"/>
        <v>0</v>
      </c>
      <c r="FP11" s="18"/>
      <c r="GE11" s="16">
        <f t="shared" si="20"/>
        <v>0</v>
      </c>
      <c r="GF11" s="16">
        <f t="shared" si="21"/>
        <v>0</v>
      </c>
      <c r="GG11" s="18"/>
      <c r="GV11" s="16">
        <f t="shared" si="22"/>
        <v>0</v>
      </c>
      <c r="GW11" s="16">
        <f t="shared" si="23"/>
        <v>0</v>
      </c>
      <c r="GX11" s="18"/>
      <c r="HM11" s="16">
        <f t="shared" si="24"/>
        <v>0</v>
      </c>
      <c r="HN11" s="16">
        <f t="shared" si="25"/>
        <v>0</v>
      </c>
      <c r="HO11" s="18"/>
      <c r="ID11" s="16">
        <f t="shared" si="26"/>
        <v>0</v>
      </c>
      <c r="IE11" s="16">
        <f t="shared" si="27"/>
        <v>0</v>
      </c>
      <c r="IF11" s="18"/>
      <c r="IU11" s="16">
        <f t="shared" si="28"/>
        <v>0</v>
      </c>
      <c r="IV11" s="16">
        <f t="shared" si="29"/>
        <v>0</v>
      </c>
    </row>
    <row r="12" spans="1:256" s="16" customFormat="1" x14ac:dyDescent="0.25">
      <c r="A12" s="15" t="s">
        <v>40</v>
      </c>
      <c r="B12" s="49"/>
      <c r="C12" s="16">
        <v>1</v>
      </c>
      <c r="Q12" s="16">
        <f t="shared" si="0"/>
        <v>0</v>
      </c>
      <c r="R12" s="16">
        <f t="shared" si="1"/>
        <v>1</v>
      </c>
      <c r="S12" s="17"/>
      <c r="AH12" s="16">
        <f t="shared" si="2"/>
        <v>0</v>
      </c>
      <c r="AI12" s="16">
        <f t="shared" si="3"/>
        <v>0</v>
      </c>
      <c r="AJ12" s="18"/>
      <c r="AY12" s="16">
        <f t="shared" si="4"/>
        <v>0</v>
      </c>
      <c r="AZ12" s="16">
        <f t="shared" si="5"/>
        <v>0</v>
      </c>
      <c r="BA12" s="18"/>
      <c r="BP12" s="16">
        <f t="shared" si="6"/>
        <v>0</v>
      </c>
      <c r="BQ12" s="16">
        <f t="shared" si="7"/>
        <v>0</v>
      </c>
      <c r="BR12" s="18"/>
      <c r="CG12" s="16">
        <f t="shared" si="8"/>
        <v>0</v>
      </c>
      <c r="CH12" s="16">
        <f t="shared" si="9"/>
        <v>0</v>
      </c>
      <c r="CI12" s="18"/>
      <c r="CX12" s="16">
        <f t="shared" si="10"/>
        <v>0</v>
      </c>
      <c r="CY12" s="16">
        <f t="shared" si="11"/>
        <v>0</v>
      </c>
      <c r="CZ12" s="18"/>
      <c r="DO12" s="16">
        <f t="shared" si="12"/>
        <v>0</v>
      </c>
      <c r="DP12" s="16">
        <f t="shared" si="13"/>
        <v>0</v>
      </c>
      <c r="DQ12" s="18"/>
      <c r="EF12" s="16">
        <f t="shared" si="14"/>
        <v>0</v>
      </c>
      <c r="EG12" s="16">
        <f t="shared" si="15"/>
        <v>0</v>
      </c>
      <c r="EH12" s="18"/>
      <c r="EW12" s="16">
        <f t="shared" si="16"/>
        <v>0</v>
      </c>
      <c r="EX12" s="16">
        <f t="shared" si="17"/>
        <v>0</v>
      </c>
      <c r="EY12" s="18"/>
      <c r="FN12" s="16">
        <f t="shared" si="18"/>
        <v>0</v>
      </c>
      <c r="FO12" s="16">
        <f t="shared" si="19"/>
        <v>0</v>
      </c>
      <c r="FP12" s="18"/>
      <c r="GE12" s="16">
        <f t="shared" si="20"/>
        <v>0</v>
      </c>
      <c r="GF12" s="16">
        <f t="shared" si="21"/>
        <v>0</v>
      </c>
      <c r="GG12" s="18"/>
      <c r="GV12" s="16">
        <f t="shared" si="22"/>
        <v>0</v>
      </c>
      <c r="GW12" s="16">
        <f t="shared" si="23"/>
        <v>0</v>
      </c>
      <c r="GX12" s="18"/>
      <c r="HM12" s="16">
        <f t="shared" si="24"/>
        <v>0</v>
      </c>
      <c r="HN12" s="16">
        <f t="shared" si="25"/>
        <v>0</v>
      </c>
      <c r="HO12" s="18"/>
      <c r="ID12" s="16">
        <f t="shared" si="26"/>
        <v>0</v>
      </c>
      <c r="IE12" s="16">
        <f t="shared" si="27"/>
        <v>0</v>
      </c>
      <c r="IF12" s="18"/>
      <c r="IU12" s="16">
        <f t="shared" si="28"/>
        <v>0</v>
      </c>
      <c r="IV12" s="16">
        <f t="shared" si="29"/>
        <v>0</v>
      </c>
    </row>
    <row r="13" spans="1:256" s="16" customFormat="1" x14ac:dyDescent="0.25">
      <c r="A13" s="15" t="s">
        <v>41</v>
      </c>
      <c r="B13" s="49"/>
      <c r="C13" s="16">
        <v>2</v>
      </c>
      <c r="J13" s="16">
        <v>1</v>
      </c>
      <c r="Q13" s="16">
        <f t="shared" si="0"/>
        <v>0</v>
      </c>
      <c r="R13" s="16">
        <f t="shared" si="1"/>
        <v>2</v>
      </c>
      <c r="S13" s="17"/>
      <c r="AH13" s="16">
        <f t="shared" si="2"/>
        <v>0</v>
      </c>
      <c r="AI13" s="16">
        <f t="shared" si="3"/>
        <v>0</v>
      </c>
      <c r="AJ13" s="18"/>
      <c r="AY13" s="16">
        <f t="shared" si="4"/>
        <v>0</v>
      </c>
      <c r="AZ13" s="16">
        <f t="shared" si="5"/>
        <v>0</v>
      </c>
      <c r="BA13" s="18"/>
      <c r="BP13" s="16">
        <f t="shared" si="6"/>
        <v>0</v>
      </c>
      <c r="BQ13" s="16">
        <f t="shared" si="7"/>
        <v>0</v>
      </c>
      <c r="BR13" s="18"/>
      <c r="CG13" s="16">
        <f t="shared" si="8"/>
        <v>0</v>
      </c>
      <c r="CH13" s="16">
        <f t="shared" si="9"/>
        <v>0</v>
      </c>
      <c r="CI13" s="18"/>
      <c r="CX13" s="16">
        <f t="shared" si="10"/>
        <v>0</v>
      </c>
      <c r="CY13" s="16">
        <f t="shared" si="11"/>
        <v>0</v>
      </c>
      <c r="CZ13" s="18"/>
      <c r="DO13" s="16">
        <f t="shared" si="12"/>
        <v>0</v>
      </c>
      <c r="DP13" s="16">
        <f t="shared" si="13"/>
        <v>0</v>
      </c>
      <c r="DQ13" s="18"/>
      <c r="EF13" s="16">
        <f t="shared" si="14"/>
        <v>0</v>
      </c>
      <c r="EG13" s="16">
        <f t="shared" si="15"/>
        <v>0</v>
      </c>
      <c r="EH13" s="18"/>
      <c r="EW13" s="16">
        <f t="shared" si="16"/>
        <v>0</v>
      </c>
      <c r="EX13" s="16">
        <f t="shared" si="17"/>
        <v>0</v>
      </c>
      <c r="EY13" s="18"/>
      <c r="FN13" s="16">
        <f t="shared" si="18"/>
        <v>0</v>
      </c>
      <c r="FO13" s="16">
        <f t="shared" si="19"/>
        <v>0</v>
      </c>
      <c r="FP13" s="18"/>
      <c r="GE13" s="16">
        <f t="shared" si="20"/>
        <v>0</v>
      </c>
      <c r="GF13" s="16">
        <f t="shared" si="21"/>
        <v>0</v>
      </c>
      <c r="GG13" s="18"/>
      <c r="GV13" s="16">
        <f t="shared" si="22"/>
        <v>0</v>
      </c>
      <c r="GW13" s="16">
        <f t="shared" si="23"/>
        <v>0</v>
      </c>
      <c r="GX13" s="18"/>
      <c r="HM13" s="16">
        <f t="shared" si="24"/>
        <v>0</v>
      </c>
      <c r="HN13" s="16">
        <f t="shared" si="25"/>
        <v>0</v>
      </c>
      <c r="HO13" s="18"/>
      <c r="ID13" s="16">
        <f t="shared" si="26"/>
        <v>0</v>
      </c>
      <c r="IE13" s="16">
        <f t="shared" si="27"/>
        <v>0</v>
      </c>
      <c r="IF13" s="18"/>
      <c r="IU13" s="16">
        <f t="shared" si="28"/>
        <v>0</v>
      </c>
      <c r="IV13" s="16">
        <f t="shared" si="29"/>
        <v>0</v>
      </c>
    </row>
    <row r="14" spans="1:256" s="16" customFormat="1" x14ac:dyDescent="0.25">
      <c r="A14" s="15" t="s">
        <v>42</v>
      </c>
      <c r="B14" s="49"/>
      <c r="C14" s="16">
        <v>3</v>
      </c>
      <c r="D14" s="16">
        <v>2</v>
      </c>
      <c r="E14" s="16">
        <v>2</v>
      </c>
      <c r="I14" s="16">
        <v>1</v>
      </c>
      <c r="J14" s="16">
        <v>1</v>
      </c>
      <c r="L14" s="16">
        <v>1</v>
      </c>
      <c r="Q14" s="16">
        <f t="shared" si="0"/>
        <v>2</v>
      </c>
      <c r="R14" s="16">
        <f t="shared" si="1"/>
        <v>3</v>
      </c>
      <c r="S14" s="17"/>
      <c r="AH14" s="16">
        <f t="shared" si="2"/>
        <v>0</v>
      </c>
      <c r="AI14" s="16">
        <f t="shared" si="3"/>
        <v>0</v>
      </c>
      <c r="AJ14" s="18"/>
      <c r="AY14" s="16">
        <f t="shared" si="4"/>
        <v>0</v>
      </c>
      <c r="AZ14" s="16">
        <f t="shared" si="5"/>
        <v>0</v>
      </c>
      <c r="BA14" s="18"/>
      <c r="BP14" s="16">
        <f t="shared" si="6"/>
        <v>0</v>
      </c>
      <c r="BQ14" s="16">
        <f t="shared" si="7"/>
        <v>0</v>
      </c>
      <c r="BR14" s="18"/>
      <c r="CG14" s="16">
        <f t="shared" si="8"/>
        <v>0</v>
      </c>
      <c r="CH14" s="16">
        <f t="shared" si="9"/>
        <v>0</v>
      </c>
      <c r="CI14" s="18"/>
      <c r="CX14" s="16">
        <f t="shared" si="10"/>
        <v>0</v>
      </c>
      <c r="CY14" s="16">
        <f t="shared" si="11"/>
        <v>0</v>
      </c>
      <c r="CZ14" s="18"/>
      <c r="DO14" s="16">
        <f t="shared" si="12"/>
        <v>0</v>
      </c>
      <c r="DP14" s="16">
        <f t="shared" si="13"/>
        <v>0</v>
      </c>
      <c r="DQ14" s="18"/>
      <c r="EF14" s="16">
        <f t="shared" si="14"/>
        <v>0</v>
      </c>
      <c r="EG14" s="16">
        <f t="shared" si="15"/>
        <v>0</v>
      </c>
      <c r="EH14" s="18"/>
      <c r="EW14" s="16">
        <f t="shared" si="16"/>
        <v>0</v>
      </c>
      <c r="EX14" s="16">
        <f t="shared" si="17"/>
        <v>0</v>
      </c>
      <c r="EY14" s="18"/>
      <c r="FN14" s="16">
        <f t="shared" si="18"/>
        <v>0</v>
      </c>
      <c r="FO14" s="16">
        <f t="shared" si="19"/>
        <v>0</v>
      </c>
      <c r="FP14" s="18"/>
      <c r="GE14" s="16">
        <f t="shared" si="20"/>
        <v>0</v>
      </c>
      <c r="GF14" s="16">
        <f t="shared" si="21"/>
        <v>0</v>
      </c>
      <c r="GG14" s="18"/>
      <c r="GV14" s="16">
        <f t="shared" si="22"/>
        <v>0</v>
      </c>
      <c r="GW14" s="16">
        <f t="shared" si="23"/>
        <v>0</v>
      </c>
      <c r="GX14" s="18"/>
      <c r="HM14" s="16">
        <f t="shared" si="24"/>
        <v>0</v>
      </c>
      <c r="HN14" s="16">
        <f t="shared" si="25"/>
        <v>0</v>
      </c>
      <c r="HO14" s="18"/>
      <c r="ID14" s="16">
        <f t="shared" si="26"/>
        <v>0</v>
      </c>
      <c r="IE14" s="16">
        <f t="shared" si="27"/>
        <v>0</v>
      </c>
      <c r="IF14" s="18"/>
      <c r="IU14" s="16">
        <f t="shared" si="28"/>
        <v>0</v>
      </c>
      <c r="IV14" s="16">
        <f t="shared" si="29"/>
        <v>0</v>
      </c>
    </row>
    <row r="15" spans="1:256" s="16" customFormat="1" x14ac:dyDescent="0.25">
      <c r="A15" s="15" t="s">
        <v>43</v>
      </c>
      <c r="B15" s="49"/>
      <c r="C15" s="16">
        <v>3</v>
      </c>
      <c r="D15" s="16">
        <v>1</v>
      </c>
      <c r="E15" s="16">
        <v>2</v>
      </c>
      <c r="G15" s="16">
        <v>1</v>
      </c>
      <c r="Q15" s="16">
        <f t="shared" si="0"/>
        <v>4</v>
      </c>
      <c r="R15" s="16">
        <f t="shared" si="1"/>
        <v>3</v>
      </c>
      <c r="S15" s="17"/>
      <c r="AH15" s="16">
        <f t="shared" si="2"/>
        <v>0</v>
      </c>
      <c r="AI15" s="16">
        <f t="shared" si="3"/>
        <v>0</v>
      </c>
      <c r="AJ15" s="18"/>
      <c r="AY15" s="16">
        <f t="shared" si="4"/>
        <v>0</v>
      </c>
      <c r="AZ15" s="16">
        <f t="shared" si="5"/>
        <v>0</v>
      </c>
      <c r="BA15" s="18"/>
      <c r="BP15" s="16">
        <f t="shared" si="6"/>
        <v>0</v>
      </c>
      <c r="BQ15" s="16">
        <f t="shared" si="7"/>
        <v>0</v>
      </c>
      <c r="BR15" s="18"/>
      <c r="CG15" s="16">
        <f t="shared" si="8"/>
        <v>0</v>
      </c>
      <c r="CH15" s="16">
        <f t="shared" si="9"/>
        <v>0</v>
      </c>
      <c r="CI15" s="18"/>
      <c r="CX15" s="16">
        <f t="shared" si="10"/>
        <v>0</v>
      </c>
      <c r="CY15" s="16">
        <f t="shared" si="11"/>
        <v>0</v>
      </c>
      <c r="CZ15" s="18"/>
      <c r="DO15" s="16">
        <f t="shared" si="12"/>
        <v>0</v>
      </c>
      <c r="DP15" s="16">
        <f t="shared" si="13"/>
        <v>0</v>
      </c>
      <c r="DQ15" s="18"/>
      <c r="EF15" s="16">
        <f t="shared" si="14"/>
        <v>0</v>
      </c>
      <c r="EG15" s="16">
        <f t="shared" si="15"/>
        <v>0</v>
      </c>
      <c r="EH15" s="18"/>
      <c r="EW15" s="16">
        <f t="shared" si="16"/>
        <v>0</v>
      </c>
      <c r="EX15" s="16">
        <f t="shared" si="17"/>
        <v>0</v>
      </c>
      <c r="EY15" s="18"/>
      <c r="FN15" s="16">
        <f t="shared" si="18"/>
        <v>0</v>
      </c>
      <c r="FO15" s="16">
        <f t="shared" si="19"/>
        <v>0</v>
      </c>
      <c r="FP15" s="18"/>
      <c r="GE15" s="16">
        <f t="shared" si="20"/>
        <v>0</v>
      </c>
      <c r="GF15" s="16">
        <f t="shared" si="21"/>
        <v>0</v>
      </c>
      <c r="GG15" s="18"/>
      <c r="GV15" s="16">
        <f t="shared" si="22"/>
        <v>0</v>
      </c>
      <c r="GW15" s="16">
        <f t="shared" si="23"/>
        <v>0</v>
      </c>
      <c r="GX15" s="18"/>
      <c r="HM15" s="16">
        <f t="shared" si="24"/>
        <v>0</v>
      </c>
      <c r="HN15" s="16">
        <f t="shared" si="25"/>
        <v>0</v>
      </c>
      <c r="HO15" s="18"/>
      <c r="ID15" s="16">
        <f t="shared" si="26"/>
        <v>0</v>
      </c>
      <c r="IE15" s="16">
        <f t="shared" si="27"/>
        <v>0</v>
      </c>
      <c r="IF15" s="18"/>
      <c r="IU15" s="16">
        <f t="shared" si="28"/>
        <v>0</v>
      </c>
      <c r="IV15" s="16">
        <f t="shared" si="29"/>
        <v>0</v>
      </c>
    </row>
    <row r="16" spans="1:256" s="16" customFormat="1" x14ac:dyDescent="0.25">
      <c r="A16" s="15" t="s">
        <v>44</v>
      </c>
      <c r="B16" s="49"/>
      <c r="C16" s="16">
        <v>3</v>
      </c>
      <c r="D16" s="16">
        <v>2</v>
      </c>
      <c r="E16" s="16">
        <v>2</v>
      </c>
      <c r="F16" s="16">
        <v>1</v>
      </c>
      <c r="I16" s="16">
        <v>2</v>
      </c>
      <c r="J16" s="16">
        <v>1</v>
      </c>
      <c r="L16" s="16">
        <v>3</v>
      </c>
      <c r="Q16" s="16">
        <f t="shared" si="0"/>
        <v>3</v>
      </c>
      <c r="R16" s="16">
        <f t="shared" si="1"/>
        <v>3</v>
      </c>
      <c r="S16" s="17"/>
      <c r="AH16" s="16">
        <f t="shared" si="2"/>
        <v>0</v>
      </c>
      <c r="AI16" s="16">
        <f t="shared" si="3"/>
        <v>0</v>
      </c>
      <c r="AJ16" s="18"/>
      <c r="AY16" s="16">
        <f t="shared" si="4"/>
        <v>0</v>
      </c>
      <c r="AZ16" s="16">
        <f t="shared" si="5"/>
        <v>0</v>
      </c>
      <c r="BA16" s="18"/>
      <c r="BP16" s="16">
        <f t="shared" si="6"/>
        <v>0</v>
      </c>
      <c r="BQ16" s="16">
        <f t="shared" si="7"/>
        <v>0</v>
      </c>
      <c r="BR16" s="18"/>
      <c r="CG16" s="16">
        <f t="shared" si="8"/>
        <v>0</v>
      </c>
      <c r="CH16" s="16">
        <f t="shared" si="9"/>
        <v>0</v>
      </c>
      <c r="CI16" s="18"/>
      <c r="CX16" s="16">
        <f t="shared" si="10"/>
        <v>0</v>
      </c>
      <c r="CY16" s="16">
        <f t="shared" si="11"/>
        <v>0</v>
      </c>
      <c r="CZ16" s="18"/>
      <c r="DO16" s="16">
        <f t="shared" si="12"/>
        <v>0</v>
      </c>
      <c r="DP16" s="16">
        <f t="shared" si="13"/>
        <v>0</v>
      </c>
      <c r="DQ16" s="18"/>
      <c r="EF16" s="16">
        <f t="shared" si="14"/>
        <v>0</v>
      </c>
      <c r="EG16" s="16">
        <f t="shared" si="15"/>
        <v>0</v>
      </c>
      <c r="EH16" s="18"/>
      <c r="EW16" s="16">
        <f t="shared" si="16"/>
        <v>0</v>
      </c>
      <c r="EX16" s="16">
        <f t="shared" si="17"/>
        <v>0</v>
      </c>
      <c r="EY16" s="18"/>
      <c r="FN16" s="16">
        <f t="shared" si="18"/>
        <v>0</v>
      </c>
      <c r="FO16" s="16">
        <f t="shared" si="19"/>
        <v>0</v>
      </c>
      <c r="FP16" s="18"/>
      <c r="GE16" s="16">
        <f t="shared" si="20"/>
        <v>0</v>
      </c>
      <c r="GF16" s="16">
        <f t="shared" si="21"/>
        <v>0</v>
      </c>
      <c r="GG16" s="18"/>
      <c r="GV16" s="16">
        <f t="shared" si="22"/>
        <v>0</v>
      </c>
      <c r="GW16" s="16">
        <f t="shared" si="23"/>
        <v>0</v>
      </c>
      <c r="GX16" s="18"/>
      <c r="HM16" s="16">
        <f t="shared" si="24"/>
        <v>0</v>
      </c>
      <c r="HN16" s="16">
        <f t="shared" si="25"/>
        <v>0</v>
      </c>
      <c r="HO16" s="18"/>
      <c r="ID16" s="16">
        <f t="shared" si="26"/>
        <v>0</v>
      </c>
      <c r="IE16" s="16">
        <f t="shared" si="27"/>
        <v>0</v>
      </c>
      <c r="IF16" s="18"/>
      <c r="IU16" s="16">
        <f t="shared" si="28"/>
        <v>0</v>
      </c>
      <c r="IV16" s="16">
        <f t="shared" si="29"/>
        <v>0</v>
      </c>
    </row>
    <row r="17" spans="1:256" s="16" customFormat="1" x14ac:dyDescent="0.25">
      <c r="A17" s="19" t="s">
        <v>45</v>
      </c>
      <c r="B17" s="49"/>
      <c r="C17" s="16">
        <v>2</v>
      </c>
      <c r="D17" s="16">
        <v>1</v>
      </c>
      <c r="J17" s="16">
        <v>1</v>
      </c>
      <c r="K17" s="16">
        <v>1</v>
      </c>
      <c r="L17" s="16">
        <v>1</v>
      </c>
      <c r="Q17" s="16">
        <f t="shared" si="0"/>
        <v>0</v>
      </c>
      <c r="R17" s="16">
        <f t="shared" si="1"/>
        <v>3</v>
      </c>
      <c r="S17" s="17"/>
      <c r="AH17" s="16">
        <f t="shared" si="2"/>
        <v>0</v>
      </c>
      <c r="AI17" s="16">
        <f t="shared" si="3"/>
        <v>0</v>
      </c>
      <c r="AJ17" s="18"/>
      <c r="AY17" s="16">
        <f t="shared" si="4"/>
        <v>0</v>
      </c>
      <c r="AZ17" s="16">
        <f t="shared" si="5"/>
        <v>0</v>
      </c>
      <c r="BA17" s="18"/>
      <c r="BP17" s="16">
        <f t="shared" si="6"/>
        <v>0</v>
      </c>
      <c r="BQ17" s="16">
        <f t="shared" si="7"/>
        <v>0</v>
      </c>
      <c r="BR17" s="18"/>
      <c r="CG17" s="16">
        <f t="shared" si="8"/>
        <v>0</v>
      </c>
      <c r="CH17" s="16">
        <f t="shared" si="9"/>
        <v>0</v>
      </c>
      <c r="CI17" s="18"/>
      <c r="CX17" s="16">
        <f t="shared" si="10"/>
        <v>0</v>
      </c>
      <c r="CY17" s="16">
        <f t="shared" si="11"/>
        <v>0</v>
      </c>
      <c r="CZ17" s="18"/>
      <c r="DO17" s="16">
        <f t="shared" si="12"/>
        <v>0</v>
      </c>
      <c r="DP17" s="16">
        <f t="shared" si="13"/>
        <v>0</v>
      </c>
      <c r="DQ17" s="18"/>
      <c r="EF17" s="16">
        <f t="shared" si="14"/>
        <v>0</v>
      </c>
      <c r="EG17" s="16">
        <f t="shared" si="15"/>
        <v>0</v>
      </c>
      <c r="EH17" s="18"/>
      <c r="EW17" s="16">
        <f t="shared" si="16"/>
        <v>0</v>
      </c>
      <c r="EX17" s="16">
        <f t="shared" si="17"/>
        <v>0</v>
      </c>
      <c r="EY17" s="18"/>
      <c r="FN17" s="16">
        <f t="shared" si="18"/>
        <v>0</v>
      </c>
      <c r="FO17" s="16">
        <f t="shared" si="19"/>
        <v>0</v>
      </c>
      <c r="FP17" s="18"/>
      <c r="GE17" s="16">
        <f t="shared" si="20"/>
        <v>0</v>
      </c>
      <c r="GF17" s="16">
        <f t="shared" si="21"/>
        <v>0</v>
      </c>
      <c r="GG17" s="18"/>
      <c r="GV17" s="16">
        <f t="shared" si="22"/>
        <v>0</v>
      </c>
      <c r="GW17" s="16">
        <f t="shared" si="23"/>
        <v>0</v>
      </c>
      <c r="GX17" s="18"/>
      <c r="HM17" s="16">
        <f t="shared" si="24"/>
        <v>0</v>
      </c>
      <c r="HN17" s="16">
        <f t="shared" si="25"/>
        <v>0</v>
      </c>
      <c r="HO17" s="18"/>
      <c r="ID17" s="16">
        <f t="shared" si="26"/>
        <v>0</v>
      </c>
      <c r="IE17" s="16">
        <f t="shared" si="27"/>
        <v>0</v>
      </c>
      <c r="IF17" s="18"/>
      <c r="IU17" s="16">
        <f t="shared" si="28"/>
        <v>0</v>
      </c>
      <c r="IV17" s="16">
        <f t="shared" si="29"/>
        <v>0</v>
      </c>
    </row>
    <row r="18" spans="1:256" s="16" customFormat="1" x14ac:dyDescent="0.25">
      <c r="A18" s="19" t="s">
        <v>46</v>
      </c>
      <c r="B18" s="49"/>
      <c r="Q18" s="16">
        <f t="shared" si="0"/>
        <v>0</v>
      </c>
      <c r="R18" s="16">
        <f t="shared" si="1"/>
        <v>0</v>
      </c>
      <c r="S18" s="17"/>
      <c r="AH18" s="16">
        <f t="shared" si="2"/>
        <v>0</v>
      </c>
      <c r="AI18" s="16">
        <f t="shared" si="3"/>
        <v>0</v>
      </c>
      <c r="AJ18" s="18"/>
      <c r="AY18" s="16">
        <f t="shared" si="4"/>
        <v>0</v>
      </c>
      <c r="AZ18" s="16">
        <f t="shared" si="5"/>
        <v>0</v>
      </c>
      <c r="BA18" s="18"/>
      <c r="BP18" s="16">
        <f t="shared" si="6"/>
        <v>0</v>
      </c>
      <c r="BQ18" s="16">
        <f t="shared" si="7"/>
        <v>0</v>
      </c>
      <c r="BR18" s="18"/>
      <c r="CG18" s="16">
        <f t="shared" si="8"/>
        <v>0</v>
      </c>
      <c r="CH18" s="16">
        <f t="shared" si="9"/>
        <v>0</v>
      </c>
      <c r="CI18" s="18"/>
      <c r="CX18" s="16">
        <f t="shared" si="10"/>
        <v>0</v>
      </c>
      <c r="CY18" s="16">
        <f t="shared" si="11"/>
        <v>0</v>
      </c>
      <c r="CZ18" s="18"/>
      <c r="DO18" s="16">
        <f t="shared" si="12"/>
        <v>0</v>
      </c>
      <c r="DP18" s="16">
        <f t="shared" si="13"/>
        <v>0</v>
      </c>
      <c r="DQ18" s="18"/>
      <c r="EF18" s="16">
        <f t="shared" si="14"/>
        <v>0</v>
      </c>
      <c r="EG18" s="16">
        <f t="shared" si="15"/>
        <v>0</v>
      </c>
      <c r="EH18" s="18"/>
      <c r="EW18" s="16">
        <f t="shared" si="16"/>
        <v>0</v>
      </c>
      <c r="EX18" s="16">
        <f t="shared" si="17"/>
        <v>0</v>
      </c>
      <c r="EY18" s="18"/>
      <c r="FN18" s="16">
        <f t="shared" si="18"/>
        <v>0</v>
      </c>
      <c r="FO18" s="16">
        <f t="shared" si="19"/>
        <v>0</v>
      </c>
      <c r="FP18" s="18"/>
      <c r="GE18" s="16">
        <f t="shared" si="20"/>
        <v>0</v>
      </c>
      <c r="GF18" s="16">
        <f t="shared" si="21"/>
        <v>0</v>
      </c>
      <c r="GG18" s="18"/>
      <c r="GV18" s="16">
        <f t="shared" si="22"/>
        <v>0</v>
      </c>
      <c r="GW18" s="16">
        <f t="shared" si="23"/>
        <v>0</v>
      </c>
      <c r="GX18" s="18"/>
      <c r="HM18" s="16">
        <f t="shared" si="24"/>
        <v>0</v>
      </c>
      <c r="HN18" s="16">
        <f t="shared" si="25"/>
        <v>0</v>
      </c>
      <c r="HO18" s="18"/>
      <c r="ID18" s="16">
        <f t="shared" si="26"/>
        <v>0</v>
      </c>
      <c r="IE18" s="16">
        <f t="shared" si="27"/>
        <v>0</v>
      </c>
      <c r="IF18" s="18"/>
      <c r="IU18" s="16">
        <f t="shared" si="28"/>
        <v>0</v>
      </c>
      <c r="IV18" s="16">
        <f t="shared" si="29"/>
        <v>0</v>
      </c>
    </row>
    <row r="19" spans="1:256" s="16" customFormat="1" x14ac:dyDescent="0.25">
      <c r="A19" s="19" t="s">
        <v>47</v>
      </c>
      <c r="B19" s="49"/>
      <c r="Q19" s="16">
        <f t="shared" si="0"/>
        <v>0</v>
      </c>
      <c r="R19" s="16">
        <f t="shared" si="1"/>
        <v>0</v>
      </c>
      <c r="S19" s="17"/>
      <c r="AH19" s="16">
        <f t="shared" si="2"/>
        <v>0</v>
      </c>
      <c r="AI19" s="16">
        <f t="shared" si="3"/>
        <v>0</v>
      </c>
      <c r="AJ19" s="18"/>
      <c r="AY19" s="16">
        <f t="shared" si="4"/>
        <v>0</v>
      </c>
      <c r="AZ19" s="16">
        <f t="shared" si="5"/>
        <v>0</v>
      </c>
      <c r="BA19" s="18"/>
      <c r="BP19" s="16">
        <f t="shared" si="6"/>
        <v>0</v>
      </c>
      <c r="BQ19" s="16">
        <f t="shared" si="7"/>
        <v>0</v>
      </c>
      <c r="BR19" s="18"/>
      <c r="CG19" s="16">
        <f t="shared" si="8"/>
        <v>0</v>
      </c>
      <c r="CH19" s="16">
        <f t="shared" si="9"/>
        <v>0</v>
      </c>
      <c r="CI19" s="18"/>
      <c r="CX19" s="16">
        <f t="shared" si="10"/>
        <v>0</v>
      </c>
      <c r="CY19" s="16">
        <f t="shared" si="11"/>
        <v>0</v>
      </c>
      <c r="CZ19" s="18"/>
      <c r="DO19" s="16">
        <f t="shared" si="12"/>
        <v>0</v>
      </c>
      <c r="DP19" s="16">
        <f t="shared" si="13"/>
        <v>0</v>
      </c>
      <c r="DQ19" s="18"/>
      <c r="EF19" s="16">
        <f t="shared" si="14"/>
        <v>0</v>
      </c>
      <c r="EG19" s="16">
        <f t="shared" si="15"/>
        <v>0</v>
      </c>
      <c r="EH19" s="18"/>
      <c r="EW19" s="16">
        <f t="shared" si="16"/>
        <v>0</v>
      </c>
      <c r="EX19" s="16">
        <f t="shared" si="17"/>
        <v>0</v>
      </c>
      <c r="EY19" s="18"/>
      <c r="FN19" s="16">
        <f t="shared" si="18"/>
        <v>0</v>
      </c>
      <c r="FO19" s="16">
        <f t="shared" si="19"/>
        <v>0</v>
      </c>
      <c r="FP19" s="18"/>
      <c r="GE19" s="16">
        <f t="shared" si="20"/>
        <v>0</v>
      </c>
      <c r="GF19" s="16">
        <f t="shared" si="21"/>
        <v>0</v>
      </c>
      <c r="GG19" s="18"/>
      <c r="GV19" s="16">
        <f t="shared" si="22"/>
        <v>0</v>
      </c>
      <c r="GW19" s="16">
        <f t="shared" si="23"/>
        <v>0</v>
      </c>
      <c r="GX19" s="18"/>
      <c r="HM19" s="16">
        <f t="shared" si="24"/>
        <v>0</v>
      </c>
      <c r="HN19" s="16">
        <f t="shared" si="25"/>
        <v>0</v>
      </c>
      <c r="HO19" s="18"/>
      <c r="ID19" s="16">
        <f t="shared" si="26"/>
        <v>0</v>
      </c>
      <c r="IE19" s="16">
        <f t="shared" si="27"/>
        <v>0</v>
      </c>
      <c r="IF19" s="18"/>
      <c r="IU19" s="16">
        <f t="shared" si="28"/>
        <v>0</v>
      </c>
      <c r="IV19" s="16">
        <f t="shared" si="29"/>
        <v>0</v>
      </c>
    </row>
    <row r="20" spans="1:256" s="16" customFormat="1" x14ac:dyDescent="0.25">
      <c r="A20" s="19"/>
      <c r="B20" s="49"/>
      <c r="Q20" s="16">
        <f t="shared" si="0"/>
        <v>0</v>
      </c>
      <c r="R20" s="16">
        <f t="shared" si="1"/>
        <v>0</v>
      </c>
      <c r="S20" s="17"/>
      <c r="AH20" s="16">
        <f t="shared" si="2"/>
        <v>0</v>
      </c>
      <c r="AI20" s="16">
        <f t="shared" si="3"/>
        <v>0</v>
      </c>
      <c r="AJ20" s="18"/>
      <c r="AY20" s="16">
        <f t="shared" si="4"/>
        <v>0</v>
      </c>
      <c r="AZ20" s="16">
        <f t="shared" si="5"/>
        <v>0</v>
      </c>
      <c r="BA20" s="18"/>
      <c r="BP20" s="16">
        <f t="shared" si="6"/>
        <v>0</v>
      </c>
      <c r="BQ20" s="16">
        <f t="shared" si="7"/>
        <v>0</v>
      </c>
      <c r="BR20" s="18"/>
      <c r="CG20" s="16">
        <f t="shared" si="8"/>
        <v>0</v>
      </c>
      <c r="CH20" s="16">
        <f t="shared" si="9"/>
        <v>0</v>
      </c>
      <c r="CI20" s="18"/>
      <c r="CX20" s="16">
        <f t="shared" si="10"/>
        <v>0</v>
      </c>
      <c r="CY20" s="16">
        <f t="shared" si="11"/>
        <v>0</v>
      </c>
      <c r="CZ20" s="18"/>
      <c r="DO20" s="16">
        <f t="shared" si="12"/>
        <v>0</v>
      </c>
      <c r="DP20" s="16">
        <f t="shared" si="13"/>
        <v>0</v>
      </c>
      <c r="DQ20" s="18"/>
      <c r="EF20" s="16">
        <f t="shared" si="14"/>
        <v>0</v>
      </c>
      <c r="EG20" s="16">
        <f t="shared" si="15"/>
        <v>0</v>
      </c>
      <c r="EH20" s="18"/>
      <c r="EW20" s="16">
        <f t="shared" si="16"/>
        <v>0</v>
      </c>
      <c r="EX20" s="16">
        <f t="shared" si="17"/>
        <v>0</v>
      </c>
      <c r="EY20" s="18"/>
      <c r="FN20" s="16">
        <f t="shared" si="18"/>
        <v>0</v>
      </c>
      <c r="FO20" s="16">
        <f t="shared" si="19"/>
        <v>0</v>
      </c>
      <c r="FP20" s="18"/>
      <c r="GE20" s="16">
        <f t="shared" si="20"/>
        <v>0</v>
      </c>
      <c r="GF20" s="16">
        <f t="shared" si="21"/>
        <v>0</v>
      </c>
      <c r="GG20" s="18"/>
      <c r="GV20" s="16">
        <f t="shared" si="22"/>
        <v>0</v>
      </c>
      <c r="GW20" s="16">
        <f t="shared" si="23"/>
        <v>0</v>
      </c>
      <c r="GX20" s="18"/>
      <c r="HM20" s="16">
        <f t="shared" si="24"/>
        <v>0</v>
      </c>
      <c r="HN20" s="16">
        <f t="shared" si="25"/>
        <v>0</v>
      </c>
      <c r="HO20" s="18"/>
      <c r="ID20" s="16">
        <f t="shared" si="26"/>
        <v>0</v>
      </c>
      <c r="IE20" s="16">
        <f t="shared" si="27"/>
        <v>0</v>
      </c>
      <c r="IF20" s="18"/>
      <c r="IU20" s="16">
        <f t="shared" si="28"/>
        <v>0</v>
      </c>
      <c r="IV20" s="16">
        <f t="shared" si="29"/>
        <v>0</v>
      </c>
    </row>
    <row r="21" spans="1:256" s="16" customFormat="1" x14ac:dyDescent="0.25">
      <c r="A21" s="19"/>
      <c r="B21" s="49"/>
      <c r="Q21" s="16">
        <f t="shared" si="0"/>
        <v>0</v>
      </c>
      <c r="R21" s="16">
        <f t="shared" si="1"/>
        <v>0</v>
      </c>
      <c r="S21" s="17"/>
      <c r="AH21" s="16">
        <f t="shared" si="2"/>
        <v>0</v>
      </c>
      <c r="AI21" s="16">
        <f t="shared" si="3"/>
        <v>0</v>
      </c>
      <c r="AJ21" s="18"/>
      <c r="AY21" s="16">
        <f t="shared" si="4"/>
        <v>0</v>
      </c>
      <c r="AZ21" s="16">
        <f t="shared" si="5"/>
        <v>0</v>
      </c>
      <c r="BA21" s="18"/>
      <c r="BP21" s="16">
        <f t="shared" si="6"/>
        <v>0</v>
      </c>
      <c r="BQ21" s="16">
        <f t="shared" si="7"/>
        <v>0</v>
      </c>
      <c r="BR21" s="18"/>
      <c r="CG21" s="16">
        <f t="shared" si="8"/>
        <v>0</v>
      </c>
      <c r="CH21" s="16">
        <f t="shared" si="9"/>
        <v>0</v>
      </c>
      <c r="CI21" s="18"/>
      <c r="CX21" s="16">
        <f t="shared" si="10"/>
        <v>0</v>
      </c>
      <c r="CY21" s="16">
        <f t="shared" si="11"/>
        <v>0</v>
      </c>
      <c r="CZ21" s="18"/>
      <c r="DO21" s="16">
        <f t="shared" si="12"/>
        <v>0</v>
      </c>
      <c r="DP21" s="16">
        <f t="shared" si="13"/>
        <v>0</v>
      </c>
      <c r="DQ21" s="18"/>
      <c r="EF21" s="16">
        <f t="shared" si="14"/>
        <v>0</v>
      </c>
      <c r="EG21" s="16">
        <f t="shared" si="15"/>
        <v>0</v>
      </c>
      <c r="EH21" s="18"/>
      <c r="EW21" s="16">
        <f t="shared" si="16"/>
        <v>0</v>
      </c>
      <c r="EX21" s="16">
        <f t="shared" si="17"/>
        <v>0</v>
      </c>
      <c r="EY21" s="18"/>
      <c r="FN21" s="16">
        <f t="shared" si="18"/>
        <v>0</v>
      </c>
      <c r="FO21" s="16">
        <f t="shared" si="19"/>
        <v>0</v>
      </c>
      <c r="FP21" s="18"/>
      <c r="GE21" s="16">
        <f t="shared" si="20"/>
        <v>0</v>
      </c>
      <c r="GF21" s="16">
        <f t="shared" si="21"/>
        <v>0</v>
      </c>
      <c r="GG21" s="18"/>
      <c r="GV21" s="16">
        <f t="shared" si="22"/>
        <v>0</v>
      </c>
      <c r="GW21" s="16">
        <f t="shared" si="23"/>
        <v>0</v>
      </c>
      <c r="GX21" s="18"/>
      <c r="HM21" s="16">
        <f t="shared" si="24"/>
        <v>0</v>
      </c>
      <c r="HN21" s="16">
        <f t="shared" si="25"/>
        <v>0</v>
      </c>
      <c r="HO21" s="18"/>
      <c r="ID21" s="16">
        <f t="shared" si="26"/>
        <v>0</v>
      </c>
      <c r="IE21" s="16">
        <f t="shared" si="27"/>
        <v>0</v>
      </c>
      <c r="IF21" s="18"/>
      <c r="IU21" s="16">
        <f t="shared" si="28"/>
        <v>0</v>
      </c>
      <c r="IV21" s="16">
        <f t="shared" si="29"/>
        <v>0</v>
      </c>
    </row>
    <row r="22" spans="1:256" s="16" customFormat="1" x14ac:dyDescent="0.25">
      <c r="A22" s="19"/>
      <c r="B22" s="49"/>
      <c r="Q22" s="16">
        <f t="shared" si="0"/>
        <v>0</v>
      </c>
      <c r="R22" s="16">
        <f t="shared" si="1"/>
        <v>0</v>
      </c>
      <c r="S22" s="17"/>
      <c r="AH22" s="16">
        <f t="shared" si="2"/>
        <v>0</v>
      </c>
      <c r="AI22" s="16">
        <f t="shared" si="3"/>
        <v>0</v>
      </c>
      <c r="AJ22" s="18"/>
      <c r="AY22" s="16">
        <f t="shared" si="4"/>
        <v>0</v>
      </c>
      <c r="AZ22" s="16">
        <f t="shared" si="5"/>
        <v>0</v>
      </c>
      <c r="BA22" s="18"/>
      <c r="BP22" s="16">
        <f t="shared" si="6"/>
        <v>0</v>
      </c>
      <c r="BQ22" s="16">
        <f t="shared" si="7"/>
        <v>0</v>
      </c>
      <c r="BR22" s="18"/>
      <c r="CG22" s="16">
        <f t="shared" si="8"/>
        <v>0</v>
      </c>
      <c r="CH22" s="16">
        <f t="shared" si="9"/>
        <v>0</v>
      </c>
      <c r="CI22" s="18"/>
      <c r="CX22" s="16">
        <f t="shared" si="10"/>
        <v>0</v>
      </c>
      <c r="CY22" s="16">
        <f t="shared" si="11"/>
        <v>0</v>
      </c>
      <c r="CZ22" s="18"/>
      <c r="DO22" s="16">
        <f t="shared" si="12"/>
        <v>0</v>
      </c>
      <c r="DP22" s="16">
        <f t="shared" si="13"/>
        <v>0</v>
      </c>
      <c r="DQ22" s="18"/>
      <c r="EF22" s="16">
        <f t="shared" si="14"/>
        <v>0</v>
      </c>
      <c r="EG22" s="16">
        <f t="shared" si="15"/>
        <v>0</v>
      </c>
      <c r="EH22" s="18"/>
      <c r="EW22" s="16">
        <f t="shared" si="16"/>
        <v>0</v>
      </c>
      <c r="EX22" s="16">
        <f t="shared" si="17"/>
        <v>0</v>
      </c>
      <c r="EY22" s="18"/>
      <c r="FN22" s="16">
        <f t="shared" si="18"/>
        <v>0</v>
      </c>
      <c r="FO22" s="16">
        <f t="shared" si="19"/>
        <v>0</v>
      </c>
      <c r="FP22" s="18"/>
      <c r="GE22" s="16">
        <f t="shared" si="20"/>
        <v>0</v>
      </c>
      <c r="GF22" s="16">
        <f t="shared" si="21"/>
        <v>0</v>
      </c>
      <c r="GG22" s="18"/>
      <c r="GV22" s="16">
        <f t="shared" si="22"/>
        <v>0</v>
      </c>
      <c r="GW22" s="16">
        <f t="shared" si="23"/>
        <v>0</v>
      </c>
      <c r="GX22" s="18"/>
      <c r="HM22" s="16">
        <f t="shared" si="24"/>
        <v>0</v>
      </c>
      <c r="HN22" s="16">
        <f t="shared" si="25"/>
        <v>0</v>
      </c>
      <c r="HO22" s="18"/>
      <c r="ID22" s="16">
        <f t="shared" si="26"/>
        <v>0</v>
      </c>
      <c r="IE22" s="16">
        <f t="shared" si="27"/>
        <v>0</v>
      </c>
      <c r="IF22" s="18"/>
      <c r="IU22" s="16">
        <f t="shared" si="28"/>
        <v>0</v>
      </c>
      <c r="IV22" s="16">
        <f t="shared" si="29"/>
        <v>0</v>
      </c>
    </row>
    <row r="23" spans="1:256" s="16" customFormat="1" x14ac:dyDescent="0.25">
      <c r="A23" s="14"/>
      <c r="B23" s="49"/>
      <c r="Q23" s="16">
        <f t="shared" si="0"/>
        <v>0</v>
      </c>
      <c r="R23" s="16">
        <f t="shared" si="1"/>
        <v>0</v>
      </c>
      <c r="S23" s="17"/>
      <c r="AH23" s="16">
        <f t="shared" si="2"/>
        <v>0</v>
      </c>
      <c r="AI23" s="16">
        <f t="shared" si="3"/>
        <v>0</v>
      </c>
      <c r="AJ23" s="18"/>
      <c r="AY23" s="16">
        <f t="shared" si="4"/>
        <v>0</v>
      </c>
      <c r="AZ23" s="16">
        <f t="shared" si="5"/>
        <v>0</v>
      </c>
      <c r="BA23" s="18"/>
      <c r="BP23" s="16">
        <f t="shared" si="6"/>
        <v>0</v>
      </c>
      <c r="BQ23" s="16">
        <f t="shared" si="7"/>
        <v>0</v>
      </c>
      <c r="BR23" s="18"/>
      <c r="CG23" s="16">
        <f t="shared" si="8"/>
        <v>0</v>
      </c>
      <c r="CH23" s="16">
        <f t="shared" si="9"/>
        <v>0</v>
      </c>
      <c r="CI23" s="18"/>
      <c r="CX23" s="16">
        <f t="shared" si="10"/>
        <v>0</v>
      </c>
      <c r="CY23" s="16">
        <f t="shared" si="11"/>
        <v>0</v>
      </c>
      <c r="CZ23" s="18"/>
      <c r="DO23" s="16">
        <f t="shared" si="12"/>
        <v>0</v>
      </c>
      <c r="DP23" s="16">
        <f t="shared" si="13"/>
        <v>0</v>
      </c>
      <c r="DQ23" s="18"/>
      <c r="EF23" s="16">
        <f t="shared" si="14"/>
        <v>0</v>
      </c>
      <c r="EG23" s="16">
        <f t="shared" si="15"/>
        <v>0</v>
      </c>
      <c r="EH23" s="18"/>
      <c r="EW23" s="16">
        <f t="shared" si="16"/>
        <v>0</v>
      </c>
      <c r="EX23" s="16">
        <f t="shared" si="17"/>
        <v>0</v>
      </c>
      <c r="EY23" s="18"/>
      <c r="FN23" s="16">
        <f t="shared" si="18"/>
        <v>0</v>
      </c>
      <c r="FO23" s="16">
        <f t="shared" si="19"/>
        <v>0</v>
      </c>
      <c r="FP23" s="18"/>
      <c r="GE23" s="16">
        <f t="shared" si="20"/>
        <v>0</v>
      </c>
      <c r="GF23" s="16">
        <f t="shared" si="21"/>
        <v>0</v>
      </c>
      <c r="GG23" s="18"/>
      <c r="GV23" s="16">
        <f t="shared" si="22"/>
        <v>0</v>
      </c>
      <c r="GW23" s="16">
        <f t="shared" si="23"/>
        <v>0</v>
      </c>
      <c r="GX23" s="18"/>
      <c r="HM23" s="16">
        <f t="shared" si="24"/>
        <v>0</v>
      </c>
      <c r="HN23" s="16">
        <f t="shared" si="25"/>
        <v>0</v>
      </c>
      <c r="HO23" s="18"/>
      <c r="ID23" s="16">
        <f t="shared" si="26"/>
        <v>0</v>
      </c>
      <c r="IE23" s="16">
        <f t="shared" si="27"/>
        <v>0</v>
      </c>
      <c r="IF23" s="18"/>
      <c r="IU23" s="16">
        <f t="shared" si="28"/>
        <v>0</v>
      </c>
      <c r="IV23" s="16">
        <f t="shared" si="29"/>
        <v>0</v>
      </c>
    </row>
    <row r="24" spans="1:256" s="16" customFormat="1" x14ac:dyDescent="0.25">
      <c r="A24" s="14"/>
      <c r="B24" s="49"/>
      <c r="Q24" s="16">
        <f t="shared" si="0"/>
        <v>0</v>
      </c>
      <c r="R24" s="16">
        <f t="shared" si="1"/>
        <v>0</v>
      </c>
      <c r="S24" s="17"/>
      <c r="AH24" s="16">
        <f t="shared" si="2"/>
        <v>0</v>
      </c>
      <c r="AI24" s="16">
        <f t="shared" si="3"/>
        <v>0</v>
      </c>
      <c r="AJ24" s="18"/>
      <c r="AY24" s="16">
        <f t="shared" si="4"/>
        <v>0</v>
      </c>
      <c r="AZ24" s="16">
        <f t="shared" si="5"/>
        <v>0</v>
      </c>
      <c r="BA24" s="18"/>
      <c r="BP24" s="16">
        <f t="shared" si="6"/>
        <v>0</v>
      </c>
      <c r="BQ24" s="16">
        <f t="shared" si="7"/>
        <v>0</v>
      </c>
      <c r="BR24" s="18"/>
      <c r="CG24" s="16">
        <f t="shared" si="8"/>
        <v>0</v>
      </c>
      <c r="CH24" s="16">
        <f t="shared" si="9"/>
        <v>0</v>
      </c>
      <c r="CI24" s="18"/>
      <c r="CX24" s="16">
        <f t="shared" si="10"/>
        <v>0</v>
      </c>
      <c r="CY24" s="16">
        <f t="shared" si="11"/>
        <v>0</v>
      </c>
      <c r="CZ24" s="18"/>
      <c r="DO24" s="16">
        <f t="shared" si="12"/>
        <v>0</v>
      </c>
      <c r="DP24" s="16">
        <f t="shared" si="13"/>
        <v>0</v>
      </c>
      <c r="DQ24" s="18"/>
      <c r="EF24" s="16">
        <f t="shared" si="14"/>
        <v>0</v>
      </c>
      <c r="EG24" s="16">
        <f t="shared" si="15"/>
        <v>0</v>
      </c>
      <c r="EH24" s="18"/>
      <c r="EW24" s="16">
        <f t="shared" si="16"/>
        <v>0</v>
      </c>
      <c r="EX24" s="16">
        <f t="shared" si="17"/>
        <v>0</v>
      </c>
      <c r="EY24" s="18"/>
      <c r="FN24" s="16">
        <f t="shared" si="18"/>
        <v>0</v>
      </c>
      <c r="FO24" s="16">
        <f t="shared" si="19"/>
        <v>0</v>
      </c>
      <c r="FP24" s="18"/>
      <c r="GE24" s="16">
        <f t="shared" si="20"/>
        <v>0</v>
      </c>
      <c r="GF24" s="16">
        <f t="shared" si="21"/>
        <v>0</v>
      </c>
      <c r="GG24" s="18"/>
      <c r="GV24" s="16">
        <f t="shared" si="22"/>
        <v>0</v>
      </c>
      <c r="GW24" s="16">
        <f t="shared" si="23"/>
        <v>0</v>
      </c>
      <c r="GX24" s="18"/>
      <c r="HM24" s="16">
        <f t="shared" si="24"/>
        <v>0</v>
      </c>
      <c r="HN24" s="16">
        <f t="shared" si="25"/>
        <v>0</v>
      </c>
      <c r="HO24" s="18"/>
      <c r="ID24" s="16">
        <f t="shared" si="26"/>
        <v>0</v>
      </c>
      <c r="IE24" s="16">
        <f t="shared" si="27"/>
        <v>0</v>
      </c>
      <c r="IF24" s="18"/>
      <c r="IU24" s="16">
        <f t="shared" si="28"/>
        <v>0</v>
      </c>
      <c r="IV24" s="16">
        <f t="shared" si="29"/>
        <v>0</v>
      </c>
    </row>
    <row r="25" spans="1:256" s="16" customFormat="1" x14ac:dyDescent="0.25">
      <c r="A25" s="14"/>
      <c r="B25" s="49"/>
      <c r="Q25" s="16">
        <f t="shared" si="0"/>
        <v>0</v>
      </c>
      <c r="R25" s="16">
        <f t="shared" si="1"/>
        <v>0</v>
      </c>
      <c r="S25" s="17"/>
      <c r="AH25" s="16">
        <f t="shared" si="2"/>
        <v>0</v>
      </c>
      <c r="AI25" s="16">
        <f t="shared" si="3"/>
        <v>0</v>
      </c>
      <c r="AJ25" s="18"/>
      <c r="AY25" s="16">
        <f t="shared" si="4"/>
        <v>0</v>
      </c>
      <c r="AZ25" s="16">
        <f t="shared" si="5"/>
        <v>0</v>
      </c>
      <c r="BA25" s="18"/>
      <c r="BP25" s="16">
        <f t="shared" si="6"/>
        <v>0</v>
      </c>
      <c r="BQ25" s="16">
        <f t="shared" si="7"/>
        <v>0</v>
      </c>
      <c r="BR25" s="18"/>
      <c r="CG25" s="16">
        <f t="shared" si="8"/>
        <v>0</v>
      </c>
      <c r="CH25" s="16">
        <f t="shared" si="9"/>
        <v>0</v>
      </c>
      <c r="CI25" s="18"/>
      <c r="CX25" s="16">
        <f t="shared" si="10"/>
        <v>0</v>
      </c>
      <c r="CY25" s="16">
        <f t="shared" si="11"/>
        <v>0</v>
      </c>
      <c r="CZ25" s="18"/>
      <c r="DO25" s="16">
        <f t="shared" si="12"/>
        <v>0</v>
      </c>
      <c r="DP25" s="16">
        <f t="shared" si="13"/>
        <v>0</v>
      </c>
      <c r="DQ25" s="18"/>
      <c r="EF25" s="16">
        <f t="shared" si="14"/>
        <v>0</v>
      </c>
      <c r="EG25" s="16">
        <f t="shared" si="15"/>
        <v>0</v>
      </c>
      <c r="EH25" s="18"/>
      <c r="EW25" s="16">
        <f t="shared" si="16"/>
        <v>0</v>
      </c>
      <c r="EX25" s="16">
        <f t="shared" si="17"/>
        <v>0</v>
      </c>
      <c r="EY25" s="18"/>
      <c r="FN25" s="16">
        <f t="shared" si="18"/>
        <v>0</v>
      </c>
      <c r="FO25" s="16">
        <f t="shared" si="19"/>
        <v>0</v>
      </c>
      <c r="FP25" s="18"/>
      <c r="GE25" s="16">
        <f t="shared" si="20"/>
        <v>0</v>
      </c>
      <c r="GF25" s="16">
        <f t="shared" si="21"/>
        <v>0</v>
      </c>
      <c r="GG25" s="18"/>
      <c r="GV25" s="16">
        <f t="shared" si="22"/>
        <v>0</v>
      </c>
      <c r="GW25" s="16">
        <f t="shared" si="23"/>
        <v>0</v>
      </c>
      <c r="GX25" s="18"/>
      <c r="HM25" s="16">
        <f t="shared" si="24"/>
        <v>0</v>
      </c>
      <c r="HN25" s="16">
        <f t="shared" si="25"/>
        <v>0</v>
      </c>
      <c r="HO25" s="18"/>
      <c r="ID25" s="16">
        <f t="shared" si="26"/>
        <v>0</v>
      </c>
      <c r="IE25" s="16">
        <f t="shared" si="27"/>
        <v>0</v>
      </c>
      <c r="IF25" s="18"/>
      <c r="IU25" s="16">
        <f t="shared" si="28"/>
        <v>0</v>
      </c>
      <c r="IV25" s="16">
        <f t="shared" si="29"/>
        <v>0</v>
      </c>
    </row>
    <row r="26" spans="1:256" s="20" customFormat="1" ht="13.8" thickBot="1" x14ac:dyDescent="0.3">
      <c r="A26" s="14"/>
      <c r="B26" s="49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>
        <f t="shared" si="0"/>
        <v>0</v>
      </c>
      <c r="R26" s="16">
        <f t="shared" si="1"/>
        <v>0</v>
      </c>
      <c r="S26" s="17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>
        <f t="shared" si="2"/>
        <v>0</v>
      </c>
      <c r="AI26" s="16">
        <f t="shared" si="3"/>
        <v>0</v>
      </c>
      <c r="AJ26" s="18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>
        <f t="shared" si="4"/>
        <v>0</v>
      </c>
      <c r="AZ26" s="16">
        <f t="shared" si="5"/>
        <v>0</v>
      </c>
      <c r="BA26" s="18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>
        <f t="shared" si="6"/>
        <v>0</v>
      </c>
      <c r="BQ26" s="16">
        <f t="shared" si="7"/>
        <v>0</v>
      </c>
      <c r="BR26" s="18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>
        <f t="shared" si="8"/>
        <v>0</v>
      </c>
      <c r="CH26" s="16">
        <f t="shared" si="9"/>
        <v>0</v>
      </c>
      <c r="CI26" s="18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>
        <f t="shared" si="10"/>
        <v>0</v>
      </c>
      <c r="CY26" s="16">
        <f t="shared" si="11"/>
        <v>0</v>
      </c>
      <c r="CZ26" s="18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>
        <f t="shared" si="12"/>
        <v>0</v>
      </c>
      <c r="DP26" s="16">
        <f t="shared" si="13"/>
        <v>0</v>
      </c>
      <c r="DQ26" s="18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>
        <f t="shared" si="14"/>
        <v>0</v>
      </c>
      <c r="EG26" s="16">
        <f t="shared" si="15"/>
        <v>0</v>
      </c>
      <c r="EH26" s="18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>
        <f t="shared" si="16"/>
        <v>0</v>
      </c>
      <c r="EX26" s="16">
        <f t="shared" si="17"/>
        <v>0</v>
      </c>
      <c r="EY26" s="18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>
        <f t="shared" si="18"/>
        <v>0</v>
      </c>
      <c r="FO26" s="16">
        <f t="shared" si="19"/>
        <v>0</v>
      </c>
      <c r="FP26" s="18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>
        <f t="shared" si="20"/>
        <v>0</v>
      </c>
      <c r="GF26" s="16">
        <f t="shared" si="21"/>
        <v>0</v>
      </c>
      <c r="GG26" s="18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>
        <f t="shared" si="22"/>
        <v>0</v>
      </c>
      <c r="GW26" s="16">
        <f t="shared" si="23"/>
        <v>0</v>
      </c>
      <c r="GX26" s="18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>
        <f t="shared" si="24"/>
        <v>0</v>
      </c>
      <c r="HN26" s="16">
        <f t="shared" si="25"/>
        <v>0</v>
      </c>
      <c r="HO26" s="18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>
        <f t="shared" si="26"/>
        <v>0</v>
      </c>
      <c r="IE26" s="16">
        <f t="shared" si="27"/>
        <v>0</v>
      </c>
      <c r="IF26" s="18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>
        <f t="shared" si="28"/>
        <v>0</v>
      </c>
      <c r="IV26" s="16">
        <f t="shared" si="29"/>
        <v>0</v>
      </c>
    </row>
    <row r="27" spans="1:256" s="22" customFormat="1" ht="13.8" thickBot="1" x14ac:dyDescent="0.3">
      <c r="A27" s="64" t="s">
        <v>48</v>
      </c>
      <c r="B27" s="64"/>
      <c r="C27" s="21">
        <f>SUM(C8:C26)</f>
        <v>25</v>
      </c>
      <c r="D27" s="21">
        <f t="shared" ref="D27:P27" si="30">SUM(D8:D26)</f>
        <v>10</v>
      </c>
      <c r="E27" s="21">
        <f t="shared" si="30"/>
        <v>9</v>
      </c>
      <c r="F27" s="21">
        <f t="shared" si="30"/>
        <v>2</v>
      </c>
      <c r="G27" s="21">
        <f t="shared" si="30"/>
        <v>1</v>
      </c>
      <c r="H27" s="21">
        <f t="shared" si="30"/>
        <v>0</v>
      </c>
      <c r="I27" s="21">
        <f t="shared" si="30"/>
        <v>4</v>
      </c>
      <c r="J27" s="21">
        <f t="shared" si="30"/>
        <v>4</v>
      </c>
      <c r="K27" s="21">
        <f t="shared" si="30"/>
        <v>5</v>
      </c>
      <c r="L27" s="21">
        <f t="shared" si="30"/>
        <v>9</v>
      </c>
      <c r="M27" s="21">
        <f t="shared" si="30"/>
        <v>0</v>
      </c>
      <c r="N27" s="21">
        <f t="shared" si="30"/>
        <v>0</v>
      </c>
      <c r="O27" s="21">
        <f t="shared" si="30"/>
        <v>0</v>
      </c>
      <c r="P27" s="21">
        <f t="shared" si="30"/>
        <v>0</v>
      </c>
      <c r="Q27" s="21">
        <f>SUM(Q8:Q26)</f>
        <v>13</v>
      </c>
      <c r="R27" s="21">
        <f>SUM(R8:R26)</f>
        <v>30</v>
      </c>
      <c r="T27" s="21">
        <f>SUM(T8:T26)</f>
        <v>0</v>
      </c>
      <c r="U27" s="21">
        <f t="shared" ref="U27:AG27" si="31">SUM(U8:U26)</f>
        <v>0</v>
      </c>
      <c r="V27" s="21">
        <f t="shared" si="31"/>
        <v>0</v>
      </c>
      <c r="W27" s="21">
        <f t="shared" si="31"/>
        <v>0</v>
      </c>
      <c r="X27" s="21">
        <f t="shared" si="31"/>
        <v>0</v>
      </c>
      <c r="Y27" s="21">
        <f t="shared" si="31"/>
        <v>0</v>
      </c>
      <c r="Z27" s="21">
        <f t="shared" si="31"/>
        <v>0</v>
      </c>
      <c r="AA27" s="21">
        <f t="shared" si="31"/>
        <v>0</v>
      </c>
      <c r="AB27" s="21">
        <f t="shared" si="31"/>
        <v>0</v>
      </c>
      <c r="AC27" s="21">
        <f t="shared" si="31"/>
        <v>0</v>
      </c>
      <c r="AD27" s="21">
        <f t="shared" si="31"/>
        <v>0</v>
      </c>
      <c r="AE27" s="21">
        <f t="shared" si="31"/>
        <v>0</v>
      </c>
      <c r="AF27" s="21">
        <f t="shared" si="31"/>
        <v>0</v>
      </c>
      <c r="AG27" s="21">
        <f t="shared" si="31"/>
        <v>0</v>
      </c>
      <c r="AH27" s="21">
        <f>SUM(AH8:AH26)</f>
        <v>0</v>
      </c>
      <c r="AI27" s="21">
        <f>SUM(AI8:AI26)</f>
        <v>0</v>
      </c>
      <c r="AK27" s="21">
        <f>SUM(AK8:AK26)</f>
        <v>0</v>
      </c>
      <c r="AL27" s="21">
        <f t="shared" ref="AL27:AX27" si="32">SUM(AL8:AL26)</f>
        <v>0</v>
      </c>
      <c r="AM27" s="21">
        <f t="shared" si="32"/>
        <v>0</v>
      </c>
      <c r="AN27" s="21">
        <f t="shared" si="32"/>
        <v>0</v>
      </c>
      <c r="AO27" s="21">
        <f t="shared" si="32"/>
        <v>0</v>
      </c>
      <c r="AP27" s="21">
        <f t="shared" si="32"/>
        <v>0</v>
      </c>
      <c r="AQ27" s="21">
        <f t="shared" si="32"/>
        <v>0</v>
      </c>
      <c r="AR27" s="21">
        <f t="shared" si="32"/>
        <v>0</v>
      </c>
      <c r="AS27" s="21">
        <f t="shared" si="32"/>
        <v>0</v>
      </c>
      <c r="AT27" s="21">
        <f t="shared" si="32"/>
        <v>0</v>
      </c>
      <c r="AU27" s="21">
        <f t="shared" si="32"/>
        <v>0</v>
      </c>
      <c r="AV27" s="21">
        <f t="shared" si="32"/>
        <v>0</v>
      </c>
      <c r="AW27" s="21">
        <f t="shared" si="32"/>
        <v>0</v>
      </c>
      <c r="AX27" s="21">
        <f t="shared" si="32"/>
        <v>0</v>
      </c>
      <c r="AY27" s="21">
        <f>SUM(AY8:AY26)</f>
        <v>0</v>
      </c>
      <c r="AZ27" s="21">
        <f>SUM(AZ8:AZ26)</f>
        <v>0</v>
      </c>
      <c r="BB27" s="21">
        <f>SUM(BB8:BB26)</f>
        <v>0</v>
      </c>
      <c r="BC27" s="21">
        <f t="shared" ref="BC27:BO27" si="33">SUM(BC8:BC26)</f>
        <v>0</v>
      </c>
      <c r="BD27" s="21">
        <f t="shared" si="33"/>
        <v>0</v>
      </c>
      <c r="BE27" s="21">
        <f t="shared" si="33"/>
        <v>0</v>
      </c>
      <c r="BF27" s="21">
        <f t="shared" si="33"/>
        <v>0</v>
      </c>
      <c r="BG27" s="21">
        <f t="shared" si="33"/>
        <v>0</v>
      </c>
      <c r="BH27" s="21">
        <f t="shared" si="33"/>
        <v>0</v>
      </c>
      <c r="BI27" s="21">
        <f t="shared" si="33"/>
        <v>0</v>
      </c>
      <c r="BJ27" s="21">
        <f t="shared" si="33"/>
        <v>0</v>
      </c>
      <c r="BK27" s="21">
        <f t="shared" si="33"/>
        <v>0</v>
      </c>
      <c r="BL27" s="21">
        <f t="shared" si="33"/>
        <v>0</v>
      </c>
      <c r="BM27" s="21">
        <f t="shared" si="33"/>
        <v>0</v>
      </c>
      <c r="BN27" s="21">
        <f t="shared" si="33"/>
        <v>0</v>
      </c>
      <c r="BO27" s="21">
        <f t="shared" si="33"/>
        <v>0</v>
      </c>
      <c r="BP27" s="21">
        <f>SUM(BP8:BP26)</f>
        <v>0</v>
      </c>
      <c r="BQ27" s="21">
        <f>SUM(BQ8:BQ26)</f>
        <v>0</v>
      </c>
      <c r="BS27" s="21">
        <f>SUM(BS8:BS26)</f>
        <v>0</v>
      </c>
      <c r="BT27" s="21">
        <f t="shared" ref="BT27:CF27" si="34">SUM(BT8:BT26)</f>
        <v>0</v>
      </c>
      <c r="BU27" s="21">
        <f t="shared" si="34"/>
        <v>0</v>
      </c>
      <c r="BV27" s="21">
        <f t="shared" si="34"/>
        <v>0</v>
      </c>
      <c r="BW27" s="21">
        <f t="shared" si="34"/>
        <v>0</v>
      </c>
      <c r="BX27" s="21">
        <f t="shared" si="34"/>
        <v>0</v>
      </c>
      <c r="BY27" s="21">
        <f t="shared" si="34"/>
        <v>0</v>
      </c>
      <c r="BZ27" s="21">
        <f t="shared" si="34"/>
        <v>0</v>
      </c>
      <c r="CA27" s="21">
        <f t="shared" si="34"/>
        <v>0</v>
      </c>
      <c r="CB27" s="21">
        <f t="shared" si="34"/>
        <v>0</v>
      </c>
      <c r="CC27" s="21">
        <f t="shared" si="34"/>
        <v>0</v>
      </c>
      <c r="CD27" s="21">
        <f t="shared" si="34"/>
        <v>0</v>
      </c>
      <c r="CE27" s="21">
        <f t="shared" si="34"/>
        <v>0</v>
      </c>
      <c r="CF27" s="21">
        <f t="shared" si="34"/>
        <v>0</v>
      </c>
      <c r="CG27" s="21">
        <f>SUM(CG8:CG26)</f>
        <v>0</v>
      </c>
      <c r="CH27" s="21">
        <f>SUM(CH8:CH26)</f>
        <v>0</v>
      </c>
      <c r="CJ27" s="21">
        <f>SUM(CJ8:CJ26)</f>
        <v>0</v>
      </c>
      <c r="CK27" s="21">
        <f t="shared" ref="CK27:CW27" si="35">SUM(CK8:CK26)</f>
        <v>0</v>
      </c>
      <c r="CL27" s="21">
        <f t="shared" si="35"/>
        <v>0</v>
      </c>
      <c r="CM27" s="21">
        <f t="shared" si="35"/>
        <v>0</v>
      </c>
      <c r="CN27" s="21">
        <f t="shared" si="35"/>
        <v>0</v>
      </c>
      <c r="CO27" s="21">
        <f t="shared" si="35"/>
        <v>0</v>
      </c>
      <c r="CP27" s="21">
        <f t="shared" si="35"/>
        <v>0</v>
      </c>
      <c r="CQ27" s="21">
        <f t="shared" si="35"/>
        <v>0</v>
      </c>
      <c r="CR27" s="21">
        <f t="shared" si="35"/>
        <v>0</v>
      </c>
      <c r="CS27" s="21">
        <f t="shared" si="35"/>
        <v>0</v>
      </c>
      <c r="CT27" s="21">
        <f t="shared" si="35"/>
        <v>0</v>
      </c>
      <c r="CU27" s="21">
        <f t="shared" si="35"/>
        <v>0</v>
      </c>
      <c r="CV27" s="21">
        <f t="shared" si="35"/>
        <v>0</v>
      </c>
      <c r="CW27" s="21">
        <f t="shared" si="35"/>
        <v>0</v>
      </c>
      <c r="CX27" s="21">
        <f>SUM(CX8:CX26)</f>
        <v>0</v>
      </c>
      <c r="CY27" s="21">
        <f>SUM(CY8:CY26)</f>
        <v>0</v>
      </c>
      <c r="DA27" s="21">
        <f>SUM(DA8:DA26)</f>
        <v>0</v>
      </c>
      <c r="DB27" s="21">
        <f t="shared" ref="DB27:DN27" si="36">SUM(DB8:DB26)</f>
        <v>0</v>
      </c>
      <c r="DC27" s="21">
        <f t="shared" si="36"/>
        <v>0</v>
      </c>
      <c r="DD27" s="21">
        <f t="shared" si="36"/>
        <v>0</v>
      </c>
      <c r="DE27" s="21">
        <f t="shared" si="36"/>
        <v>0</v>
      </c>
      <c r="DF27" s="21">
        <f t="shared" si="36"/>
        <v>0</v>
      </c>
      <c r="DG27" s="21">
        <f t="shared" si="36"/>
        <v>0</v>
      </c>
      <c r="DH27" s="21">
        <f t="shared" si="36"/>
        <v>0</v>
      </c>
      <c r="DI27" s="21">
        <f t="shared" si="36"/>
        <v>0</v>
      </c>
      <c r="DJ27" s="21">
        <f t="shared" si="36"/>
        <v>0</v>
      </c>
      <c r="DK27" s="21">
        <f t="shared" si="36"/>
        <v>0</v>
      </c>
      <c r="DL27" s="21">
        <f t="shared" si="36"/>
        <v>0</v>
      </c>
      <c r="DM27" s="21">
        <f t="shared" si="36"/>
        <v>0</v>
      </c>
      <c r="DN27" s="21">
        <f t="shared" si="36"/>
        <v>0</v>
      </c>
      <c r="DO27" s="21">
        <f>SUM(DO8:DO26)</f>
        <v>0</v>
      </c>
      <c r="DP27" s="21">
        <f>SUM(DP8:DP26)</f>
        <v>0</v>
      </c>
      <c r="DR27" s="21">
        <f>SUM(DR8:DR26)</f>
        <v>0</v>
      </c>
      <c r="DS27" s="21">
        <f t="shared" ref="DS27:EE27" si="37">SUM(DS8:DS26)</f>
        <v>0</v>
      </c>
      <c r="DT27" s="21">
        <f t="shared" si="37"/>
        <v>0</v>
      </c>
      <c r="DU27" s="21">
        <f t="shared" si="37"/>
        <v>0</v>
      </c>
      <c r="DV27" s="21">
        <f t="shared" si="37"/>
        <v>0</v>
      </c>
      <c r="DW27" s="21">
        <f t="shared" si="37"/>
        <v>0</v>
      </c>
      <c r="DX27" s="21">
        <f t="shared" si="37"/>
        <v>0</v>
      </c>
      <c r="DY27" s="21">
        <f t="shared" si="37"/>
        <v>0</v>
      </c>
      <c r="DZ27" s="21">
        <f t="shared" si="37"/>
        <v>0</v>
      </c>
      <c r="EA27" s="21">
        <f t="shared" si="37"/>
        <v>0</v>
      </c>
      <c r="EB27" s="21">
        <f t="shared" si="37"/>
        <v>0</v>
      </c>
      <c r="EC27" s="21">
        <f t="shared" si="37"/>
        <v>0</v>
      </c>
      <c r="ED27" s="21">
        <f t="shared" si="37"/>
        <v>0</v>
      </c>
      <c r="EE27" s="21">
        <f t="shared" si="37"/>
        <v>0</v>
      </c>
      <c r="EF27" s="21">
        <f>SUM(EF8:EF26)</f>
        <v>0</v>
      </c>
      <c r="EG27" s="21">
        <f>SUM(EG8:EG26)</f>
        <v>0</v>
      </c>
      <c r="EI27" s="21">
        <f>SUM(EI8:EI26)</f>
        <v>0</v>
      </c>
      <c r="EJ27" s="21">
        <f t="shared" ref="EJ27:EV27" si="38">SUM(EJ8:EJ26)</f>
        <v>0</v>
      </c>
      <c r="EK27" s="21">
        <f t="shared" si="38"/>
        <v>0</v>
      </c>
      <c r="EL27" s="21">
        <f t="shared" si="38"/>
        <v>0</v>
      </c>
      <c r="EM27" s="21">
        <f t="shared" si="38"/>
        <v>0</v>
      </c>
      <c r="EN27" s="21">
        <f t="shared" si="38"/>
        <v>0</v>
      </c>
      <c r="EO27" s="21">
        <f t="shared" si="38"/>
        <v>0</v>
      </c>
      <c r="EP27" s="21">
        <f t="shared" si="38"/>
        <v>0</v>
      </c>
      <c r="EQ27" s="21">
        <f t="shared" si="38"/>
        <v>0</v>
      </c>
      <c r="ER27" s="21">
        <f t="shared" si="38"/>
        <v>0</v>
      </c>
      <c r="ES27" s="21">
        <f t="shared" si="38"/>
        <v>0</v>
      </c>
      <c r="ET27" s="21">
        <f t="shared" si="38"/>
        <v>0</v>
      </c>
      <c r="EU27" s="21">
        <f t="shared" si="38"/>
        <v>0</v>
      </c>
      <c r="EV27" s="21">
        <f t="shared" si="38"/>
        <v>0</v>
      </c>
      <c r="EW27" s="21">
        <f>SUM(EW8:EW26)</f>
        <v>0</v>
      </c>
      <c r="EX27" s="21">
        <f>SUM(EX8:EX26)</f>
        <v>0</v>
      </c>
      <c r="EZ27" s="21">
        <f>SUM(EZ8:EZ26)</f>
        <v>0</v>
      </c>
      <c r="FA27" s="21">
        <f t="shared" ref="FA27:FM27" si="39">SUM(FA8:FA26)</f>
        <v>0</v>
      </c>
      <c r="FB27" s="21">
        <f t="shared" si="39"/>
        <v>0</v>
      </c>
      <c r="FC27" s="21">
        <f t="shared" si="39"/>
        <v>0</v>
      </c>
      <c r="FD27" s="21">
        <f t="shared" si="39"/>
        <v>0</v>
      </c>
      <c r="FE27" s="21">
        <f t="shared" si="39"/>
        <v>0</v>
      </c>
      <c r="FF27" s="21">
        <f t="shared" si="39"/>
        <v>0</v>
      </c>
      <c r="FG27" s="21">
        <f t="shared" si="39"/>
        <v>0</v>
      </c>
      <c r="FH27" s="21">
        <f t="shared" si="39"/>
        <v>0</v>
      </c>
      <c r="FI27" s="21">
        <f t="shared" si="39"/>
        <v>0</v>
      </c>
      <c r="FJ27" s="21">
        <f t="shared" si="39"/>
        <v>0</v>
      </c>
      <c r="FK27" s="21">
        <f t="shared" si="39"/>
        <v>0</v>
      </c>
      <c r="FL27" s="21">
        <f t="shared" si="39"/>
        <v>0</v>
      </c>
      <c r="FM27" s="21">
        <f t="shared" si="39"/>
        <v>0</v>
      </c>
      <c r="FN27" s="21">
        <f>SUM(FN8:FN26)</f>
        <v>0</v>
      </c>
      <c r="FO27" s="21">
        <f>SUM(FO8:FO26)</f>
        <v>0</v>
      </c>
      <c r="FQ27" s="21">
        <f>SUM(FQ8:FQ26)</f>
        <v>0</v>
      </c>
      <c r="FR27" s="21">
        <f t="shared" ref="FR27:GD27" si="40">SUM(FR8:FR26)</f>
        <v>0</v>
      </c>
      <c r="FS27" s="21">
        <f t="shared" si="40"/>
        <v>0</v>
      </c>
      <c r="FT27" s="21">
        <f t="shared" si="40"/>
        <v>0</v>
      </c>
      <c r="FU27" s="21">
        <f t="shared" si="40"/>
        <v>0</v>
      </c>
      <c r="FV27" s="21">
        <f t="shared" si="40"/>
        <v>0</v>
      </c>
      <c r="FW27" s="21">
        <f t="shared" si="40"/>
        <v>0</v>
      </c>
      <c r="FX27" s="21">
        <f t="shared" si="40"/>
        <v>0</v>
      </c>
      <c r="FY27" s="21">
        <f t="shared" si="40"/>
        <v>0</v>
      </c>
      <c r="FZ27" s="21">
        <f t="shared" si="40"/>
        <v>0</v>
      </c>
      <c r="GA27" s="21">
        <f t="shared" si="40"/>
        <v>0</v>
      </c>
      <c r="GB27" s="21">
        <f t="shared" si="40"/>
        <v>0</v>
      </c>
      <c r="GC27" s="21">
        <f t="shared" si="40"/>
        <v>0</v>
      </c>
      <c r="GD27" s="21">
        <f t="shared" si="40"/>
        <v>0</v>
      </c>
      <c r="GE27" s="21">
        <f>SUM(GE8:GE26)</f>
        <v>0</v>
      </c>
      <c r="GF27" s="21">
        <f>SUM(GF8:GF26)</f>
        <v>0</v>
      </c>
      <c r="GH27" s="21">
        <f>SUM(GH8:GH26)</f>
        <v>0</v>
      </c>
      <c r="GI27" s="21">
        <f t="shared" ref="GI27:GU27" si="41">SUM(GI8:GI26)</f>
        <v>0</v>
      </c>
      <c r="GJ27" s="21">
        <f t="shared" si="41"/>
        <v>0</v>
      </c>
      <c r="GK27" s="21">
        <f t="shared" si="41"/>
        <v>0</v>
      </c>
      <c r="GL27" s="21">
        <f t="shared" si="41"/>
        <v>0</v>
      </c>
      <c r="GM27" s="21">
        <f t="shared" si="41"/>
        <v>0</v>
      </c>
      <c r="GN27" s="21">
        <f t="shared" si="41"/>
        <v>0</v>
      </c>
      <c r="GO27" s="21">
        <f t="shared" si="41"/>
        <v>0</v>
      </c>
      <c r="GP27" s="21">
        <f t="shared" si="41"/>
        <v>0</v>
      </c>
      <c r="GQ27" s="21">
        <f t="shared" si="41"/>
        <v>0</v>
      </c>
      <c r="GR27" s="21">
        <f t="shared" si="41"/>
        <v>0</v>
      </c>
      <c r="GS27" s="21">
        <f t="shared" si="41"/>
        <v>0</v>
      </c>
      <c r="GT27" s="21">
        <f t="shared" si="41"/>
        <v>0</v>
      </c>
      <c r="GU27" s="21">
        <f t="shared" si="41"/>
        <v>0</v>
      </c>
      <c r="GV27" s="21">
        <f>SUM(GV8:GV26)</f>
        <v>0</v>
      </c>
      <c r="GW27" s="21">
        <f>SUM(GW8:GW26)</f>
        <v>0</v>
      </c>
      <c r="GY27" s="21">
        <f>SUM(GY8:GY26)</f>
        <v>0</v>
      </c>
      <c r="GZ27" s="21">
        <f t="shared" ref="GZ27:HL27" si="42">SUM(GZ8:GZ26)</f>
        <v>0</v>
      </c>
      <c r="HA27" s="21">
        <f t="shared" si="42"/>
        <v>0</v>
      </c>
      <c r="HB27" s="21">
        <f t="shared" si="42"/>
        <v>0</v>
      </c>
      <c r="HC27" s="21">
        <f t="shared" si="42"/>
        <v>0</v>
      </c>
      <c r="HD27" s="21">
        <f t="shared" si="42"/>
        <v>0</v>
      </c>
      <c r="HE27" s="21">
        <f t="shared" si="42"/>
        <v>0</v>
      </c>
      <c r="HF27" s="21">
        <f t="shared" si="42"/>
        <v>0</v>
      </c>
      <c r="HG27" s="21">
        <f t="shared" si="42"/>
        <v>0</v>
      </c>
      <c r="HH27" s="21">
        <f t="shared" si="42"/>
        <v>0</v>
      </c>
      <c r="HI27" s="21">
        <f t="shared" si="42"/>
        <v>0</v>
      </c>
      <c r="HJ27" s="21">
        <f t="shared" si="42"/>
        <v>0</v>
      </c>
      <c r="HK27" s="21">
        <f t="shared" si="42"/>
        <v>0</v>
      </c>
      <c r="HL27" s="21">
        <f t="shared" si="42"/>
        <v>0</v>
      </c>
      <c r="HM27" s="21">
        <f>SUM(HM8:HM26)</f>
        <v>0</v>
      </c>
      <c r="HN27" s="21">
        <f>SUM(HN8:HN26)</f>
        <v>0</v>
      </c>
      <c r="HP27" s="21">
        <f>SUM(HP8:HP26)</f>
        <v>0</v>
      </c>
      <c r="HQ27" s="21">
        <f t="shared" ref="HQ27:IC27" si="43">SUM(HQ8:HQ26)</f>
        <v>0</v>
      </c>
      <c r="HR27" s="21">
        <f t="shared" si="43"/>
        <v>0</v>
      </c>
      <c r="HS27" s="21">
        <f t="shared" si="43"/>
        <v>0</v>
      </c>
      <c r="HT27" s="21">
        <f t="shared" si="43"/>
        <v>0</v>
      </c>
      <c r="HU27" s="21">
        <f t="shared" si="43"/>
        <v>0</v>
      </c>
      <c r="HV27" s="21">
        <f t="shared" si="43"/>
        <v>0</v>
      </c>
      <c r="HW27" s="21">
        <f t="shared" si="43"/>
        <v>0</v>
      </c>
      <c r="HX27" s="21">
        <f t="shared" si="43"/>
        <v>0</v>
      </c>
      <c r="HY27" s="21">
        <f t="shared" si="43"/>
        <v>0</v>
      </c>
      <c r="HZ27" s="21">
        <f t="shared" si="43"/>
        <v>0</v>
      </c>
      <c r="IA27" s="21">
        <f t="shared" si="43"/>
        <v>0</v>
      </c>
      <c r="IB27" s="21">
        <f t="shared" si="43"/>
        <v>0</v>
      </c>
      <c r="IC27" s="21">
        <f t="shared" si="43"/>
        <v>0</v>
      </c>
      <c r="ID27" s="21">
        <f>SUM(ID8:ID26)</f>
        <v>0</v>
      </c>
      <c r="IE27" s="21">
        <f>SUM(IE8:IE26)</f>
        <v>0</v>
      </c>
      <c r="IG27" s="21">
        <f>SUM(IG8:IG26)</f>
        <v>0</v>
      </c>
      <c r="IH27" s="21">
        <f t="shared" ref="IH27:IT27" si="44">SUM(IH8:IH26)</f>
        <v>0</v>
      </c>
      <c r="II27" s="21">
        <f t="shared" si="44"/>
        <v>0</v>
      </c>
      <c r="IJ27" s="21">
        <f t="shared" si="44"/>
        <v>0</v>
      </c>
      <c r="IK27" s="21">
        <f t="shared" si="44"/>
        <v>0</v>
      </c>
      <c r="IL27" s="21">
        <f t="shared" si="44"/>
        <v>0</v>
      </c>
      <c r="IM27" s="21">
        <f t="shared" si="44"/>
        <v>0</v>
      </c>
      <c r="IN27" s="21">
        <f t="shared" si="44"/>
        <v>0</v>
      </c>
      <c r="IO27" s="21">
        <f t="shared" si="44"/>
        <v>0</v>
      </c>
      <c r="IP27" s="21">
        <f t="shared" si="44"/>
        <v>0</v>
      </c>
      <c r="IQ27" s="21">
        <f t="shared" si="44"/>
        <v>0</v>
      </c>
      <c r="IR27" s="21">
        <f t="shared" si="44"/>
        <v>0</v>
      </c>
      <c r="IS27" s="21">
        <f t="shared" si="44"/>
        <v>0</v>
      </c>
      <c r="IT27" s="21">
        <f t="shared" si="44"/>
        <v>0</v>
      </c>
      <c r="IU27" s="21">
        <f>SUM(IU8:IU26)</f>
        <v>0</v>
      </c>
      <c r="IV27" s="21">
        <f>SUM(IV8:IV26)</f>
        <v>0</v>
      </c>
    </row>
    <row r="28" spans="1:256" s="23" customFormat="1" ht="10.199999999999999" x14ac:dyDescent="0.2">
      <c r="B28" s="46"/>
      <c r="S28" s="24"/>
      <c r="AJ28" s="24"/>
      <c r="BA28" s="24"/>
      <c r="BR28" s="24"/>
      <c r="CI28" s="24"/>
      <c r="CZ28" s="24"/>
      <c r="DQ28" s="24"/>
      <c r="EH28" s="24"/>
      <c r="EY28" s="24"/>
      <c r="FP28" s="24"/>
      <c r="GG28" s="24"/>
      <c r="GX28" s="24"/>
      <c r="HO28" s="24"/>
      <c r="IF28" s="24"/>
    </row>
    <row r="29" spans="1:256" s="23" customFormat="1" ht="10.199999999999999" x14ac:dyDescent="0.2">
      <c r="B29" s="46"/>
      <c r="S29" s="24"/>
      <c r="AJ29" s="24"/>
      <c r="BA29" s="24"/>
      <c r="BR29" s="24"/>
      <c r="CI29" s="24"/>
      <c r="CZ29" s="24"/>
      <c r="DQ29" s="24"/>
      <c r="EH29" s="24"/>
      <c r="EY29" s="24"/>
      <c r="FP29" s="24"/>
      <c r="GG29" s="24"/>
      <c r="GX29" s="24"/>
      <c r="HO29" s="24"/>
      <c r="IF29" s="24"/>
    </row>
    <row r="30" spans="1:256" s="23" customFormat="1" x14ac:dyDescent="0.25">
      <c r="A30" s="65" t="s">
        <v>49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AJ30" s="24"/>
      <c r="BA30" s="24"/>
      <c r="BR30" s="24"/>
      <c r="CI30" s="24"/>
      <c r="CZ30" s="24"/>
      <c r="DQ30" s="24"/>
      <c r="EH30" s="24"/>
      <c r="EY30" s="24"/>
      <c r="FP30" s="24"/>
      <c r="GG30" s="24"/>
      <c r="GX30" s="24"/>
      <c r="HO30" s="24"/>
      <c r="IF30" s="24"/>
    </row>
    <row r="31" spans="1:256" s="23" customFormat="1" x14ac:dyDescent="0.25">
      <c r="A31" s="26" t="s">
        <v>19</v>
      </c>
      <c r="B31" s="58" t="s">
        <v>73</v>
      </c>
      <c r="C31" s="13" t="s">
        <v>20</v>
      </c>
      <c r="D31" s="11" t="s">
        <v>21</v>
      </c>
      <c r="E31" s="11" t="s">
        <v>22</v>
      </c>
      <c r="F31" s="11" t="s">
        <v>23</v>
      </c>
      <c r="G31" s="11" t="s">
        <v>24</v>
      </c>
      <c r="H31" s="11" t="s">
        <v>25</v>
      </c>
      <c r="I31" s="11" t="s">
        <v>26</v>
      </c>
      <c r="J31" s="11" t="s">
        <v>27</v>
      </c>
      <c r="K31" s="11" t="s">
        <v>28</v>
      </c>
      <c r="L31" s="11" t="s">
        <v>29</v>
      </c>
      <c r="M31" s="11" t="s">
        <v>30</v>
      </c>
      <c r="N31" s="11" t="s">
        <v>31</v>
      </c>
      <c r="O31" s="11" t="s">
        <v>32</v>
      </c>
      <c r="P31" s="12" t="s">
        <v>33</v>
      </c>
      <c r="Q31" s="11" t="s">
        <v>34</v>
      </c>
      <c r="R31" s="27" t="s">
        <v>35</v>
      </c>
      <c r="S31" s="24"/>
      <c r="T31" s="28" t="s">
        <v>50</v>
      </c>
      <c r="U31" s="29" t="s">
        <v>51</v>
      </c>
      <c r="AJ31" s="24"/>
      <c r="BA31" s="24"/>
      <c r="BR31" s="24"/>
      <c r="CI31" s="24"/>
      <c r="CZ31" s="24"/>
      <c r="DQ31" s="24"/>
      <c r="EH31" s="24"/>
      <c r="EY31" s="24"/>
      <c r="FP31" s="24"/>
      <c r="GG31" s="24"/>
      <c r="GX31" s="24"/>
      <c r="HO31" s="24"/>
      <c r="IF31" s="24"/>
    </row>
    <row r="32" spans="1:256" s="23" customFormat="1" x14ac:dyDescent="0.25">
      <c r="A32" s="30" t="str">
        <f t="shared" ref="A32:B50" si="45">IF(A8="","",A8)</f>
        <v>RONALD ACUÑA EQUIPO10</v>
      </c>
      <c r="B32" s="47">
        <f t="shared" si="45"/>
        <v>13</v>
      </c>
      <c r="C32" s="16">
        <f t="shared" ref="C32:C50" si="46">+C8+T8+AK8+BB8+BS8+CJ8+DA8+DR8+EI8+EZ8+FQ8+GH8+GY8+HP8+IG8</f>
        <v>4</v>
      </c>
      <c r="D32" s="16">
        <f t="shared" ref="D32:D50" si="47">+D8+U8+AL8+BC8+BT8+CK8+DB8+DS8+EJ8+FA8+FR8+GI8+GZ8+HQ8+IH8</f>
        <v>2</v>
      </c>
      <c r="E32" s="16">
        <f t="shared" ref="E32:E50" si="48">+E8+V8+AM8+BD8+BU8+CL8+DC8+DT8+EK8+FB8+FS8+GJ8+HA8+HR8+II8</f>
        <v>1</v>
      </c>
      <c r="F32" s="16">
        <f t="shared" ref="F32:F50" si="49">+F8+W8+AN8+BE8+BV8+CM8+DD8+DU8+EL8+FC8+FT8+GK8+HB8+HS8+IJ8</f>
        <v>0</v>
      </c>
      <c r="G32" s="16">
        <f t="shared" ref="G32:G50" si="50">+G8+X8+AO8+BF8+BW8+CN8+DE8+DV8+EM8+FD8+FU8+GL8+HC8+HT8+IK8</f>
        <v>0</v>
      </c>
      <c r="H32" s="16">
        <f t="shared" ref="H32:H50" si="51">+H8+Y8+AP8+BG8+BX8+CO8+DF8+DW8+EN8+FE8+FV8+GM8+HD8+HU8+IL8</f>
        <v>0</v>
      </c>
      <c r="I32" s="16">
        <f t="shared" ref="I32:I50" si="52">+I8+Z8+AQ8+BH8+BY8+CP8+DG8+DX8+EO8+FF8+FW8+GN8+HE8+HV8+IM8</f>
        <v>0</v>
      </c>
      <c r="J32" s="16">
        <f t="shared" ref="J32:J50" si="53">+J8+AA8+AR8+BI8+BZ8+CQ8+DH8+DY8+EP8+FG8+FX8+GO8+HF8+HW8+IN8</f>
        <v>0</v>
      </c>
      <c r="K32" s="16">
        <f t="shared" ref="K32:K50" si="54">+K8+AB8+AS8+BJ8+CA8+CR8+DI8+DZ8+EQ8+FH8+FY8+GP8+HG8+HX8+IO8</f>
        <v>0</v>
      </c>
      <c r="L32" s="16">
        <f t="shared" ref="L32:L50" si="55">+L8+AC8+AT8+BK8+CB8+CS8+DJ8+EA8+ER8+FI8+FZ8+GQ8+HH8+HY8+IP8</f>
        <v>1</v>
      </c>
      <c r="M32" s="16">
        <f t="shared" ref="M32:M50" si="56">+M8+AD8+AU8+BL8+CC8+CT8+DK8+EB8+ES8+FJ8+GA8+GR8+HI8+HZ8+IQ8</f>
        <v>0</v>
      </c>
      <c r="N32" s="16">
        <f t="shared" ref="N32:N50" si="57">+N8+AE8+AV8+BM8+CD8+CU8+DL8+EC8+ET8+FK8+GB8+GS8+HJ8+IA8+IR8</f>
        <v>0</v>
      </c>
      <c r="O32" s="16">
        <f t="shared" ref="O32:O50" si="58">+O8+AF8+AW8+BN8+CE8+CV8+DM8+ED8+EU8+FL8+GC8+GT8+HK8+IB8+IS8</f>
        <v>0</v>
      </c>
      <c r="P32" s="16">
        <f t="shared" ref="P32:P50" si="59">+P8+AG8+AX8+BO8+CF8+CW8+DN8+EE8+EV8+FM8+GD8+GU8+HL8+IC8+IT8</f>
        <v>0</v>
      </c>
      <c r="Q32" s="16">
        <f t="shared" ref="Q32:Q50" si="60">+Q8+AH8+AY8+BP8+CG8+CX8+DO8+EF8+EW8+FN8+GE8+GV8+HM8+ID8+IU8</f>
        <v>1</v>
      </c>
      <c r="R32" s="16">
        <f t="shared" ref="R32:R50" si="61">+R8+AI8+AZ8+BQ8+CH8+CY8+DP8+EG8+EX8+FO8+GF8+GW8+HN8+IE8+IV8</f>
        <v>4</v>
      </c>
      <c r="S32" s="24"/>
      <c r="T32" s="31">
        <f t="shared" ref="T32:T51" si="62">IF(C32=0,0,E32*1000/C32)</f>
        <v>250</v>
      </c>
      <c r="U32" s="31">
        <f t="shared" ref="U32:U51" si="63">IF(C32=0,0,Q32*1000/C32)</f>
        <v>250</v>
      </c>
      <c r="AJ32" s="24"/>
      <c r="BA32" s="24"/>
      <c r="BR32" s="24"/>
      <c r="CI32" s="24"/>
      <c r="CZ32" s="24"/>
      <c r="DQ32" s="24"/>
      <c r="EH32" s="24"/>
      <c r="EY32" s="24"/>
      <c r="FP32" s="24"/>
      <c r="GG32" s="24"/>
      <c r="GX32" s="24"/>
      <c r="HO32" s="24"/>
      <c r="IF32" s="24"/>
    </row>
    <row r="33" spans="1:240" s="23" customFormat="1" x14ac:dyDescent="0.25">
      <c r="A33" s="30" t="str">
        <f t="shared" si="45"/>
        <v>JOSEPH MENDOZA</v>
      </c>
      <c r="B33" s="47">
        <f t="shared" si="45"/>
        <v>15</v>
      </c>
      <c r="C33" s="16">
        <f t="shared" si="46"/>
        <v>3</v>
      </c>
      <c r="D33" s="16">
        <f t="shared" si="47"/>
        <v>1</v>
      </c>
      <c r="E33" s="16">
        <f t="shared" si="48"/>
        <v>1</v>
      </c>
      <c r="F33" s="16">
        <f t="shared" si="49"/>
        <v>1</v>
      </c>
      <c r="G33" s="16">
        <f t="shared" si="50"/>
        <v>0</v>
      </c>
      <c r="H33" s="16">
        <f t="shared" si="51"/>
        <v>0</v>
      </c>
      <c r="I33" s="16">
        <f t="shared" si="52"/>
        <v>0</v>
      </c>
      <c r="J33" s="16">
        <f t="shared" si="53"/>
        <v>0</v>
      </c>
      <c r="K33" s="16">
        <f t="shared" si="54"/>
        <v>1</v>
      </c>
      <c r="L33" s="16">
        <f t="shared" si="55"/>
        <v>0</v>
      </c>
      <c r="M33" s="16">
        <f t="shared" si="56"/>
        <v>0</v>
      </c>
      <c r="N33" s="16">
        <f t="shared" si="57"/>
        <v>0</v>
      </c>
      <c r="O33" s="16">
        <f t="shared" si="58"/>
        <v>0</v>
      </c>
      <c r="P33" s="16">
        <f t="shared" si="59"/>
        <v>0</v>
      </c>
      <c r="Q33" s="16">
        <f t="shared" si="60"/>
        <v>2</v>
      </c>
      <c r="R33" s="16">
        <f t="shared" si="61"/>
        <v>4</v>
      </c>
      <c r="S33" s="24"/>
      <c r="T33" s="31">
        <f t="shared" si="62"/>
        <v>333.33333333333331</v>
      </c>
      <c r="U33" s="31">
        <f t="shared" si="63"/>
        <v>666.66666666666663</v>
      </c>
      <c r="AJ33" s="24"/>
      <c r="BA33" s="24"/>
      <c r="BR33" s="24"/>
      <c r="CI33" s="24"/>
      <c r="CZ33" s="24"/>
      <c r="DQ33" s="24"/>
      <c r="EH33" s="24"/>
      <c r="EY33" s="24"/>
      <c r="FP33" s="24"/>
      <c r="GG33" s="24"/>
      <c r="GX33" s="24"/>
      <c r="HO33" s="24"/>
      <c r="IF33" s="24"/>
    </row>
    <row r="34" spans="1:240" s="23" customFormat="1" x14ac:dyDescent="0.25">
      <c r="A34" s="30" t="str">
        <f t="shared" si="45"/>
        <v>ABRAHAN RODRIGUZ</v>
      </c>
      <c r="B34" s="47">
        <f t="shared" si="45"/>
        <v>22</v>
      </c>
      <c r="C34" s="16">
        <f t="shared" si="46"/>
        <v>4</v>
      </c>
      <c r="D34" s="16">
        <f t="shared" si="47"/>
        <v>0</v>
      </c>
      <c r="E34" s="16">
        <f t="shared" si="48"/>
        <v>1</v>
      </c>
      <c r="F34" s="16">
        <f t="shared" si="49"/>
        <v>0</v>
      </c>
      <c r="G34" s="16">
        <f t="shared" si="50"/>
        <v>0</v>
      </c>
      <c r="H34" s="16">
        <f t="shared" si="51"/>
        <v>0</v>
      </c>
      <c r="I34" s="16">
        <f t="shared" si="52"/>
        <v>0</v>
      </c>
      <c r="J34" s="16">
        <f t="shared" si="53"/>
        <v>0</v>
      </c>
      <c r="K34" s="16">
        <f t="shared" si="54"/>
        <v>0</v>
      </c>
      <c r="L34" s="16">
        <f t="shared" si="55"/>
        <v>0</v>
      </c>
      <c r="M34" s="16">
        <f t="shared" si="56"/>
        <v>0</v>
      </c>
      <c r="N34" s="16">
        <f t="shared" si="57"/>
        <v>0</v>
      </c>
      <c r="O34" s="16">
        <f t="shared" si="58"/>
        <v>0</v>
      </c>
      <c r="P34" s="16">
        <f t="shared" si="59"/>
        <v>0</v>
      </c>
      <c r="Q34" s="16">
        <f t="shared" si="60"/>
        <v>1</v>
      </c>
      <c r="R34" s="16">
        <f t="shared" si="61"/>
        <v>4</v>
      </c>
      <c r="S34" s="24"/>
      <c r="T34" s="31">
        <f t="shared" si="62"/>
        <v>250</v>
      </c>
      <c r="U34" s="31">
        <f t="shared" si="63"/>
        <v>250</v>
      </c>
      <c r="AJ34" s="24"/>
      <c r="BA34" s="24"/>
      <c r="BR34" s="24"/>
      <c r="CI34" s="24"/>
      <c r="CZ34" s="24"/>
      <c r="DQ34" s="24"/>
      <c r="EH34" s="24"/>
      <c r="EY34" s="24"/>
      <c r="FP34" s="24"/>
      <c r="GG34" s="24"/>
      <c r="GX34" s="24"/>
      <c r="HO34" s="24"/>
      <c r="IF34" s="24"/>
    </row>
    <row r="35" spans="1:240" s="23" customFormat="1" x14ac:dyDescent="0.25">
      <c r="A35" s="30" t="str">
        <f t="shared" si="45"/>
        <v>ALEXANDER HERNANDEZ</v>
      </c>
      <c r="B35" s="47">
        <f t="shared" si="45"/>
        <v>23</v>
      </c>
      <c r="C35" s="16">
        <f t="shared" si="46"/>
        <v>0</v>
      </c>
      <c r="D35" s="16">
        <f t="shared" si="47"/>
        <v>1</v>
      </c>
      <c r="E35" s="16">
        <f t="shared" si="48"/>
        <v>0</v>
      </c>
      <c r="F35" s="16">
        <f t="shared" si="49"/>
        <v>0</v>
      </c>
      <c r="G35" s="16">
        <f t="shared" si="50"/>
        <v>0</v>
      </c>
      <c r="H35" s="16">
        <f t="shared" si="51"/>
        <v>0</v>
      </c>
      <c r="I35" s="16">
        <f t="shared" si="52"/>
        <v>1</v>
      </c>
      <c r="J35" s="16">
        <f t="shared" si="53"/>
        <v>0</v>
      </c>
      <c r="K35" s="16">
        <f t="shared" si="54"/>
        <v>3</v>
      </c>
      <c r="L35" s="16">
        <f t="shared" si="55"/>
        <v>3</v>
      </c>
      <c r="M35" s="16">
        <f t="shared" si="56"/>
        <v>0</v>
      </c>
      <c r="N35" s="16">
        <f t="shared" si="57"/>
        <v>0</v>
      </c>
      <c r="O35" s="16">
        <f t="shared" si="58"/>
        <v>0</v>
      </c>
      <c r="P35" s="16">
        <f t="shared" si="59"/>
        <v>0</v>
      </c>
      <c r="Q35" s="16">
        <f t="shared" si="60"/>
        <v>0</v>
      </c>
      <c r="R35" s="16">
        <f t="shared" si="61"/>
        <v>3</v>
      </c>
      <c r="S35" s="24"/>
      <c r="T35" s="31">
        <f t="shared" si="62"/>
        <v>0</v>
      </c>
      <c r="U35" s="31">
        <f t="shared" si="63"/>
        <v>0</v>
      </c>
      <c r="AJ35" s="24"/>
      <c r="BA35" s="24"/>
      <c r="BR35" s="24"/>
      <c r="CI35" s="24"/>
      <c r="CZ35" s="24"/>
      <c r="DQ35" s="24"/>
      <c r="EH35" s="24"/>
      <c r="EY35" s="24"/>
      <c r="FP35" s="24"/>
      <c r="GG35" s="24"/>
      <c r="GX35" s="24"/>
      <c r="HO35" s="24"/>
      <c r="IF35" s="24"/>
    </row>
    <row r="36" spans="1:240" s="23" customFormat="1" x14ac:dyDescent="0.25">
      <c r="A36" s="30" t="str">
        <f t="shared" si="45"/>
        <v>DANIEL LIENDO</v>
      </c>
      <c r="B36" s="47" t="str">
        <f t="shared" si="45"/>
        <v/>
      </c>
      <c r="C36" s="16">
        <f t="shared" si="46"/>
        <v>1</v>
      </c>
      <c r="D36" s="16">
        <f t="shared" si="47"/>
        <v>0</v>
      </c>
      <c r="E36" s="16">
        <f t="shared" si="48"/>
        <v>0</v>
      </c>
      <c r="F36" s="16">
        <f t="shared" si="49"/>
        <v>0</v>
      </c>
      <c r="G36" s="16">
        <f t="shared" si="50"/>
        <v>0</v>
      </c>
      <c r="H36" s="16">
        <f t="shared" si="51"/>
        <v>0</v>
      </c>
      <c r="I36" s="16">
        <f t="shared" si="52"/>
        <v>0</v>
      </c>
      <c r="J36" s="16">
        <f t="shared" si="53"/>
        <v>0</v>
      </c>
      <c r="K36" s="16">
        <f t="shared" si="54"/>
        <v>0</v>
      </c>
      <c r="L36" s="16">
        <f t="shared" si="55"/>
        <v>0</v>
      </c>
      <c r="M36" s="16">
        <f t="shared" si="56"/>
        <v>0</v>
      </c>
      <c r="N36" s="16">
        <f t="shared" si="57"/>
        <v>0</v>
      </c>
      <c r="O36" s="16">
        <f t="shared" si="58"/>
        <v>0</v>
      </c>
      <c r="P36" s="16">
        <f t="shared" si="59"/>
        <v>0</v>
      </c>
      <c r="Q36" s="16">
        <f t="shared" si="60"/>
        <v>0</v>
      </c>
      <c r="R36" s="16">
        <f t="shared" si="61"/>
        <v>1</v>
      </c>
      <c r="S36" s="24"/>
      <c r="T36" s="31">
        <f t="shared" si="62"/>
        <v>0</v>
      </c>
      <c r="U36" s="31">
        <f t="shared" si="63"/>
        <v>0</v>
      </c>
      <c r="AJ36" s="24"/>
      <c r="BA36" s="24"/>
      <c r="BR36" s="24"/>
      <c r="CI36" s="24"/>
      <c r="CZ36" s="24"/>
      <c r="DQ36" s="24"/>
      <c r="EH36" s="24"/>
      <c r="EY36" s="24"/>
      <c r="FP36" s="24"/>
      <c r="GG36" s="24"/>
      <c r="GX36" s="24"/>
      <c r="HO36" s="24"/>
      <c r="IF36" s="24"/>
    </row>
    <row r="37" spans="1:240" s="23" customFormat="1" x14ac:dyDescent="0.25">
      <c r="A37" s="30" t="str">
        <f t="shared" si="45"/>
        <v>SEBASTIAN MUJICA</v>
      </c>
      <c r="B37" s="47" t="str">
        <f t="shared" si="45"/>
        <v/>
      </c>
      <c r="C37" s="16">
        <f t="shared" si="46"/>
        <v>2</v>
      </c>
      <c r="D37" s="16">
        <f t="shared" si="47"/>
        <v>0</v>
      </c>
      <c r="E37" s="16">
        <f t="shared" si="48"/>
        <v>0</v>
      </c>
      <c r="F37" s="16">
        <f t="shared" si="49"/>
        <v>0</v>
      </c>
      <c r="G37" s="16">
        <f t="shared" si="50"/>
        <v>0</v>
      </c>
      <c r="H37" s="16">
        <f t="shared" si="51"/>
        <v>0</v>
      </c>
      <c r="I37" s="16">
        <f t="shared" si="52"/>
        <v>0</v>
      </c>
      <c r="J37" s="16">
        <f t="shared" si="53"/>
        <v>1</v>
      </c>
      <c r="K37" s="16">
        <f t="shared" si="54"/>
        <v>0</v>
      </c>
      <c r="L37" s="16">
        <f t="shared" si="55"/>
        <v>0</v>
      </c>
      <c r="M37" s="16">
        <f t="shared" si="56"/>
        <v>0</v>
      </c>
      <c r="N37" s="16">
        <f t="shared" si="57"/>
        <v>0</v>
      </c>
      <c r="O37" s="16">
        <f t="shared" si="58"/>
        <v>0</v>
      </c>
      <c r="P37" s="16">
        <f t="shared" si="59"/>
        <v>0</v>
      </c>
      <c r="Q37" s="16">
        <f t="shared" si="60"/>
        <v>0</v>
      </c>
      <c r="R37" s="16">
        <f t="shared" si="61"/>
        <v>2</v>
      </c>
      <c r="S37" s="24"/>
      <c r="T37" s="31">
        <f t="shared" si="62"/>
        <v>0</v>
      </c>
      <c r="U37" s="31">
        <f t="shared" si="63"/>
        <v>0</v>
      </c>
      <c r="AJ37" s="24"/>
      <c r="BA37" s="24"/>
      <c r="BR37" s="24"/>
      <c r="CI37" s="24"/>
      <c r="CZ37" s="24"/>
      <c r="DQ37" s="24"/>
      <c r="EH37" s="24"/>
      <c r="EY37" s="24"/>
      <c r="FP37" s="24"/>
      <c r="GG37" s="24"/>
      <c r="GX37" s="24"/>
      <c r="HO37" s="24"/>
      <c r="IF37" s="24"/>
    </row>
    <row r="38" spans="1:240" s="23" customFormat="1" x14ac:dyDescent="0.25">
      <c r="A38" s="30" t="str">
        <f t="shared" si="45"/>
        <v>ANGEL RODRIGUEZ</v>
      </c>
      <c r="B38" s="47" t="str">
        <f t="shared" si="45"/>
        <v/>
      </c>
      <c r="C38" s="16">
        <f t="shared" si="46"/>
        <v>3</v>
      </c>
      <c r="D38" s="16">
        <f t="shared" si="47"/>
        <v>2</v>
      </c>
      <c r="E38" s="16">
        <f t="shared" si="48"/>
        <v>2</v>
      </c>
      <c r="F38" s="16">
        <f t="shared" si="49"/>
        <v>0</v>
      </c>
      <c r="G38" s="16">
        <f t="shared" si="50"/>
        <v>0</v>
      </c>
      <c r="H38" s="16">
        <f t="shared" si="51"/>
        <v>0</v>
      </c>
      <c r="I38" s="16">
        <f t="shared" si="52"/>
        <v>1</v>
      </c>
      <c r="J38" s="16">
        <f t="shared" si="53"/>
        <v>1</v>
      </c>
      <c r="K38" s="16">
        <f t="shared" si="54"/>
        <v>0</v>
      </c>
      <c r="L38" s="16">
        <f t="shared" si="55"/>
        <v>1</v>
      </c>
      <c r="M38" s="16">
        <f t="shared" si="56"/>
        <v>0</v>
      </c>
      <c r="N38" s="16">
        <f t="shared" si="57"/>
        <v>0</v>
      </c>
      <c r="O38" s="16">
        <f t="shared" si="58"/>
        <v>0</v>
      </c>
      <c r="P38" s="16">
        <f t="shared" si="59"/>
        <v>0</v>
      </c>
      <c r="Q38" s="16">
        <f t="shared" si="60"/>
        <v>2</v>
      </c>
      <c r="R38" s="16">
        <f t="shared" si="61"/>
        <v>3</v>
      </c>
      <c r="S38" s="24"/>
      <c r="T38" s="31">
        <f t="shared" si="62"/>
        <v>666.66666666666663</v>
      </c>
      <c r="U38" s="31">
        <f t="shared" si="63"/>
        <v>666.66666666666663</v>
      </c>
      <c r="AJ38" s="24"/>
      <c r="BA38" s="24"/>
      <c r="BR38" s="24"/>
      <c r="CI38" s="24"/>
      <c r="CZ38" s="24"/>
      <c r="DQ38" s="24"/>
      <c r="EH38" s="24"/>
      <c r="EY38" s="24"/>
      <c r="FP38" s="24"/>
      <c r="GG38" s="24"/>
      <c r="GX38" s="24"/>
      <c r="HO38" s="24"/>
      <c r="IF38" s="24"/>
    </row>
    <row r="39" spans="1:240" s="23" customFormat="1" x14ac:dyDescent="0.25">
      <c r="A39" s="30" t="str">
        <f t="shared" si="45"/>
        <v>FRANCISCO MONASTERIO</v>
      </c>
      <c r="B39" s="47" t="str">
        <f t="shared" si="45"/>
        <v/>
      </c>
      <c r="C39" s="16">
        <f t="shared" si="46"/>
        <v>3</v>
      </c>
      <c r="D39" s="16">
        <f t="shared" si="47"/>
        <v>1</v>
      </c>
      <c r="E39" s="16">
        <f t="shared" si="48"/>
        <v>2</v>
      </c>
      <c r="F39" s="16">
        <f t="shared" si="49"/>
        <v>0</v>
      </c>
      <c r="G39" s="16">
        <f t="shared" si="50"/>
        <v>1</v>
      </c>
      <c r="H39" s="16">
        <f t="shared" si="51"/>
        <v>0</v>
      </c>
      <c r="I39" s="16">
        <f t="shared" si="52"/>
        <v>0</v>
      </c>
      <c r="J39" s="16">
        <f t="shared" si="53"/>
        <v>0</v>
      </c>
      <c r="K39" s="16">
        <f t="shared" si="54"/>
        <v>0</v>
      </c>
      <c r="L39" s="16">
        <f t="shared" si="55"/>
        <v>0</v>
      </c>
      <c r="M39" s="16">
        <f t="shared" si="56"/>
        <v>0</v>
      </c>
      <c r="N39" s="16">
        <f t="shared" si="57"/>
        <v>0</v>
      </c>
      <c r="O39" s="16">
        <f t="shared" si="58"/>
        <v>0</v>
      </c>
      <c r="P39" s="16">
        <f t="shared" si="59"/>
        <v>0</v>
      </c>
      <c r="Q39" s="16">
        <f t="shared" si="60"/>
        <v>4</v>
      </c>
      <c r="R39" s="16">
        <f t="shared" si="61"/>
        <v>3</v>
      </c>
      <c r="S39" s="24"/>
      <c r="T39" s="31">
        <f t="shared" si="62"/>
        <v>666.66666666666663</v>
      </c>
      <c r="U39" s="31">
        <f t="shared" si="63"/>
        <v>1333.3333333333333</v>
      </c>
      <c r="AJ39" s="24"/>
      <c r="BA39" s="24"/>
      <c r="BR39" s="24"/>
      <c r="CI39" s="24"/>
      <c r="CZ39" s="24"/>
      <c r="DQ39" s="24"/>
      <c r="EH39" s="24"/>
      <c r="EY39" s="24"/>
      <c r="FP39" s="24"/>
      <c r="GG39" s="24"/>
      <c r="GX39" s="24"/>
      <c r="HO39" s="24"/>
      <c r="IF39" s="24"/>
    </row>
    <row r="40" spans="1:240" s="23" customFormat="1" x14ac:dyDescent="0.25">
      <c r="A40" s="30" t="str">
        <f t="shared" si="45"/>
        <v>MARCOS MORALES</v>
      </c>
      <c r="B40" s="47" t="str">
        <f t="shared" si="45"/>
        <v/>
      </c>
      <c r="C40" s="16">
        <f t="shared" si="46"/>
        <v>3</v>
      </c>
      <c r="D40" s="16">
        <f t="shared" si="47"/>
        <v>2</v>
      </c>
      <c r="E40" s="16">
        <f t="shared" si="48"/>
        <v>2</v>
      </c>
      <c r="F40" s="16">
        <f t="shared" si="49"/>
        <v>1</v>
      </c>
      <c r="G40" s="16">
        <f t="shared" si="50"/>
        <v>0</v>
      </c>
      <c r="H40" s="16">
        <f t="shared" si="51"/>
        <v>0</v>
      </c>
      <c r="I40" s="16">
        <f t="shared" si="52"/>
        <v>2</v>
      </c>
      <c r="J40" s="16">
        <f t="shared" si="53"/>
        <v>1</v>
      </c>
      <c r="K40" s="16">
        <f t="shared" si="54"/>
        <v>0</v>
      </c>
      <c r="L40" s="16">
        <f t="shared" si="55"/>
        <v>3</v>
      </c>
      <c r="M40" s="16">
        <f t="shared" si="56"/>
        <v>0</v>
      </c>
      <c r="N40" s="16">
        <f t="shared" si="57"/>
        <v>0</v>
      </c>
      <c r="O40" s="16">
        <f t="shared" si="58"/>
        <v>0</v>
      </c>
      <c r="P40" s="16">
        <f t="shared" si="59"/>
        <v>0</v>
      </c>
      <c r="Q40" s="16">
        <f t="shared" si="60"/>
        <v>3</v>
      </c>
      <c r="R40" s="16">
        <f t="shared" si="61"/>
        <v>3</v>
      </c>
      <c r="S40" s="24"/>
      <c r="T40" s="31">
        <f t="shared" si="62"/>
        <v>666.66666666666663</v>
      </c>
      <c r="U40" s="31">
        <f t="shared" si="63"/>
        <v>1000</v>
      </c>
      <c r="AJ40" s="24"/>
      <c r="BA40" s="24"/>
      <c r="BR40" s="24"/>
      <c r="CI40" s="24"/>
      <c r="CZ40" s="24"/>
      <c r="DQ40" s="24"/>
      <c r="EH40" s="24"/>
      <c r="EY40" s="24"/>
      <c r="FP40" s="24"/>
      <c r="GG40" s="24"/>
      <c r="GX40" s="24"/>
      <c r="HO40" s="24"/>
      <c r="IF40" s="24"/>
    </row>
    <row r="41" spans="1:240" s="23" customFormat="1" x14ac:dyDescent="0.25">
      <c r="A41" s="30" t="str">
        <f t="shared" si="45"/>
        <v>ADRIAN MURILLO</v>
      </c>
      <c r="B41" s="47" t="str">
        <f t="shared" si="45"/>
        <v/>
      </c>
      <c r="C41" s="16">
        <f t="shared" si="46"/>
        <v>2</v>
      </c>
      <c r="D41" s="16">
        <f t="shared" si="47"/>
        <v>1</v>
      </c>
      <c r="E41" s="16">
        <f t="shared" si="48"/>
        <v>0</v>
      </c>
      <c r="F41" s="16">
        <f t="shared" si="49"/>
        <v>0</v>
      </c>
      <c r="G41" s="16">
        <f t="shared" si="50"/>
        <v>0</v>
      </c>
      <c r="H41" s="16">
        <f t="shared" si="51"/>
        <v>0</v>
      </c>
      <c r="I41" s="16">
        <f t="shared" si="52"/>
        <v>0</v>
      </c>
      <c r="J41" s="16">
        <f t="shared" si="53"/>
        <v>1</v>
      </c>
      <c r="K41" s="16">
        <f t="shared" si="54"/>
        <v>1</v>
      </c>
      <c r="L41" s="16">
        <f t="shared" si="55"/>
        <v>1</v>
      </c>
      <c r="M41" s="16">
        <f t="shared" si="56"/>
        <v>0</v>
      </c>
      <c r="N41" s="16">
        <f t="shared" si="57"/>
        <v>0</v>
      </c>
      <c r="O41" s="16">
        <f t="shared" si="58"/>
        <v>0</v>
      </c>
      <c r="P41" s="16">
        <f t="shared" si="59"/>
        <v>0</v>
      </c>
      <c r="Q41" s="16">
        <f t="shared" si="60"/>
        <v>0</v>
      </c>
      <c r="R41" s="16">
        <f t="shared" si="61"/>
        <v>3</v>
      </c>
      <c r="S41" s="24"/>
      <c r="T41" s="31">
        <f t="shared" si="62"/>
        <v>0</v>
      </c>
      <c r="U41" s="31">
        <f t="shared" si="63"/>
        <v>0</v>
      </c>
      <c r="AJ41" s="24"/>
      <c r="BA41" s="24"/>
      <c r="BR41" s="24"/>
      <c r="CI41" s="24"/>
      <c r="CZ41" s="24"/>
      <c r="DQ41" s="24"/>
      <c r="EH41" s="24"/>
      <c r="EY41" s="24"/>
      <c r="FP41" s="24"/>
      <c r="GG41" s="24"/>
      <c r="GX41" s="24"/>
      <c r="HO41" s="24"/>
      <c r="IF41" s="24"/>
    </row>
    <row r="42" spans="1:240" s="23" customFormat="1" x14ac:dyDescent="0.25">
      <c r="A42" s="30" t="str">
        <f t="shared" si="45"/>
        <v>DARGREYBER RODRIGUEZ</v>
      </c>
      <c r="B42" s="47" t="str">
        <f t="shared" si="45"/>
        <v/>
      </c>
      <c r="C42" s="16">
        <f t="shared" si="46"/>
        <v>0</v>
      </c>
      <c r="D42" s="16">
        <f t="shared" si="47"/>
        <v>0</v>
      </c>
      <c r="E42" s="16">
        <f t="shared" si="48"/>
        <v>0</v>
      </c>
      <c r="F42" s="16">
        <f t="shared" si="49"/>
        <v>0</v>
      </c>
      <c r="G42" s="16">
        <f t="shared" si="50"/>
        <v>0</v>
      </c>
      <c r="H42" s="16">
        <f t="shared" si="51"/>
        <v>0</v>
      </c>
      <c r="I42" s="16">
        <f t="shared" si="52"/>
        <v>0</v>
      </c>
      <c r="J42" s="16">
        <f t="shared" si="53"/>
        <v>0</v>
      </c>
      <c r="K42" s="16">
        <f t="shared" si="54"/>
        <v>0</v>
      </c>
      <c r="L42" s="16">
        <f t="shared" si="55"/>
        <v>0</v>
      </c>
      <c r="M42" s="16">
        <f t="shared" si="56"/>
        <v>0</v>
      </c>
      <c r="N42" s="16">
        <f t="shared" si="57"/>
        <v>0</v>
      </c>
      <c r="O42" s="16">
        <f t="shared" si="58"/>
        <v>0</v>
      </c>
      <c r="P42" s="16">
        <f t="shared" si="59"/>
        <v>0</v>
      </c>
      <c r="Q42" s="16">
        <f t="shared" si="60"/>
        <v>0</v>
      </c>
      <c r="R42" s="16">
        <f t="shared" si="61"/>
        <v>0</v>
      </c>
      <c r="S42" s="24"/>
      <c r="T42" s="31">
        <f t="shared" si="62"/>
        <v>0</v>
      </c>
      <c r="U42" s="31">
        <f t="shared" si="63"/>
        <v>0</v>
      </c>
      <c r="AJ42" s="24"/>
      <c r="BA42" s="24"/>
      <c r="BR42" s="24"/>
      <c r="CI42" s="24"/>
      <c r="CZ42" s="24"/>
      <c r="DQ42" s="24"/>
      <c r="EH42" s="24"/>
      <c r="EY42" s="24"/>
      <c r="FP42" s="24"/>
      <c r="GG42" s="24"/>
      <c r="GX42" s="24"/>
      <c r="HO42" s="24"/>
      <c r="IF42" s="24"/>
    </row>
    <row r="43" spans="1:240" s="23" customFormat="1" x14ac:dyDescent="0.25">
      <c r="A43" s="30" t="str">
        <f t="shared" si="45"/>
        <v>JENSE FLORES</v>
      </c>
      <c r="B43" s="47" t="str">
        <f t="shared" si="45"/>
        <v/>
      </c>
      <c r="C43" s="16">
        <f t="shared" si="46"/>
        <v>0</v>
      </c>
      <c r="D43" s="16">
        <f t="shared" si="47"/>
        <v>0</v>
      </c>
      <c r="E43" s="16">
        <f t="shared" si="48"/>
        <v>0</v>
      </c>
      <c r="F43" s="16">
        <f t="shared" si="49"/>
        <v>0</v>
      </c>
      <c r="G43" s="16">
        <f t="shared" si="50"/>
        <v>0</v>
      </c>
      <c r="H43" s="16">
        <f t="shared" si="51"/>
        <v>0</v>
      </c>
      <c r="I43" s="16">
        <f t="shared" si="52"/>
        <v>0</v>
      </c>
      <c r="J43" s="16">
        <f t="shared" si="53"/>
        <v>0</v>
      </c>
      <c r="K43" s="16">
        <f t="shared" si="54"/>
        <v>0</v>
      </c>
      <c r="L43" s="16">
        <f t="shared" si="55"/>
        <v>0</v>
      </c>
      <c r="M43" s="16">
        <f t="shared" si="56"/>
        <v>0</v>
      </c>
      <c r="N43" s="16">
        <f t="shared" si="57"/>
        <v>0</v>
      </c>
      <c r="O43" s="16">
        <f t="shared" si="58"/>
        <v>0</v>
      </c>
      <c r="P43" s="16">
        <f t="shared" si="59"/>
        <v>0</v>
      </c>
      <c r="Q43" s="16">
        <f t="shared" si="60"/>
        <v>0</v>
      </c>
      <c r="R43" s="16">
        <f t="shared" si="61"/>
        <v>0</v>
      </c>
      <c r="S43" s="24"/>
      <c r="T43" s="31">
        <f t="shared" si="62"/>
        <v>0</v>
      </c>
      <c r="U43" s="31">
        <f t="shared" si="63"/>
        <v>0</v>
      </c>
      <c r="AJ43" s="24"/>
      <c r="BA43" s="24"/>
      <c r="BR43" s="24"/>
      <c r="CI43" s="24"/>
      <c r="CZ43" s="24"/>
      <c r="DQ43" s="24"/>
      <c r="EH43" s="24"/>
      <c r="EY43" s="24"/>
      <c r="FP43" s="24"/>
      <c r="GG43" s="24"/>
      <c r="GX43" s="24"/>
      <c r="HO43" s="24"/>
      <c r="IF43" s="24"/>
    </row>
    <row r="44" spans="1:240" s="23" customFormat="1" x14ac:dyDescent="0.25">
      <c r="A44" s="30" t="str">
        <f t="shared" si="45"/>
        <v/>
      </c>
      <c r="B44" s="47" t="str">
        <f t="shared" si="45"/>
        <v/>
      </c>
      <c r="C44" s="16">
        <f t="shared" si="46"/>
        <v>0</v>
      </c>
      <c r="D44" s="16">
        <f t="shared" si="47"/>
        <v>0</v>
      </c>
      <c r="E44" s="16">
        <f t="shared" si="48"/>
        <v>0</v>
      </c>
      <c r="F44" s="16">
        <f t="shared" si="49"/>
        <v>0</v>
      </c>
      <c r="G44" s="16">
        <f t="shared" si="50"/>
        <v>0</v>
      </c>
      <c r="H44" s="16">
        <f t="shared" si="51"/>
        <v>0</v>
      </c>
      <c r="I44" s="16">
        <f t="shared" si="52"/>
        <v>0</v>
      </c>
      <c r="J44" s="16">
        <f t="shared" si="53"/>
        <v>0</v>
      </c>
      <c r="K44" s="16">
        <f t="shared" si="54"/>
        <v>0</v>
      </c>
      <c r="L44" s="16">
        <f t="shared" si="55"/>
        <v>0</v>
      </c>
      <c r="M44" s="16">
        <f t="shared" si="56"/>
        <v>0</v>
      </c>
      <c r="N44" s="16">
        <f t="shared" si="57"/>
        <v>0</v>
      </c>
      <c r="O44" s="16">
        <f t="shared" si="58"/>
        <v>0</v>
      </c>
      <c r="P44" s="16">
        <f t="shared" si="59"/>
        <v>0</v>
      </c>
      <c r="Q44" s="16">
        <f t="shared" si="60"/>
        <v>0</v>
      </c>
      <c r="R44" s="16">
        <f t="shared" si="61"/>
        <v>0</v>
      </c>
      <c r="S44" s="24"/>
      <c r="T44" s="31">
        <f t="shared" si="62"/>
        <v>0</v>
      </c>
      <c r="U44" s="31">
        <f t="shared" si="63"/>
        <v>0</v>
      </c>
      <c r="AJ44" s="24"/>
      <c r="BA44" s="24"/>
      <c r="BR44" s="24"/>
      <c r="CI44" s="24"/>
      <c r="CZ44" s="24"/>
      <c r="DQ44" s="24"/>
      <c r="EH44" s="24"/>
      <c r="EY44" s="24"/>
      <c r="FP44" s="24"/>
      <c r="GG44" s="24"/>
      <c r="GX44" s="24"/>
      <c r="HO44" s="24"/>
      <c r="IF44" s="24"/>
    </row>
    <row r="45" spans="1:240" s="23" customFormat="1" x14ac:dyDescent="0.25">
      <c r="A45" s="30" t="str">
        <f t="shared" si="45"/>
        <v/>
      </c>
      <c r="B45" s="47" t="str">
        <f t="shared" si="45"/>
        <v/>
      </c>
      <c r="C45" s="16">
        <f t="shared" si="46"/>
        <v>0</v>
      </c>
      <c r="D45" s="16">
        <f t="shared" si="47"/>
        <v>0</v>
      </c>
      <c r="E45" s="16">
        <f t="shared" si="48"/>
        <v>0</v>
      </c>
      <c r="F45" s="16">
        <f t="shared" si="49"/>
        <v>0</v>
      </c>
      <c r="G45" s="16">
        <f t="shared" si="50"/>
        <v>0</v>
      </c>
      <c r="H45" s="16">
        <f t="shared" si="51"/>
        <v>0</v>
      </c>
      <c r="I45" s="16">
        <f t="shared" si="52"/>
        <v>0</v>
      </c>
      <c r="J45" s="16">
        <f t="shared" si="53"/>
        <v>0</v>
      </c>
      <c r="K45" s="16">
        <f t="shared" si="54"/>
        <v>0</v>
      </c>
      <c r="L45" s="16">
        <f t="shared" si="55"/>
        <v>0</v>
      </c>
      <c r="M45" s="16">
        <f t="shared" si="56"/>
        <v>0</v>
      </c>
      <c r="N45" s="16">
        <f t="shared" si="57"/>
        <v>0</v>
      </c>
      <c r="O45" s="16">
        <f t="shared" si="58"/>
        <v>0</v>
      </c>
      <c r="P45" s="16">
        <f t="shared" si="59"/>
        <v>0</v>
      </c>
      <c r="Q45" s="16">
        <f t="shared" si="60"/>
        <v>0</v>
      </c>
      <c r="R45" s="16">
        <f t="shared" si="61"/>
        <v>0</v>
      </c>
      <c r="S45" s="24"/>
      <c r="T45" s="31">
        <f t="shared" si="62"/>
        <v>0</v>
      </c>
      <c r="U45" s="31">
        <f t="shared" si="63"/>
        <v>0</v>
      </c>
      <c r="AJ45" s="24"/>
      <c r="BA45" s="24"/>
      <c r="BR45" s="24"/>
      <c r="CI45" s="24"/>
      <c r="CZ45" s="24"/>
      <c r="DQ45" s="24"/>
      <c r="EH45" s="24"/>
      <c r="EY45" s="24"/>
      <c r="FP45" s="24"/>
      <c r="GG45" s="24"/>
      <c r="GX45" s="24"/>
      <c r="HO45" s="24"/>
      <c r="IF45" s="24"/>
    </row>
    <row r="46" spans="1:240" s="23" customFormat="1" x14ac:dyDescent="0.25">
      <c r="A46" s="30" t="str">
        <f t="shared" si="45"/>
        <v/>
      </c>
      <c r="B46" s="47" t="str">
        <f t="shared" si="45"/>
        <v/>
      </c>
      <c r="C46" s="16">
        <f t="shared" si="46"/>
        <v>0</v>
      </c>
      <c r="D46" s="16">
        <f t="shared" si="47"/>
        <v>0</v>
      </c>
      <c r="E46" s="16">
        <f t="shared" si="48"/>
        <v>0</v>
      </c>
      <c r="F46" s="16">
        <f t="shared" si="49"/>
        <v>0</v>
      </c>
      <c r="G46" s="16">
        <f t="shared" si="50"/>
        <v>0</v>
      </c>
      <c r="H46" s="16">
        <f t="shared" si="51"/>
        <v>0</v>
      </c>
      <c r="I46" s="16">
        <f t="shared" si="52"/>
        <v>0</v>
      </c>
      <c r="J46" s="16">
        <f t="shared" si="53"/>
        <v>0</v>
      </c>
      <c r="K46" s="16">
        <f t="shared" si="54"/>
        <v>0</v>
      </c>
      <c r="L46" s="16">
        <f t="shared" si="55"/>
        <v>0</v>
      </c>
      <c r="M46" s="16">
        <f t="shared" si="56"/>
        <v>0</v>
      </c>
      <c r="N46" s="16">
        <f t="shared" si="57"/>
        <v>0</v>
      </c>
      <c r="O46" s="16">
        <f t="shared" si="58"/>
        <v>0</v>
      </c>
      <c r="P46" s="16">
        <f t="shared" si="59"/>
        <v>0</v>
      </c>
      <c r="Q46" s="16">
        <f t="shared" si="60"/>
        <v>0</v>
      </c>
      <c r="R46" s="16">
        <f t="shared" si="61"/>
        <v>0</v>
      </c>
      <c r="S46" s="24"/>
      <c r="T46" s="31">
        <f t="shared" si="62"/>
        <v>0</v>
      </c>
      <c r="U46" s="31">
        <f t="shared" si="63"/>
        <v>0</v>
      </c>
      <c r="AJ46" s="24"/>
      <c r="BA46" s="24"/>
      <c r="BR46" s="24"/>
      <c r="CI46" s="24"/>
      <c r="CZ46" s="24"/>
      <c r="DQ46" s="24"/>
      <c r="EH46" s="24"/>
      <c r="EY46" s="24"/>
      <c r="FP46" s="24"/>
      <c r="GG46" s="24"/>
      <c r="GX46" s="24"/>
      <c r="HO46" s="24"/>
      <c r="IF46" s="24"/>
    </row>
    <row r="47" spans="1:240" x14ac:dyDescent="0.25">
      <c r="A47" s="30" t="str">
        <f t="shared" si="45"/>
        <v/>
      </c>
      <c r="B47" s="47" t="str">
        <f t="shared" si="45"/>
        <v/>
      </c>
      <c r="C47" s="16">
        <f t="shared" si="46"/>
        <v>0</v>
      </c>
      <c r="D47" s="16">
        <f t="shared" si="47"/>
        <v>0</v>
      </c>
      <c r="E47" s="16">
        <f t="shared" si="48"/>
        <v>0</v>
      </c>
      <c r="F47" s="16">
        <f t="shared" si="49"/>
        <v>0</v>
      </c>
      <c r="G47" s="16">
        <f t="shared" si="50"/>
        <v>0</v>
      </c>
      <c r="H47" s="16">
        <f t="shared" si="51"/>
        <v>0</v>
      </c>
      <c r="I47" s="16">
        <f t="shared" si="52"/>
        <v>0</v>
      </c>
      <c r="J47" s="16">
        <f t="shared" si="53"/>
        <v>0</v>
      </c>
      <c r="K47" s="16">
        <f t="shared" si="54"/>
        <v>0</v>
      </c>
      <c r="L47" s="16">
        <f t="shared" si="55"/>
        <v>0</v>
      </c>
      <c r="M47" s="16">
        <f t="shared" si="56"/>
        <v>0</v>
      </c>
      <c r="N47" s="16">
        <f t="shared" si="57"/>
        <v>0</v>
      </c>
      <c r="O47" s="16">
        <f t="shared" si="58"/>
        <v>0</v>
      </c>
      <c r="P47" s="16">
        <f t="shared" si="59"/>
        <v>0</v>
      </c>
      <c r="Q47" s="16">
        <f t="shared" si="60"/>
        <v>0</v>
      </c>
      <c r="R47" s="16">
        <f t="shared" si="61"/>
        <v>0</v>
      </c>
      <c r="S47" s="2"/>
      <c r="T47" s="31">
        <f t="shared" si="62"/>
        <v>0</v>
      </c>
      <c r="U47" s="31">
        <f t="shared" si="63"/>
        <v>0</v>
      </c>
      <c r="AJ47" s="2"/>
      <c r="BA47" s="2"/>
      <c r="BR47" s="2"/>
      <c r="CI47" s="2"/>
      <c r="CZ47" s="2"/>
      <c r="DQ47" s="2"/>
      <c r="EH47" s="2"/>
      <c r="EY47" s="2"/>
      <c r="FP47" s="2"/>
      <c r="GG47" s="2"/>
      <c r="GX47" s="2"/>
      <c r="HO47" s="2"/>
      <c r="IF47" s="2"/>
    </row>
    <row r="48" spans="1:240" x14ac:dyDescent="0.25">
      <c r="A48" s="30" t="str">
        <f t="shared" si="45"/>
        <v/>
      </c>
      <c r="B48" s="47" t="str">
        <f t="shared" si="45"/>
        <v/>
      </c>
      <c r="C48" s="16">
        <f t="shared" si="46"/>
        <v>0</v>
      </c>
      <c r="D48" s="16">
        <f t="shared" si="47"/>
        <v>0</v>
      </c>
      <c r="E48" s="16">
        <f t="shared" si="48"/>
        <v>0</v>
      </c>
      <c r="F48" s="16">
        <f t="shared" si="49"/>
        <v>0</v>
      </c>
      <c r="G48" s="16">
        <f t="shared" si="50"/>
        <v>0</v>
      </c>
      <c r="H48" s="16">
        <f t="shared" si="51"/>
        <v>0</v>
      </c>
      <c r="I48" s="16">
        <f t="shared" si="52"/>
        <v>0</v>
      </c>
      <c r="J48" s="16">
        <f t="shared" si="53"/>
        <v>0</v>
      </c>
      <c r="K48" s="16">
        <f t="shared" si="54"/>
        <v>0</v>
      </c>
      <c r="L48" s="16">
        <f t="shared" si="55"/>
        <v>0</v>
      </c>
      <c r="M48" s="16">
        <f t="shared" si="56"/>
        <v>0</v>
      </c>
      <c r="N48" s="16">
        <f t="shared" si="57"/>
        <v>0</v>
      </c>
      <c r="O48" s="16">
        <f t="shared" si="58"/>
        <v>0</v>
      </c>
      <c r="P48" s="16">
        <f t="shared" si="59"/>
        <v>0</v>
      </c>
      <c r="Q48" s="16">
        <f t="shared" si="60"/>
        <v>0</v>
      </c>
      <c r="R48" s="16">
        <f t="shared" si="61"/>
        <v>0</v>
      </c>
      <c r="S48" s="2"/>
      <c r="T48" s="31">
        <f t="shared" si="62"/>
        <v>0</v>
      </c>
      <c r="U48" s="31">
        <f t="shared" si="63"/>
        <v>0</v>
      </c>
      <c r="AJ48" s="2"/>
      <c r="BA48" s="2"/>
      <c r="BR48" s="2"/>
      <c r="CI48" s="2"/>
      <c r="CZ48" s="2"/>
      <c r="DQ48" s="2"/>
      <c r="EH48" s="2"/>
      <c r="EY48" s="2"/>
      <c r="FP48" s="2"/>
      <c r="GG48" s="2"/>
      <c r="GX48" s="2"/>
      <c r="HO48" s="2"/>
      <c r="IF48" s="2"/>
    </row>
    <row r="49" spans="1:240" x14ac:dyDescent="0.25">
      <c r="A49" s="30" t="str">
        <f t="shared" si="45"/>
        <v/>
      </c>
      <c r="B49" s="47" t="str">
        <f t="shared" si="45"/>
        <v/>
      </c>
      <c r="C49" s="16">
        <f t="shared" si="46"/>
        <v>0</v>
      </c>
      <c r="D49" s="16">
        <f t="shared" si="47"/>
        <v>0</v>
      </c>
      <c r="E49" s="16">
        <f t="shared" si="48"/>
        <v>0</v>
      </c>
      <c r="F49" s="16">
        <f t="shared" si="49"/>
        <v>0</v>
      </c>
      <c r="G49" s="16">
        <f t="shared" si="50"/>
        <v>0</v>
      </c>
      <c r="H49" s="16">
        <f t="shared" si="51"/>
        <v>0</v>
      </c>
      <c r="I49" s="16">
        <f t="shared" si="52"/>
        <v>0</v>
      </c>
      <c r="J49" s="16">
        <f t="shared" si="53"/>
        <v>0</v>
      </c>
      <c r="K49" s="16">
        <f t="shared" si="54"/>
        <v>0</v>
      </c>
      <c r="L49" s="16">
        <f t="shared" si="55"/>
        <v>0</v>
      </c>
      <c r="M49" s="16">
        <f t="shared" si="56"/>
        <v>0</v>
      </c>
      <c r="N49" s="16">
        <f t="shared" si="57"/>
        <v>0</v>
      </c>
      <c r="O49" s="16">
        <f t="shared" si="58"/>
        <v>0</v>
      </c>
      <c r="P49" s="16">
        <f t="shared" si="59"/>
        <v>0</v>
      </c>
      <c r="Q49" s="16">
        <f t="shared" si="60"/>
        <v>0</v>
      </c>
      <c r="R49" s="16">
        <f t="shared" si="61"/>
        <v>0</v>
      </c>
      <c r="S49" s="2"/>
      <c r="T49" s="31">
        <f t="shared" si="62"/>
        <v>0</v>
      </c>
      <c r="U49" s="31">
        <f t="shared" si="63"/>
        <v>0</v>
      </c>
      <c r="AJ49" s="2"/>
      <c r="BA49" s="2"/>
      <c r="BR49" s="2"/>
      <c r="CI49" s="2"/>
      <c r="CZ49" s="2"/>
      <c r="DQ49" s="2"/>
      <c r="EH49" s="2"/>
      <c r="EY49" s="2"/>
      <c r="FP49" s="2"/>
      <c r="GG49" s="2"/>
      <c r="GX49" s="2"/>
      <c r="HO49" s="2"/>
      <c r="IF49" s="2"/>
    </row>
    <row r="50" spans="1:240" ht="13.8" thickBot="1" x14ac:dyDescent="0.3">
      <c r="A50" s="30" t="str">
        <f t="shared" si="45"/>
        <v/>
      </c>
      <c r="B50" s="47" t="str">
        <f t="shared" si="45"/>
        <v/>
      </c>
      <c r="C50" s="16">
        <f t="shared" si="46"/>
        <v>0</v>
      </c>
      <c r="D50" s="16">
        <f t="shared" si="47"/>
        <v>0</v>
      </c>
      <c r="E50" s="16">
        <f t="shared" si="48"/>
        <v>0</v>
      </c>
      <c r="F50" s="16">
        <f t="shared" si="49"/>
        <v>0</v>
      </c>
      <c r="G50" s="16">
        <f t="shared" si="50"/>
        <v>0</v>
      </c>
      <c r="H50" s="16">
        <f t="shared" si="51"/>
        <v>0</v>
      </c>
      <c r="I50" s="16">
        <f t="shared" si="52"/>
        <v>0</v>
      </c>
      <c r="J50" s="16">
        <f t="shared" si="53"/>
        <v>0</v>
      </c>
      <c r="K50" s="16">
        <f t="shared" si="54"/>
        <v>0</v>
      </c>
      <c r="L50" s="16">
        <f t="shared" si="55"/>
        <v>0</v>
      </c>
      <c r="M50" s="16">
        <f t="shared" si="56"/>
        <v>0</v>
      </c>
      <c r="N50" s="16">
        <f t="shared" si="57"/>
        <v>0</v>
      </c>
      <c r="O50" s="16">
        <f t="shared" si="58"/>
        <v>0</v>
      </c>
      <c r="P50" s="16">
        <f t="shared" si="59"/>
        <v>0</v>
      </c>
      <c r="Q50" s="16">
        <f t="shared" si="60"/>
        <v>0</v>
      </c>
      <c r="R50" s="16">
        <f t="shared" si="61"/>
        <v>0</v>
      </c>
      <c r="S50" s="2"/>
      <c r="T50" s="31">
        <f t="shared" si="62"/>
        <v>0</v>
      </c>
      <c r="U50" s="31">
        <f t="shared" si="63"/>
        <v>0</v>
      </c>
      <c r="AJ50" s="2"/>
      <c r="BA50" s="2"/>
      <c r="BR50" s="2"/>
      <c r="CI50" s="2"/>
      <c r="CZ50" s="2"/>
      <c r="DQ50" s="2"/>
      <c r="EH50" s="2"/>
      <c r="EY50" s="2"/>
      <c r="FP50" s="2"/>
      <c r="GG50" s="2"/>
      <c r="GX50" s="2"/>
      <c r="HO50" s="2"/>
      <c r="IF50" s="2"/>
    </row>
    <row r="51" spans="1:240" ht="13.8" thickBot="1" x14ac:dyDescent="0.3">
      <c r="A51" s="62" t="s">
        <v>48</v>
      </c>
      <c r="B51" s="63"/>
      <c r="C51" s="32">
        <f>SUM(C32:C50)</f>
        <v>25</v>
      </c>
      <c r="D51" s="32">
        <f t="shared" ref="D51:P51" si="64">SUM(D32:D50)</f>
        <v>10</v>
      </c>
      <c r="E51" s="32">
        <f t="shared" si="64"/>
        <v>9</v>
      </c>
      <c r="F51" s="32">
        <f t="shared" si="64"/>
        <v>2</v>
      </c>
      <c r="G51" s="32">
        <f t="shared" si="64"/>
        <v>1</v>
      </c>
      <c r="H51" s="32">
        <f t="shared" si="64"/>
        <v>0</v>
      </c>
      <c r="I51" s="32">
        <f t="shared" si="64"/>
        <v>4</v>
      </c>
      <c r="J51" s="32">
        <f t="shared" si="64"/>
        <v>4</v>
      </c>
      <c r="K51" s="32">
        <f t="shared" si="64"/>
        <v>5</v>
      </c>
      <c r="L51" s="32">
        <f t="shared" si="64"/>
        <v>9</v>
      </c>
      <c r="M51" s="32">
        <f t="shared" si="64"/>
        <v>0</v>
      </c>
      <c r="N51" s="32">
        <f t="shared" si="64"/>
        <v>0</v>
      </c>
      <c r="O51" s="32">
        <f t="shared" si="64"/>
        <v>0</v>
      </c>
      <c r="P51" s="32">
        <f t="shared" si="64"/>
        <v>0</v>
      </c>
      <c r="Q51" s="32">
        <f>SUM(Q32:Q50)</f>
        <v>13</v>
      </c>
      <c r="R51" s="32">
        <f>SUM(R32:R50)</f>
        <v>30</v>
      </c>
      <c r="S51" s="33"/>
      <c r="T51" s="34">
        <f t="shared" si="62"/>
        <v>360</v>
      </c>
      <c r="U51" s="35">
        <f t="shared" si="63"/>
        <v>520</v>
      </c>
      <c r="AJ51" s="2"/>
      <c r="BA51" s="2"/>
      <c r="BR51" s="2"/>
      <c r="CI51" s="2"/>
      <c r="CZ51" s="2"/>
      <c r="DQ51" s="2"/>
      <c r="EH51" s="2"/>
      <c r="EY51" s="2"/>
      <c r="FP51" s="2"/>
      <c r="GG51" s="2"/>
      <c r="GX51" s="2"/>
      <c r="HO51" s="2"/>
      <c r="IF51" s="2"/>
    </row>
    <row r="52" spans="1:240" x14ac:dyDescent="0.25">
      <c r="S52" s="2"/>
      <c r="AJ52" s="2"/>
      <c r="BA52" s="2"/>
      <c r="BR52" s="2"/>
      <c r="CI52" s="2"/>
      <c r="CZ52" s="2"/>
      <c r="DQ52" s="2"/>
      <c r="EH52" s="2"/>
      <c r="EY52" s="2"/>
      <c r="FP52" s="2"/>
      <c r="GG52" s="2"/>
      <c r="GX52" s="2"/>
      <c r="HO52" s="2"/>
      <c r="IF52" s="2"/>
    </row>
    <row r="53" spans="1:240" x14ac:dyDescent="0.25">
      <c r="S53" s="2"/>
      <c r="AJ53" s="2"/>
      <c r="BA53" s="2"/>
      <c r="BR53" s="2"/>
      <c r="CI53" s="2"/>
      <c r="CZ53" s="2"/>
      <c r="DQ53" s="2"/>
      <c r="EH53" s="2"/>
      <c r="EY53" s="2"/>
      <c r="FP53" s="2"/>
      <c r="GG53" s="2"/>
      <c r="GX53" s="2"/>
      <c r="HO53" s="2"/>
      <c r="IF53" s="2"/>
    </row>
    <row r="54" spans="1:240" x14ac:dyDescent="0.25">
      <c r="S54" s="2"/>
      <c r="AJ54" s="2"/>
      <c r="BA54" s="2"/>
      <c r="BR54" s="2"/>
      <c r="CI54" s="2"/>
      <c r="CZ54" s="2"/>
      <c r="DQ54" s="2"/>
      <c r="EH54" s="2"/>
      <c r="EY54" s="2"/>
      <c r="FP54" s="2"/>
      <c r="GG54" s="2"/>
      <c r="GX54" s="2"/>
      <c r="HO54" s="2"/>
      <c r="IF54" s="2"/>
    </row>
    <row r="55" spans="1:240" x14ac:dyDescent="0.25">
      <c r="S55" s="2"/>
      <c r="AJ55" s="2"/>
      <c r="BA55" s="2"/>
      <c r="BR55" s="2"/>
      <c r="CI55" s="2"/>
      <c r="CZ55" s="2"/>
      <c r="DQ55" s="2"/>
      <c r="EH55" s="2"/>
      <c r="EY55" s="2"/>
      <c r="FP55" s="2"/>
      <c r="GG55" s="2"/>
      <c r="GX55" s="2"/>
      <c r="HO55" s="2"/>
      <c r="IF55" s="2"/>
    </row>
    <row r="56" spans="1:240" x14ac:dyDescent="0.25">
      <c r="S56" s="2"/>
      <c r="AJ56" s="2"/>
      <c r="BA56" s="2"/>
      <c r="BR56" s="2"/>
      <c r="CI56" s="2"/>
      <c r="CZ56" s="2"/>
      <c r="DQ56" s="2"/>
      <c r="EH56" s="2"/>
      <c r="EY56" s="2"/>
      <c r="FP56" s="2"/>
      <c r="GG56" s="2"/>
      <c r="GX56" s="2"/>
      <c r="HO56" s="2"/>
      <c r="IF56" s="2"/>
    </row>
    <row r="57" spans="1:240" x14ac:dyDescent="0.25">
      <c r="S57" s="2"/>
      <c r="AJ57" s="2"/>
      <c r="BA57" s="2"/>
      <c r="BR57" s="2"/>
      <c r="CI57" s="2"/>
      <c r="CZ57" s="2"/>
      <c r="DQ57" s="2"/>
      <c r="EH57" s="2"/>
      <c r="EY57" s="2"/>
      <c r="FP57" s="2"/>
      <c r="GG57" s="2"/>
      <c r="GX57" s="2"/>
      <c r="HO57" s="2"/>
      <c r="IF57" s="2"/>
    </row>
    <row r="58" spans="1:240" x14ac:dyDescent="0.25">
      <c r="S58" s="2"/>
      <c r="AJ58" s="2"/>
      <c r="BA58" s="2"/>
      <c r="BR58" s="2"/>
      <c r="CI58" s="2"/>
      <c r="CZ58" s="2"/>
      <c r="DQ58" s="2"/>
      <c r="EH58" s="2"/>
      <c r="EY58" s="2"/>
      <c r="FP58" s="2"/>
      <c r="GG58" s="2"/>
      <c r="GX58" s="2"/>
      <c r="HO58" s="2"/>
      <c r="IF58" s="2"/>
    </row>
    <row r="59" spans="1:240" x14ac:dyDescent="0.25">
      <c r="S59" s="2"/>
      <c r="AJ59" s="2"/>
      <c r="BA59" s="2"/>
      <c r="BR59" s="2"/>
      <c r="CI59" s="2"/>
      <c r="CZ59" s="2"/>
      <c r="DQ59" s="2"/>
      <c r="EH59" s="2"/>
      <c r="EY59" s="2"/>
      <c r="FP59" s="2"/>
      <c r="GG59" s="2"/>
      <c r="GX59" s="2"/>
      <c r="HO59" s="2"/>
      <c r="IF59" s="2"/>
    </row>
    <row r="60" spans="1:240" x14ac:dyDescent="0.25">
      <c r="S60" s="2"/>
      <c r="AJ60" s="2"/>
      <c r="BA60" s="2"/>
      <c r="BR60" s="2"/>
      <c r="CI60" s="2"/>
      <c r="CZ60" s="2"/>
      <c r="DQ60" s="2"/>
      <c r="EH60" s="2"/>
      <c r="EY60" s="2"/>
      <c r="FP60" s="2"/>
      <c r="GG60" s="2"/>
      <c r="GX60" s="2"/>
      <c r="HO60" s="2"/>
      <c r="IF60" s="2"/>
    </row>
    <row r="61" spans="1:240" x14ac:dyDescent="0.25">
      <c r="S61" s="2"/>
      <c r="AJ61" s="2"/>
      <c r="BA61" s="2"/>
      <c r="BR61" s="2"/>
      <c r="CI61" s="2"/>
      <c r="CZ61" s="2"/>
      <c r="DQ61" s="2"/>
      <c r="EH61" s="2"/>
      <c r="EY61" s="2"/>
      <c r="FP61" s="2"/>
      <c r="GG61" s="2"/>
      <c r="GX61" s="2"/>
      <c r="HO61" s="2"/>
      <c r="IF61" s="2"/>
    </row>
    <row r="62" spans="1:240" x14ac:dyDescent="0.25">
      <c r="S62" s="2"/>
      <c r="AJ62" s="2"/>
      <c r="BA62" s="2"/>
      <c r="BR62" s="2"/>
      <c r="CI62" s="2"/>
      <c r="CZ62" s="2"/>
      <c r="DQ62" s="2"/>
      <c r="EH62" s="2"/>
      <c r="EY62" s="2"/>
      <c r="FP62" s="2"/>
      <c r="GG62" s="2"/>
      <c r="GX62" s="2"/>
      <c r="HO62" s="2"/>
      <c r="IF62" s="2"/>
    </row>
    <row r="63" spans="1:240" x14ac:dyDescent="0.25">
      <c r="S63" s="2"/>
      <c r="AJ63" s="2"/>
      <c r="BA63" s="2"/>
      <c r="BR63" s="2"/>
      <c r="CI63" s="2"/>
      <c r="CZ63" s="2"/>
      <c r="DQ63" s="2"/>
      <c r="EH63" s="2"/>
      <c r="EY63" s="2"/>
      <c r="FP63" s="2"/>
      <c r="GG63" s="2"/>
      <c r="GX63" s="2"/>
      <c r="HO63" s="2"/>
      <c r="IF63" s="2"/>
    </row>
    <row r="64" spans="1:240" x14ac:dyDescent="0.25">
      <c r="S64" s="2"/>
      <c r="AJ64" s="2"/>
      <c r="BA64" s="2"/>
      <c r="BR64" s="2"/>
      <c r="CI64" s="2"/>
      <c r="CZ64" s="2"/>
      <c r="DQ64" s="2"/>
      <c r="EH64" s="2"/>
      <c r="EY64" s="2"/>
      <c r="FP64" s="2"/>
      <c r="GG64" s="2"/>
      <c r="GX64" s="2"/>
      <c r="HO64" s="2"/>
      <c r="IF64" s="2"/>
    </row>
  </sheetData>
  <sheetProtection selectLockedCells="1" selectUnlockedCells="1"/>
  <mergeCells count="18">
    <mergeCell ref="GH6:GW6"/>
    <mergeCell ref="GY6:HN6"/>
    <mergeCell ref="HP6:IE6"/>
    <mergeCell ref="A27:B27"/>
    <mergeCell ref="A30:U30"/>
    <mergeCell ref="A51:B51"/>
    <mergeCell ref="CJ6:CY6"/>
    <mergeCell ref="DA6:DP6"/>
    <mergeCell ref="DR6:EG6"/>
    <mergeCell ref="EI6:EX6"/>
    <mergeCell ref="EZ6:FO6"/>
    <mergeCell ref="FQ6:GF6"/>
    <mergeCell ref="A6:B6"/>
    <mergeCell ref="C6:R6"/>
    <mergeCell ref="T6:AI6"/>
    <mergeCell ref="AK6:AZ6"/>
    <mergeCell ref="BB6:BQ6"/>
    <mergeCell ref="BS6:CH6"/>
  </mergeCell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 alignWithMargins="0">
    <oddHeader>&amp;C&amp;A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8549A-9CEB-436F-ADE8-21714CEF7D59}">
  <dimension ref="A1:V216"/>
  <sheetViews>
    <sheetView zoomScale="180" zoomScaleNormal="180" workbookViewId="0">
      <selection activeCell="B8" sqref="B8"/>
    </sheetView>
  </sheetViews>
  <sheetFormatPr baseColWidth="10" defaultColWidth="4.33203125" defaultRowHeight="13.2" x14ac:dyDescent="0.25"/>
  <cols>
    <col min="1" max="1" width="24.33203125" customWidth="1"/>
    <col min="2" max="2" width="3.44140625" customWidth="1"/>
    <col min="3" max="3" width="14.109375" customWidth="1"/>
    <col min="19" max="19" width="4.33203125" customWidth="1"/>
    <col min="20" max="20" width="0.88671875" style="42" customWidth="1"/>
    <col min="22" max="22" width="5.109375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T1" s="40"/>
    </row>
    <row r="2" spans="1:22" x14ac:dyDescent="0.25">
      <c r="A2" s="1" t="s">
        <v>1</v>
      </c>
      <c r="B2" s="1"/>
      <c r="C2" s="38"/>
      <c r="D2" s="1"/>
      <c r="E2" s="1"/>
      <c r="F2" s="1"/>
      <c r="G2" s="1"/>
      <c r="T2" s="40"/>
    </row>
    <row r="3" spans="1:22" x14ac:dyDescent="0.25">
      <c r="B3" s="3" t="s">
        <v>2</v>
      </c>
      <c r="C3" s="3"/>
      <c r="D3" s="3"/>
      <c r="E3" s="3"/>
      <c r="F3" s="3"/>
      <c r="G3" s="3"/>
      <c r="T3" s="40"/>
    </row>
    <row r="4" spans="1:22" x14ac:dyDescent="0.25">
      <c r="B4" s="4" t="s">
        <v>3</v>
      </c>
      <c r="T4" s="40"/>
    </row>
    <row r="5" spans="1:22" s="23" customFormat="1" x14ac:dyDescent="0.25">
      <c r="B5" s="23" t="s">
        <v>72</v>
      </c>
      <c r="S5"/>
      <c r="T5" s="40"/>
    </row>
    <row r="6" spans="1:22" s="23" customFormat="1" x14ac:dyDescent="0.25">
      <c r="A6" s="66" t="s">
        <v>49</v>
      </c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8"/>
    </row>
    <row r="7" spans="1:22" s="23" customFormat="1" x14ac:dyDescent="0.25">
      <c r="A7" s="26" t="s">
        <v>19</v>
      </c>
      <c r="B7" s="26" t="s">
        <v>18</v>
      </c>
      <c r="C7" s="36" t="s">
        <v>52</v>
      </c>
      <c r="D7" s="13" t="s">
        <v>20</v>
      </c>
      <c r="E7" s="11" t="s">
        <v>21</v>
      </c>
      <c r="F7" s="11" t="s">
        <v>22</v>
      </c>
      <c r="G7" s="11" t="s">
        <v>23</v>
      </c>
      <c r="H7" s="11" t="s">
        <v>24</v>
      </c>
      <c r="I7" s="11" t="s">
        <v>25</v>
      </c>
      <c r="J7" s="11" t="s">
        <v>26</v>
      </c>
      <c r="K7" s="11" t="s">
        <v>27</v>
      </c>
      <c r="L7" s="11" t="s">
        <v>28</v>
      </c>
      <c r="M7" s="11" t="s">
        <v>29</v>
      </c>
      <c r="N7" s="11" t="s">
        <v>30</v>
      </c>
      <c r="O7" s="11" t="s">
        <v>31</v>
      </c>
      <c r="P7" s="11" t="s">
        <v>32</v>
      </c>
      <c r="Q7" s="12" t="s">
        <v>33</v>
      </c>
      <c r="R7" s="11" t="s">
        <v>34</v>
      </c>
      <c r="S7" s="27" t="s">
        <v>35</v>
      </c>
      <c r="T7" s="40"/>
      <c r="U7" s="37" t="s">
        <v>50</v>
      </c>
      <c r="V7" s="37" t="s">
        <v>51</v>
      </c>
    </row>
    <row r="8" spans="1:22" s="23" customFormat="1" ht="10.199999999999999" x14ac:dyDescent="0.2">
      <c r="A8" s="30" t="str">
        <f>+equipo1!A32</f>
        <v>JESUS HERNANDEZ</v>
      </c>
      <c r="B8" s="30">
        <f>+equipo1!B32</f>
        <v>5</v>
      </c>
      <c r="C8" s="31" t="str">
        <f>+equipo1!$A$6</f>
        <v>equipo1</v>
      </c>
      <c r="D8" s="31">
        <f>+equipo1!C32</f>
        <v>51</v>
      </c>
      <c r="E8" s="31">
        <f>+equipo1!D32</f>
        <v>2</v>
      </c>
      <c r="F8" s="31">
        <f>+equipo1!E32</f>
        <v>16</v>
      </c>
      <c r="G8" s="31">
        <f>+equipo1!F32</f>
        <v>0</v>
      </c>
      <c r="H8" s="31">
        <f>+equipo1!G32</f>
        <v>0</v>
      </c>
      <c r="I8" s="31">
        <f>+equipo1!H32</f>
        <v>1</v>
      </c>
      <c r="J8" s="31">
        <f>+equipo1!I32</f>
        <v>2</v>
      </c>
      <c r="K8" s="31">
        <f>+equipo1!J32</f>
        <v>0</v>
      </c>
      <c r="L8" s="31">
        <f>+equipo1!K32</f>
        <v>0</v>
      </c>
      <c r="M8" s="31">
        <f>+equipo1!L32</f>
        <v>1</v>
      </c>
      <c r="N8" s="31">
        <f>+equipo1!M32</f>
        <v>0</v>
      </c>
      <c r="O8" s="31">
        <f>+equipo1!N32</f>
        <v>0</v>
      </c>
      <c r="P8" s="31">
        <f>+equipo1!O32</f>
        <v>0</v>
      </c>
      <c r="Q8" s="31">
        <f>+equipo1!P32</f>
        <v>0</v>
      </c>
      <c r="R8" s="31">
        <f>+equipo1!Q32</f>
        <v>19</v>
      </c>
      <c r="S8" s="31">
        <f>+equipo1!R32</f>
        <v>51</v>
      </c>
      <c r="T8" s="40"/>
      <c r="U8" s="39">
        <f>+equipo1!T32</f>
        <v>313.72549019607845</v>
      </c>
      <c r="V8" s="39">
        <f>+equipo1!U32</f>
        <v>372.54901960784315</v>
      </c>
    </row>
    <row r="9" spans="1:22" s="23" customFormat="1" ht="10.199999999999999" x14ac:dyDescent="0.2">
      <c r="A9" s="30" t="str">
        <f>+equipo1!A33</f>
        <v>JOSEPH MENDOZA</v>
      </c>
      <c r="B9" s="30">
        <f>+equipo1!B33</f>
        <v>6</v>
      </c>
      <c r="C9" s="31" t="str">
        <f>+equipo1!$A$6</f>
        <v>equipo1</v>
      </c>
      <c r="D9" s="31">
        <f>+equipo1!C33</f>
        <v>3</v>
      </c>
      <c r="E9" s="31">
        <f>+equipo1!D33</f>
        <v>1</v>
      </c>
      <c r="F9" s="31">
        <f>+equipo1!E33</f>
        <v>1</v>
      </c>
      <c r="G9" s="31">
        <f>+equipo1!F33</f>
        <v>1</v>
      </c>
      <c r="H9" s="31">
        <f>+equipo1!G33</f>
        <v>0</v>
      </c>
      <c r="I9" s="31">
        <f>+equipo1!H33</f>
        <v>0</v>
      </c>
      <c r="J9" s="31">
        <f>+equipo1!I33</f>
        <v>0</v>
      </c>
      <c r="K9" s="31">
        <f>+equipo1!J33</f>
        <v>0</v>
      </c>
      <c r="L9" s="31">
        <f>+equipo1!K33</f>
        <v>2</v>
      </c>
      <c r="M9" s="31">
        <f>+equipo1!L33</f>
        <v>0</v>
      </c>
      <c r="N9" s="31">
        <f>+equipo1!M33</f>
        <v>0</v>
      </c>
      <c r="O9" s="31">
        <f>+equipo1!N33</f>
        <v>0</v>
      </c>
      <c r="P9" s="31">
        <f>+equipo1!O33</f>
        <v>0</v>
      </c>
      <c r="Q9" s="31">
        <f>+equipo1!P33</f>
        <v>0</v>
      </c>
      <c r="R9" s="31">
        <f>+equipo1!Q33</f>
        <v>2</v>
      </c>
      <c r="S9" s="31">
        <f>+equipo1!R33</f>
        <v>5</v>
      </c>
      <c r="T9" s="40"/>
      <c r="U9" s="31">
        <f>+equipo1!T33</f>
        <v>333.33333333333331</v>
      </c>
      <c r="V9" s="31">
        <f>+equipo1!U33</f>
        <v>666.66666666666663</v>
      </c>
    </row>
    <row r="10" spans="1:22" s="23" customFormat="1" ht="10.199999999999999" x14ac:dyDescent="0.2">
      <c r="A10" s="30" t="str">
        <f>+equipo1!A34</f>
        <v>ABRAHAN RODRIGUZ</v>
      </c>
      <c r="B10" s="30">
        <f>+equipo1!B34</f>
        <v>2</v>
      </c>
      <c r="C10" s="31" t="str">
        <f>+equipo1!$A$6</f>
        <v>equipo1</v>
      </c>
      <c r="D10" s="31">
        <f>+equipo1!C34</f>
        <v>4</v>
      </c>
      <c r="E10" s="31">
        <f>+equipo1!D34</f>
        <v>0</v>
      </c>
      <c r="F10" s="31">
        <f>+equipo1!E34</f>
        <v>1</v>
      </c>
      <c r="G10" s="31">
        <f>+equipo1!F34</f>
        <v>0</v>
      </c>
      <c r="H10" s="31">
        <f>+equipo1!G34</f>
        <v>0</v>
      </c>
      <c r="I10" s="31">
        <f>+equipo1!H34</f>
        <v>0</v>
      </c>
      <c r="J10" s="31">
        <f>+equipo1!I34</f>
        <v>0</v>
      </c>
      <c r="K10" s="31">
        <f>+equipo1!J34</f>
        <v>0</v>
      </c>
      <c r="L10" s="31">
        <f>+equipo1!K34</f>
        <v>0</v>
      </c>
      <c r="M10" s="31">
        <f>+equipo1!L34</f>
        <v>0</v>
      </c>
      <c r="N10" s="31">
        <f>+equipo1!M34</f>
        <v>0</v>
      </c>
      <c r="O10" s="31">
        <f>+equipo1!N34</f>
        <v>0</v>
      </c>
      <c r="P10" s="31">
        <f>+equipo1!O34</f>
        <v>0</v>
      </c>
      <c r="Q10" s="31">
        <f>+equipo1!P34</f>
        <v>0</v>
      </c>
      <c r="R10" s="31">
        <f>+equipo1!Q34</f>
        <v>1</v>
      </c>
      <c r="S10" s="31">
        <f>+equipo1!R34</f>
        <v>4</v>
      </c>
      <c r="T10" s="40"/>
      <c r="U10" s="31">
        <f>+equipo1!T34</f>
        <v>250</v>
      </c>
      <c r="V10" s="31">
        <f>+equipo1!U34</f>
        <v>250</v>
      </c>
    </row>
    <row r="11" spans="1:22" s="23" customFormat="1" ht="10.199999999999999" x14ac:dyDescent="0.2">
      <c r="A11" s="30" t="str">
        <f>+equipo1!A35</f>
        <v>ALEXANDER HERNANDEZ</v>
      </c>
      <c r="B11" s="30" t="str">
        <f>+equipo1!B35</f>
        <v/>
      </c>
      <c r="C11" s="31" t="str">
        <f>+equipo1!$A$6</f>
        <v>equipo1</v>
      </c>
      <c r="D11" s="31">
        <f>+equipo1!C35</f>
        <v>0</v>
      </c>
      <c r="E11" s="31">
        <f>+equipo1!D35</f>
        <v>1</v>
      </c>
      <c r="F11" s="31">
        <f>+equipo1!E35</f>
        <v>0</v>
      </c>
      <c r="G11" s="31">
        <f>+equipo1!F35</f>
        <v>0</v>
      </c>
      <c r="H11" s="31">
        <f>+equipo1!G35</f>
        <v>0</v>
      </c>
      <c r="I11" s="31">
        <f>+equipo1!H35</f>
        <v>0</v>
      </c>
      <c r="J11" s="31">
        <f>+equipo1!I35</f>
        <v>1</v>
      </c>
      <c r="K11" s="31">
        <f>+equipo1!J35</f>
        <v>0</v>
      </c>
      <c r="L11" s="31">
        <f>+equipo1!K35</f>
        <v>3</v>
      </c>
      <c r="M11" s="31">
        <f>+equipo1!L35</f>
        <v>3</v>
      </c>
      <c r="N11" s="31">
        <f>+equipo1!M35</f>
        <v>0</v>
      </c>
      <c r="O11" s="31">
        <f>+equipo1!N35</f>
        <v>0</v>
      </c>
      <c r="P11" s="31">
        <f>+equipo1!O35</f>
        <v>0</v>
      </c>
      <c r="Q11" s="31">
        <f>+equipo1!P35</f>
        <v>0</v>
      </c>
      <c r="R11" s="31">
        <f>+equipo1!Q35</f>
        <v>0</v>
      </c>
      <c r="S11" s="31">
        <f>+equipo1!R35</f>
        <v>3</v>
      </c>
      <c r="T11" s="40"/>
      <c r="U11" s="31">
        <f>+equipo1!T35</f>
        <v>0</v>
      </c>
      <c r="V11" s="31">
        <f>+equipo1!U35</f>
        <v>0</v>
      </c>
    </row>
    <row r="12" spans="1:22" s="23" customFormat="1" ht="10.199999999999999" x14ac:dyDescent="0.2">
      <c r="A12" s="30" t="str">
        <f>+equipo1!A36</f>
        <v>DANIEL LIENDO</v>
      </c>
      <c r="B12" s="30" t="str">
        <f>+equipo1!B36</f>
        <v/>
      </c>
      <c r="C12" s="31" t="str">
        <f>+equipo1!$A$6</f>
        <v>equipo1</v>
      </c>
      <c r="D12" s="31">
        <f>+equipo1!C36</f>
        <v>1</v>
      </c>
      <c r="E12" s="31">
        <f>+equipo1!D36</f>
        <v>0</v>
      </c>
      <c r="F12" s="31">
        <f>+equipo1!E36</f>
        <v>0</v>
      </c>
      <c r="G12" s="31">
        <f>+equipo1!F36</f>
        <v>0</v>
      </c>
      <c r="H12" s="31">
        <f>+equipo1!G36</f>
        <v>0</v>
      </c>
      <c r="I12" s="31">
        <f>+equipo1!H36</f>
        <v>0</v>
      </c>
      <c r="J12" s="31">
        <f>+equipo1!I36</f>
        <v>0</v>
      </c>
      <c r="K12" s="31">
        <f>+equipo1!J36</f>
        <v>0</v>
      </c>
      <c r="L12" s="31">
        <f>+equipo1!K36</f>
        <v>0</v>
      </c>
      <c r="M12" s="31">
        <f>+equipo1!L36</f>
        <v>0</v>
      </c>
      <c r="N12" s="31">
        <f>+equipo1!M36</f>
        <v>0</v>
      </c>
      <c r="O12" s="31">
        <f>+equipo1!N36</f>
        <v>0</v>
      </c>
      <c r="P12" s="31">
        <f>+equipo1!O36</f>
        <v>0</v>
      </c>
      <c r="Q12" s="31">
        <f>+equipo1!P36</f>
        <v>0</v>
      </c>
      <c r="R12" s="31">
        <f>+equipo1!Q36</f>
        <v>0</v>
      </c>
      <c r="S12" s="31">
        <f>+equipo1!R36</f>
        <v>1</v>
      </c>
      <c r="T12" s="40"/>
      <c r="U12" s="31">
        <f>+equipo1!T36</f>
        <v>0</v>
      </c>
      <c r="V12" s="31">
        <f>+equipo1!U36</f>
        <v>0</v>
      </c>
    </row>
    <row r="13" spans="1:22" s="23" customFormat="1" ht="10.199999999999999" x14ac:dyDescent="0.2">
      <c r="A13" s="30" t="str">
        <f>+equipo1!A37</f>
        <v>SEBASTIAN MUJICA</v>
      </c>
      <c r="B13" s="30" t="str">
        <f>+equipo1!B37</f>
        <v/>
      </c>
      <c r="C13" s="31" t="str">
        <f>+equipo1!$A$6</f>
        <v>equipo1</v>
      </c>
      <c r="D13" s="31">
        <f>+equipo1!C37</f>
        <v>2</v>
      </c>
      <c r="E13" s="31">
        <f>+equipo1!D37</f>
        <v>0</v>
      </c>
      <c r="F13" s="31">
        <f>+equipo1!E37</f>
        <v>0</v>
      </c>
      <c r="G13" s="31">
        <f>+equipo1!F37</f>
        <v>0</v>
      </c>
      <c r="H13" s="31">
        <f>+equipo1!G37</f>
        <v>0</v>
      </c>
      <c r="I13" s="31">
        <f>+equipo1!H37</f>
        <v>0</v>
      </c>
      <c r="J13" s="31">
        <f>+equipo1!I37</f>
        <v>0</v>
      </c>
      <c r="K13" s="31">
        <f>+equipo1!J37</f>
        <v>1</v>
      </c>
      <c r="L13" s="31">
        <f>+equipo1!K37</f>
        <v>0</v>
      </c>
      <c r="M13" s="31">
        <f>+equipo1!L37</f>
        <v>0</v>
      </c>
      <c r="N13" s="31">
        <f>+equipo1!M37</f>
        <v>0</v>
      </c>
      <c r="O13" s="31">
        <f>+equipo1!N37</f>
        <v>0</v>
      </c>
      <c r="P13" s="31">
        <f>+equipo1!O37</f>
        <v>0</v>
      </c>
      <c r="Q13" s="31">
        <f>+equipo1!P37</f>
        <v>0</v>
      </c>
      <c r="R13" s="31">
        <f>+equipo1!Q37</f>
        <v>0</v>
      </c>
      <c r="S13" s="31">
        <f>+equipo1!R37</f>
        <v>2</v>
      </c>
      <c r="T13" s="40"/>
      <c r="U13" s="31">
        <f>+equipo1!T37</f>
        <v>0</v>
      </c>
      <c r="V13" s="31">
        <f>+equipo1!U37</f>
        <v>0</v>
      </c>
    </row>
    <row r="14" spans="1:22" s="23" customFormat="1" ht="10.199999999999999" x14ac:dyDescent="0.2">
      <c r="A14" s="30" t="str">
        <f>+equipo1!A38</f>
        <v>ANGEL RODRIGUEZ</v>
      </c>
      <c r="B14" s="30" t="str">
        <f>+equipo1!B38</f>
        <v/>
      </c>
      <c r="C14" s="31" t="str">
        <f>+equipo1!$A$6</f>
        <v>equipo1</v>
      </c>
      <c r="D14" s="31">
        <f>+equipo1!C38</f>
        <v>3</v>
      </c>
      <c r="E14" s="31">
        <f>+equipo1!D38</f>
        <v>2</v>
      </c>
      <c r="F14" s="31">
        <f>+equipo1!E38</f>
        <v>2</v>
      </c>
      <c r="G14" s="31">
        <f>+equipo1!F38</f>
        <v>0</v>
      </c>
      <c r="H14" s="31">
        <f>+equipo1!G38</f>
        <v>0</v>
      </c>
      <c r="I14" s="31">
        <f>+equipo1!H38</f>
        <v>0</v>
      </c>
      <c r="J14" s="31">
        <f>+equipo1!I38</f>
        <v>1</v>
      </c>
      <c r="K14" s="31">
        <f>+equipo1!J38</f>
        <v>1</v>
      </c>
      <c r="L14" s="31">
        <f>+equipo1!K38</f>
        <v>0</v>
      </c>
      <c r="M14" s="31">
        <f>+equipo1!L38</f>
        <v>1</v>
      </c>
      <c r="N14" s="31">
        <f>+equipo1!M38</f>
        <v>0</v>
      </c>
      <c r="O14" s="31">
        <f>+equipo1!N38</f>
        <v>0</v>
      </c>
      <c r="P14" s="31">
        <f>+equipo1!O38</f>
        <v>0</v>
      </c>
      <c r="Q14" s="31">
        <f>+equipo1!P38</f>
        <v>0</v>
      </c>
      <c r="R14" s="31">
        <f>+equipo1!Q38</f>
        <v>2</v>
      </c>
      <c r="S14" s="31">
        <f>+equipo1!R38</f>
        <v>3</v>
      </c>
      <c r="T14" s="40"/>
      <c r="U14" s="31">
        <f>+equipo1!T38</f>
        <v>666.66666666666663</v>
      </c>
      <c r="V14" s="31">
        <f>+equipo1!U38</f>
        <v>666.66666666666663</v>
      </c>
    </row>
    <row r="15" spans="1:22" s="23" customFormat="1" ht="10.199999999999999" x14ac:dyDescent="0.2">
      <c r="A15" s="30" t="str">
        <f>+equipo1!A39</f>
        <v>FRANCISCO MONASTERIO</v>
      </c>
      <c r="B15" s="30" t="str">
        <f>+equipo1!B39</f>
        <v/>
      </c>
      <c r="C15" s="31" t="str">
        <f>+equipo1!$A$6</f>
        <v>equipo1</v>
      </c>
      <c r="D15" s="31">
        <f>+equipo1!C39</f>
        <v>3</v>
      </c>
      <c r="E15" s="31">
        <f>+equipo1!D39</f>
        <v>1</v>
      </c>
      <c r="F15" s="31">
        <f>+equipo1!E39</f>
        <v>2</v>
      </c>
      <c r="G15" s="31">
        <f>+equipo1!F39</f>
        <v>0</v>
      </c>
      <c r="H15" s="31">
        <f>+equipo1!G39</f>
        <v>1</v>
      </c>
      <c r="I15" s="31">
        <f>+equipo1!H39</f>
        <v>0</v>
      </c>
      <c r="J15" s="31">
        <f>+equipo1!I39</f>
        <v>0</v>
      </c>
      <c r="K15" s="31">
        <f>+equipo1!J39</f>
        <v>0</v>
      </c>
      <c r="L15" s="31">
        <f>+equipo1!K39</f>
        <v>0</v>
      </c>
      <c r="M15" s="31">
        <f>+equipo1!L39</f>
        <v>0</v>
      </c>
      <c r="N15" s="31">
        <f>+equipo1!M39</f>
        <v>0</v>
      </c>
      <c r="O15" s="31">
        <f>+equipo1!N39</f>
        <v>0</v>
      </c>
      <c r="P15" s="31">
        <f>+equipo1!O39</f>
        <v>0</v>
      </c>
      <c r="Q15" s="31">
        <f>+equipo1!P39</f>
        <v>0</v>
      </c>
      <c r="R15" s="31">
        <f>+equipo1!Q39</f>
        <v>4</v>
      </c>
      <c r="S15" s="31">
        <f>+equipo1!R39</f>
        <v>3</v>
      </c>
      <c r="T15" s="40"/>
      <c r="U15" s="31">
        <f>+equipo1!T39</f>
        <v>666.66666666666663</v>
      </c>
      <c r="V15" s="31">
        <f>+equipo1!U39</f>
        <v>1333.3333333333333</v>
      </c>
    </row>
    <row r="16" spans="1:22" s="23" customFormat="1" ht="10.199999999999999" x14ac:dyDescent="0.2">
      <c r="A16" s="30" t="str">
        <f>+equipo1!A40</f>
        <v>MARCOS MORALES</v>
      </c>
      <c r="B16" s="30" t="str">
        <f>+equipo1!B40</f>
        <v/>
      </c>
      <c r="C16" s="31" t="str">
        <f>+equipo1!$A$6</f>
        <v>equipo1</v>
      </c>
      <c r="D16" s="31">
        <f>+equipo1!C40</f>
        <v>3</v>
      </c>
      <c r="E16" s="31">
        <f>+equipo1!D40</f>
        <v>2</v>
      </c>
      <c r="F16" s="31">
        <f>+equipo1!E40</f>
        <v>2</v>
      </c>
      <c r="G16" s="31">
        <f>+equipo1!F40</f>
        <v>1</v>
      </c>
      <c r="H16" s="31">
        <f>+equipo1!G40</f>
        <v>0</v>
      </c>
      <c r="I16" s="31">
        <f>+equipo1!H40</f>
        <v>0</v>
      </c>
      <c r="J16" s="31">
        <f>+equipo1!I40</f>
        <v>2</v>
      </c>
      <c r="K16" s="31">
        <f>+equipo1!J40</f>
        <v>1</v>
      </c>
      <c r="L16" s="31">
        <f>+equipo1!K40</f>
        <v>0</v>
      </c>
      <c r="M16" s="31">
        <f>+equipo1!L40</f>
        <v>3</v>
      </c>
      <c r="N16" s="31">
        <f>+equipo1!M40</f>
        <v>0</v>
      </c>
      <c r="O16" s="31">
        <f>+equipo1!N40</f>
        <v>0</v>
      </c>
      <c r="P16" s="31">
        <f>+equipo1!O40</f>
        <v>0</v>
      </c>
      <c r="Q16" s="31">
        <f>+equipo1!P40</f>
        <v>0</v>
      </c>
      <c r="R16" s="31">
        <f>+equipo1!Q40</f>
        <v>3</v>
      </c>
      <c r="S16" s="31">
        <f>+equipo1!R40</f>
        <v>3</v>
      </c>
      <c r="T16" s="40"/>
      <c r="U16" s="31">
        <f>+equipo1!T40</f>
        <v>666.66666666666663</v>
      </c>
      <c r="V16" s="31">
        <f>+equipo1!U40</f>
        <v>1000</v>
      </c>
    </row>
    <row r="17" spans="1:22" s="23" customFormat="1" ht="10.199999999999999" x14ac:dyDescent="0.2">
      <c r="A17" s="30" t="str">
        <f>+equipo1!A41</f>
        <v>ADRIAN MURILLO</v>
      </c>
      <c r="B17" s="30" t="str">
        <f>+equipo1!B41</f>
        <v/>
      </c>
      <c r="C17" s="31" t="str">
        <f>+equipo1!$A$6</f>
        <v>equipo1</v>
      </c>
      <c r="D17" s="31">
        <f>+equipo1!C41</f>
        <v>2</v>
      </c>
      <c r="E17" s="31">
        <f>+equipo1!D41</f>
        <v>1</v>
      </c>
      <c r="F17" s="31">
        <f>+equipo1!E41</f>
        <v>0</v>
      </c>
      <c r="G17" s="31">
        <f>+equipo1!F41</f>
        <v>0</v>
      </c>
      <c r="H17" s="31">
        <f>+equipo1!G41</f>
        <v>0</v>
      </c>
      <c r="I17" s="31">
        <f>+equipo1!H41</f>
        <v>0</v>
      </c>
      <c r="J17" s="31">
        <f>+equipo1!I41</f>
        <v>0</v>
      </c>
      <c r="K17" s="31">
        <f>+equipo1!J41</f>
        <v>1</v>
      </c>
      <c r="L17" s="31">
        <f>+equipo1!K41</f>
        <v>1</v>
      </c>
      <c r="M17" s="31">
        <f>+equipo1!L41</f>
        <v>1</v>
      </c>
      <c r="N17" s="31">
        <f>+equipo1!M41</f>
        <v>0</v>
      </c>
      <c r="O17" s="31">
        <f>+equipo1!N41</f>
        <v>0</v>
      </c>
      <c r="P17" s="31">
        <f>+equipo1!O41</f>
        <v>0</v>
      </c>
      <c r="Q17" s="31">
        <f>+equipo1!P41</f>
        <v>0</v>
      </c>
      <c r="R17" s="31">
        <f>+equipo1!Q41</f>
        <v>0</v>
      </c>
      <c r="S17" s="31">
        <f>+equipo1!R41</f>
        <v>3</v>
      </c>
      <c r="T17" s="40"/>
      <c r="U17" s="31">
        <f>+equipo1!T41</f>
        <v>0</v>
      </c>
      <c r="V17" s="31">
        <f>+equipo1!U41</f>
        <v>0</v>
      </c>
    </row>
    <row r="18" spans="1:22" s="23" customFormat="1" ht="10.199999999999999" x14ac:dyDescent="0.2">
      <c r="A18" s="30" t="str">
        <f>+equipo1!A42</f>
        <v>DARGREYBER RODRIGUEZ</v>
      </c>
      <c r="B18" s="30" t="str">
        <f>+equipo1!B42</f>
        <v/>
      </c>
      <c r="C18" s="31" t="str">
        <f>+equipo1!$A$6</f>
        <v>equipo1</v>
      </c>
      <c r="D18" s="31">
        <f>+equipo1!C42</f>
        <v>0</v>
      </c>
      <c r="E18" s="31">
        <f>+equipo1!D42</f>
        <v>0</v>
      </c>
      <c r="F18" s="31">
        <f>+equipo1!E42</f>
        <v>0</v>
      </c>
      <c r="G18" s="31">
        <f>+equipo1!F42</f>
        <v>0</v>
      </c>
      <c r="H18" s="31">
        <f>+equipo1!G42</f>
        <v>0</v>
      </c>
      <c r="I18" s="31">
        <f>+equipo1!H42</f>
        <v>0</v>
      </c>
      <c r="J18" s="31">
        <f>+equipo1!I42</f>
        <v>0</v>
      </c>
      <c r="K18" s="31">
        <f>+equipo1!J42</f>
        <v>0</v>
      </c>
      <c r="L18" s="31">
        <f>+equipo1!K42</f>
        <v>0</v>
      </c>
      <c r="M18" s="31">
        <f>+equipo1!L42</f>
        <v>0</v>
      </c>
      <c r="N18" s="31">
        <f>+equipo1!M42</f>
        <v>0</v>
      </c>
      <c r="O18" s="31">
        <f>+equipo1!N42</f>
        <v>0</v>
      </c>
      <c r="P18" s="31">
        <f>+equipo1!O42</f>
        <v>0</v>
      </c>
      <c r="Q18" s="31">
        <f>+equipo1!P42</f>
        <v>0</v>
      </c>
      <c r="R18" s="31">
        <f>+equipo1!Q42</f>
        <v>0</v>
      </c>
      <c r="S18" s="31">
        <f>+equipo1!R42</f>
        <v>0</v>
      </c>
      <c r="T18" s="40"/>
      <c r="U18" s="31">
        <f>+equipo1!T42</f>
        <v>0</v>
      </c>
      <c r="V18" s="31">
        <f>+equipo1!U42</f>
        <v>0</v>
      </c>
    </row>
    <row r="19" spans="1:22" s="23" customFormat="1" ht="10.199999999999999" x14ac:dyDescent="0.2">
      <c r="A19" s="30" t="str">
        <f>+equipo1!A43</f>
        <v>JENSE FLORES</v>
      </c>
      <c r="B19" s="30" t="str">
        <f>+equipo1!B43</f>
        <v/>
      </c>
      <c r="C19" s="31" t="str">
        <f>+equipo1!$A$6</f>
        <v>equipo1</v>
      </c>
      <c r="D19" s="31">
        <f>+equipo1!C43</f>
        <v>0</v>
      </c>
      <c r="E19" s="31">
        <f>+equipo1!D43</f>
        <v>0</v>
      </c>
      <c r="F19" s="31">
        <f>+equipo1!E43</f>
        <v>0</v>
      </c>
      <c r="G19" s="31">
        <f>+equipo1!F43</f>
        <v>0</v>
      </c>
      <c r="H19" s="31">
        <f>+equipo1!G43</f>
        <v>0</v>
      </c>
      <c r="I19" s="31">
        <f>+equipo1!H43</f>
        <v>0</v>
      </c>
      <c r="J19" s="31">
        <f>+equipo1!I43</f>
        <v>0</v>
      </c>
      <c r="K19" s="31">
        <f>+equipo1!J43</f>
        <v>0</v>
      </c>
      <c r="L19" s="31">
        <f>+equipo1!K43</f>
        <v>0</v>
      </c>
      <c r="M19" s="31">
        <f>+equipo1!L43</f>
        <v>0</v>
      </c>
      <c r="N19" s="31">
        <f>+equipo1!M43</f>
        <v>0</v>
      </c>
      <c r="O19" s="31">
        <f>+equipo1!N43</f>
        <v>0</v>
      </c>
      <c r="P19" s="31">
        <f>+equipo1!O43</f>
        <v>0</v>
      </c>
      <c r="Q19" s="31">
        <f>+equipo1!P43</f>
        <v>0</v>
      </c>
      <c r="R19" s="31">
        <f>+equipo1!Q43</f>
        <v>0</v>
      </c>
      <c r="S19" s="31">
        <f>+equipo1!R43</f>
        <v>0</v>
      </c>
      <c r="T19" s="40"/>
      <c r="U19" s="31">
        <f>+equipo1!T43</f>
        <v>0</v>
      </c>
      <c r="V19" s="31">
        <f>+equipo1!U43</f>
        <v>0</v>
      </c>
    </row>
    <row r="20" spans="1:22" s="23" customFormat="1" ht="10.199999999999999" x14ac:dyDescent="0.2">
      <c r="A20" s="30" t="str">
        <f>+equipo1!A44</f>
        <v/>
      </c>
      <c r="B20" s="30" t="str">
        <f>+equipo1!B44</f>
        <v/>
      </c>
      <c r="C20" s="31" t="str">
        <f>+equipo1!$A$6</f>
        <v>equipo1</v>
      </c>
      <c r="D20" s="31">
        <f>+equipo1!C44</f>
        <v>0</v>
      </c>
      <c r="E20" s="31">
        <f>+equipo1!D44</f>
        <v>0</v>
      </c>
      <c r="F20" s="31">
        <f>+equipo1!E44</f>
        <v>0</v>
      </c>
      <c r="G20" s="31">
        <f>+equipo1!F44</f>
        <v>0</v>
      </c>
      <c r="H20" s="31">
        <f>+equipo1!G44</f>
        <v>0</v>
      </c>
      <c r="I20" s="31">
        <f>+equipo1!H44</f>
        <v>0</v>
      </c>
      <c r="J20" s="31">
        <f>+equipo1!I44</f>
        <v>0</v>
      </c>
      <c r="K20" s="31">
        <f>+equipo1!J44</f>
        <v>0</v>
      </c>
      <c r="L20" s="31">
        <f>+equipo1!K44</f>
        <v>0</v>
      </c>
      <c r="M20" s="31">
        <f>+equipo1!L44</f>
        <v>0</v>
      </c>
      <c r="N20" s="31">
        <f>+equipo1!M44</f>
        <v>0</v>
      </c>
      <c r="O20" s="31">
        <f>+equipo1!N44</f>
        <v>0</v>
      </c>
      <c r="P20" s="31">
        <f>+equipo1!O44</f>
        <v>0</v>
      </c>
      <c r="Q20" s="31">
        <f>+equipo1!P44</f>
        <v>0</v>
      </c>
      <c r="R20" s="31">
        <f>+equipo1!Q44</f>
        <v>0</v>
      </c>
      <c r="S20" s="31">
        <f>+equipo1!R44</f>
        <v>0</v>
      </c>
      <c r="T20" s="40"/>
      <c r="U20" s="31">
        <f>+equipo1!T44</f>
        <v>0</v>
      </c>
      <c r="V20" s="31">
        <f>+equipo1!U44</f>
        <v>0</v>
      </c>
    </row>
    <row r="21" spans="1:22" s="23" customFormat="1" ht="10.199999999999999" x14ac:dyDescent="0.2">
      <c r="A21" s="30" t="str">
        <f>+equipo1!A45</f>
        <v/>
      </c>
      <c r="B21" s="30" t="str">
        <f>+equipo1!B45</f>
        <v/>
      </c>
      <c r="C21" s="31" t="str">
        <f>+equipo1!$A$6</f>
        <v>equipo1</v>
      </c>
      <c r="D21" s="31">
        <f>+equipo1!C45</f>
        <v>0</v>
      </c>
      <c r="E21" s="31">
        <f>+equipo1!D45</f>
        <v>0</v>
      </c>
      <c r="F21" s="31">
        <f>+equipo1!E45</f>
        <v>0</v>
      </c>
      <c r="G21" s="31">
        <f>+equipo1!F45</f>
        <v>0</v>
      </c>
      <c r="H21" s="31">
        <f>+equipo1!G45</f>
        <v>0</v>
      </c>
      <c r="I21" s="31">
        <f>+equipo1!H45</f>
        <v>0</v>
      </c>
      <c r="J21" s="31">
        <f>+equipo1!I45</f>
        <v>0</v>
      </c>
      <c r="K21" s="31">
        <f>+equipo1!J45</f>
        <v>0</v>
      </c>
      <c r="L21" s="31">
        <f>+equipo1!K45</f>
        <v>0</v>
      </c>
      <c r="M21" s="31">
        <f>+equipo1!L45</f>
        <v>0</v>
      </c>
      <c r="N21" s="31">
        <f>+equipo1!M45</f>
        <v>0</v>
      </c>
      <c r="O21" s="31">
        <f>+equipo1!N45</f>
        <v>0</v>
      </c>
      <c r="P21" s="31">
        <f>+equipo1!O45</f>
        <v>0</v>
      </c>
      <c r="Q21" s="31">
        <f>+equipo1!P45</f>
        <v>0</v>
      </c>
      <c r="R21" s="31">
        <f>+equipo1!Q45</f>
        <v>0</v>
      </c>
      <c r="S21" s="31">
        <f>+equipo1!R45</f>
        <v>0</v>
      </c>
      <c r="T21" s="40"/>
      <c r="U21" s="31">
        <f>+equipo1!T45</f>
        <v>0</v>
      </c>
      <c r="V21" s="31">
        <f>+equipo1!U45</f>
        <v>0</v>
      </c>
    </row>
    <row r="22" spans="1:22" s="23" customFormat="1" ht="10.199999999999999" x14ac:dyDescent="0.2">
      <c r="A22" s="30" t="str">
        <f>+equipo1!A46</f>
        <v/>
      </c>
      <c r="B22" s="30" t="str">
        <f>+equipo1!B46</f>
        <v/>
      </c>
      <c r="C22" s="31" t="str">
        <f>+equipo1!$A$6</f>
        <v>equipo1</v>
      </c>
      <c r="D22" s="31">
        <f>+equipo1!C46</f>
        <v>0</v>
      </c>
      <c r="E22" s="31">
        <f>+equipo1!D46</f>
        <v>0</v>
      </c>
      <c r="F22" s="31">
        <f>+equipo1!E46</f>
        <v>0</v>
      </c>
      <c r="G22" s="31">
        <f>+equipo1!F46</f>
        <v>0</v>
      </c>
      <c r="H22" s="31">
        <f>+equipo1!G46</f>
        <v>0</v>
      </c>
      <c r="I22" s="31">
        <f>+equipo1!H46</f>
        <v>0</v>
      </c>
      <c r="J22" s="31">
        <f>+equipo1!I46</f>
        <v>0</v>
      </c>
      <c r="K22" s="31">
        <f>+equipo1!J46</f>
        <v>0</v>
      </c>
      <c r="L22" s="31">
        <f>+equipo1!K46</f>
        <v>0</v>
      </c>
      <c r="M22" s="31">
        <f>+equipo1!L46</f>
        <v>0</v>
      </c>
      <c r="N22" s="31">
        <f>+equipo1!M46</f>
        <v>0</v>
      </c>
      <c r="O22" s="31">
        <f>+equipo1!N46</f>
        <v>0</v>
      </c>
      <c r="P22" s="31">
        <f>+equipo1!O46</f>
        <v>0</v>
      </c>
      <c r="Q22" s="31">
        <f>+equipo1!P46</f>
        <v>0</v>
      </c>
      <c r="R22" s="31">
        <f>+equipo1!Q46</f>
        <v>0</v>
      </c>
      <c r="S22" s="31">
        <f>+equipo1!R46</f>
        <v>0</v>
      </c>
      <c r="T22" s="40"/>
      <c r="U22" s="31">
        <f>+equipo1!T46</f>
        <v>0</v>
      </c>
      <c r="V22" s="31">
        <f>+equipo1!U46</f>
        <v>0</v>
      </c>
    </row>
    <row r="23" spans="1:22" x14ac:dyDescent="0.25">
      <c r="A23" s="30" t="str">
        <f>+equipo1!A47</f>
        <v/>
      </c>
      <c r="B23" s="30" t="str">
        <f>+equipo1!B47</f>
        <v/>
      </c>
      <c r="C23" s="31" t="str">
        <f>+equipo1!$A$6</f>
        <v>equipo1</v>
      </c>
      <c r="D23" s="31">
        <f>+equipo1!C47</f>
        <v>0</v>
      </c>
      <c r="E23" s="31">
        <f>+equipo1!D47</f>
        <v>0</v>
      </c>
      <c r="F23" s="31">
        <f>+equipo1!E47</f>
        <v>0</v>
      </c>
      <c r="G23" s="31">
        <f>+equipo1!F47</f>
        <v>0</v>
      </c>
      <c r="H23" s="31">
        <f>+equipo1!G47</f>
        <v>0</v>
      </c>
      <c r="I23" s="31">
        <f>+equipo1!H47</f>
        <v>0</v>
      </c>
      <c r="J23" s="31">
        <f>+equipo1!I47</f>
        <v>0</v>
      </c>
      <c r="K23" s="31">
        <f>+equipo1!J47</f>
        <v>0</v>
      </c>
      <c r="L23" s="31">
        <f>+equipo1!K47</f>
        <v>0</v>
      </c>
      <c r="M23" s="31">
        <f>+equipo1!L47</f>
        <v>0</v>
      </c>
      <c r="N23" s="31">
        <f>+equipo1!M47</f>
        <v>0</v>
      </c>
      <c r="O23" s="31">
        <f>+equipo1!N47</f>
        <v>0</v>
      </c>
      <c r="P23" s="31">
        <f>+equipo1!O47</f>
        <v>0</v>
      </c>
      <c r="Q23" s="31">
        <f>+equipo1!P47</f>
        <v>0</v>
      </c>
      <c r="R23" s="31">
        <f>+equipo1!Q47</f>
        <v>0</v>
      </c>
      <c r="S23" s="31">
        <f>+equipo1!R47</f>
        <v>0</v>
      </c>
      <c r="T23" s="40"/>
      <c r="U23" s="31">
        <f>+equipo1!T47</f>
        <v>0</v>
      </c>
      <c r="V23" s="31">
        <f>+equipo1!U47</f>
        <v>0</v>
      </c>
    </row>
    <row r="24" spans="1:22" x14ac:dyDescent="0.25">
      <c r="A24" s="30" t="str">
        <f>+equipo1!A48</f>
        <v/>
      </c>
      <c r="B24" s="30" t="str">
        <f>+equipo1!B48</f>
        <v/>
      </c>
      <c r="C24" s="31" t="str">
        <f>+equipo1!$A$6</f>
        <v>equipo1</v>
      </c>
      <c r="D24" s="31">
        <f>+equipo1!C48</f>
        <v>0</v>
      </c>
      <c r="E24" s="31">
        <f>+equipo1!D48</f>
        <v>0</v>
      </c>
      <c r="F24" s="31">
        <f>+equipo1!E48</f>
        <v>0</v>
      </c>
      <c r="G24" s="31">
        <f>+equipo1!F48</f>
        <v>0</v>
      </c>
      <c r="H24" s="31">
        <f>+equipo1!G48</f>
        <v>0</v>
      </c>
      <c r="I24" s="31">
        <f>+equipo1!H48</f>
        <v>0</v>
      </c>
      <c r="J24" s="31">
        <f>+equipo1!I48</f>
        <v>0</v>
      </c>
      <c r="K24" s="31">
        <f>+equipo1!J48</f>
        <v>0</v>
      </c>
      <c r="L24" s="31">
        <f>+equipo1!K48</f>
        <v>0</v>
      </c>
      <c r="M24" s="31">
        <f>+equipo1!L48</f>
        <v>0</v>
      </c>
      <c r="N24" s="31">
        <f>+equipo1!M48</f>
        <v>0</v>
      </c>
      <c r="O24" s="31">
        <f>+equipo1!N48</f>
        <v>0</v>
      </c>
      <c r="P24" s="31">
        <f>+equipo1!O48</f>
        <v>0</v>
      </c>
      <c r="Q24" s="31">
        <f>+equipo1!P48</f>
        <v>0</v>
      </c>
      <c r="R24" s="31">
        <f>+equipo1!Q48</f>
        <v>0</v>
      </c>
      <c r="S24" s="31">
        <f>+equipo1!R48</f>
        <v>0</v>
      </c>
      <c r="T24" s="40"/>
      <c r="U24" s="31">
        <f>+equipo1!T48</f>
        <v>0</v>
      </c>
      <c r="V24" s="31">
        <f>+equipo1!U48</f>
        <v>0</v>
      </c>
    </row>
    <row r="25" spans="1:22" x14ac:dyDescent="0.25">
      <c r="A25" s="30" t="str">
        <f>+equipo1!A49</f>
        <v/>
      </c>
      <c r="B25" s="30" t="str">
        <f>+equipo1!B49</f>
        <v/>
      </c>
      <c r="C25" s="31" t="str">
        <f>+equipo1!$A$6</f>
        <v>equipo1</v>
      </c>
      <c r="D25" s="31">
        <f>+equipo1!C49</f>
        <v>0</v>
      </c>
      <c r="E25" s="31">
        <f>+equipo1!D49</f>
        <v>0</v>
      </c>
      <c r="F25" s="31">
        <f>+equipo1!E49</f>
        <v>0</v>
      </c>
      <c r="G25" s="31">
        <f>+equipo1!F49</f>
        <v>0</v>
      </c>
      <c r="H25" s="31">
        <f>+equipo1!G49</f>
        <v>0</v>
      </c>
      <c r="I25" s="31">
        <f>+equipo1!H49</f>
        <v>0</v>
      </c>
      <c r="J25" s="31">
        <f>+equipo1!I49</f>
        <v>0</v>
      </c>
      <c r="K25" s="31">
        <f>+equipo1!J49</f>
        <v>0</v>
      </c>
      <c r="L25" s="31">
        <f>+equipo1!K49</f>
        <v>0</v>
      </c>
      <c r="M25" s="31">
        <f>+equipo1!L49</f>
        <v>0</v>
      </c>
      <c r="N25" s="31">
        <f>+equipo1!M49</f>
        <v>0</v>
      </c>
      <c r="O25" s="31">
        <f>+equipo1!N49</f>
        <v>0</v>
      </c>
      <c r="P25" s="31">
        <f>+equipo1!O49</f>
        <v>0</v>
      </c>
      <c r="Q25" s="31">
        <f>+equipo1!P49</f>
        <v>0</v>
      </c>
      <c r="R25" s="31">
        <f>+equipo1!Q49</f>
        <v>0</v>
      </c>
      <c r="S25" s="31">
        <f>+equipo1!R49</f>
        <v>0</v>
      </c>
      <c r="T25" s="40"/>
      <c r="U25" s="31">
        <f>+equipo1!T49</f>
        <v>0</v>
      </c>
      <c r="V25" s="31">
        <f>+equipo1!U49</f>
        <v>0</v>
      </c>
    </row>
    <row r="26" spans="1:22" x14ac:dyDescent="0.25">
      <c r="A26" s="30" t="str">
        <f>+equipo1!A50</f>
        <v/>
      </c>
      <c r="B26" s="30" t="str">
        <f>+equipo1!B50</f>
        <v/>
      </c>
      <c r="C26" s="31" t="str">
        <f>+equipo1!$A$6</f>
        <v>equipo1</v>
      </c>
      <c r="D26" s="31">
        <f>+equipo1!C50</f>
        <v>0</v>
      </c>
      <c r="E26" s="31">
        <f>+equipo1!D50</f>
        <v>0</v>
      </c>
      <c r="F26" s="31">
        <f>+equipo1!E50</f>
        <v>0</v>
      </c>
      <c r="G26" s="31">
        <f>+equipo1!F50</f>
        <v>0</v>
      </c>
      <c r="H26" s="31">
        <f>+equipo1!G50</f>
        <v>0</v>
      </c>
      <c r="I26" s="31">
        <f>+equipo1!H50</f>
        <v>0</v>
      </c>
      <c r="J26" s="31">
        <f>+equipo1!I50</f>
        <v>0</v>
      </c>
      <c r="K26" s="31">
        <f>+equipo1!J50</f>
        <v>0</v>
      </c>
      <c r="L26" s="31">
        <f>+equipo1!K50</f>
        <v>0</v>
      </c>
      <c r="M26" s="31">
        <f>+equipo1!L50</f>
        <v>0</v>
      </c>
      <c r="N26" s="31">
        <f>+equipo1!M50</f>
        <v>0</v>
      </c>
      <c r="O26" s="31">
        <f>+equipo1!N50</f>
        <v>0</v>
      </c>
      <c r="P26" s="31">
        <f>+equipo1!O50</f>
        <v>0</v>
      </c>
      <c r="Q26" s="31">
        <f>+equipo1!P50</f>
        <v>0</v>
      </c>
      <c r="R26" s="31">
        <f>+equipo1!Q50</f>
        <v>0</v>
      </c>
      <c r="S26" s="31">
        <f>+equipo1!R50</f>
        <v>0</v>
      </c>
      <c r="T26" s="40"/>
      <c r="U26" s="31">
        <f>+equipo1!T50</f>
        <v>0</v>
      </c>
      <c r="V26" s="31">
        <f>+equipo1!U50</f>
        <v>0</v>
      </c>
    </row>
    <row r="27" spans="1:22" x14ac:dyDescent="0.25">
      <c r="A27" s="30" t="str">
        <f>+equipo2!A32</f>
        <v>JESUS  PAEZ EQUIPO 2</v>
      </c>
      <c r="B27" s="30">
        <f>+equipo2!B32</f>
        <v>13</v>
      </c>
      <c r="C27" s="31" t="str">
        <f>+equipo2!$A$6</f>
        <v>equipo2</v>
      </c>
      <c r="D27" s="31">
        <f>+equipo2!C32</f>
        <v>4</v>
      </c>
      <c r="E27" s="31">
        <f>+equipo2!D32</f>
        <v>2</v>
      </c>
      <c r="F27" s="31">
        <f>+equipo2!E32</f>
        <v>1</v>
      </c>
      <c r="G27" s="31">
        <f>+equipo2!F32</f>
        <v>0</v>
      </c>
      <c r="H27" s="31">
        <f>+equipo2!G32</f>
        <v>0</v>
      </c>
      <c r="I27" s="31">
        <f>+equipo2!H32</f>
        <v>0</v>
      </c>
      <c r="J27" s="31">
        <f>+equipo2!I32</f>
        <v>0</v>
      </c>
      <c r="K27" s="31">
        <f>+equipo2!J32</f>
        <v>0</v>
      </c>
      <c r="L27" s="31">
        <f>+equipo2!K32</f>
        <v>0</v>
      </c>
      <c r="M27" s="31">
        <f>+equipo2!L32</f>
        <v>1</v>
      </c>
      <c r="N27" s="31">
        <f>+equipo2!M32</f>
        <v>0</v>
      </c>
      <c r="O27" s="31">
        <f>+equipo2!N32</f>
        <v>0</v>
      </c>
      <c r="P27" s="31">
        <f>+equipo2!O32</f>
        <v>0</v>
      </c>
      <c r="Q27" s="31">
        <f>+equipo2!P32</f>
        <v>0</v>
      </c>
      <c r="R27" s="31">
        <f>+equipo2!Q32</f>
        <v>1</v>
      </c>
      <c r="S27" s="31">
        <f>+equipo2!R32</f>
        <v>4</v>
      </c>
      <c r="T27" s="41">
        <f>+equipo2!S32</f>
        <v>0</v>
      </c>
      <c r="U27" s="31">
        <f>+equipo2!T32</f>
        <v>250</v>
      </c>
      <c r="V27" s="31">
        <f>+equipo2!U32</f>
        <v>250</v>
      </c>
    </row>
    <row r="28" spans="1:22" x14ac:dyDescent="0.25">
      <c r="A28" s="30" t="str">
        <f>+equipo2!A33</f>
        <v>JOSEPH MENDOZA</v>
      </c>
      <c r="B28" s="30">
        <f>+equipo2!B33</f>
        <v>28</v>
      </c>
      <c r="C28" s="31" t="str">
        <f>+equipo2!$A$6</f>
        <v>equipo2</v>
      </c>
      <c r="D28" s="31">
        <f>+equipo2!C33</f>
        <v>3</v>
      </c>
      <c r="E28" s="31">
        <f>+equipo2!D33</f>
        <v>1</v>
      </c>
      <c r="F28" s="31">
        <f>+equipo2!E33</f>
        <v>1</v>
      </c>
      <c r="G28" s="31">
        <f>+equipo2!F33</f>
        <v>1</v>
      </c>
      <c r="H28" s="31">
        <f>+equipo2!G33</f>
        <v>0</v>
      </c>
      <c r="I28" s="31">
        <f>+equipo2!H33</f>
        <v>0</v>
      </c>
      <c r="J28" s="31">
        <f>+equipo2!I33</f>
        <v>0</v>
      </c>
      <c r="K28" s="31">
        <f>+equipo2!J33</f>
        <v>0</v>
      </c>
      <c r="L28" s="31">
        <f>+equipo2!K33</f>
        <v>1</v>
      </c>
      <c r="M28" s="31">
        <f>+equipo2!L33</f>
        <v>0</v>
      </c>
      <c r="N28" s="31">
        <f>+equipo2!M33</f>
        <v>0</v>
      </c>
      <c r="O28" s="31">
        <f>+equipo2!N33</f>
        <v>0</v>
      </c>
      <c r="P28" s="31">
        <f>+equipo2!O33</f>
        <v>0</v>
      </c>
      <c r="Q28" s="31">
        <f>+equipo2!P33</f>
        <v>0</v>
      </c>
      <c r="R28" s="31">
        <f>+equipo2!Q33</f>
        <v>2</v>
      </c>
      <c r="S28" s="31">
        <f>+equipo2!R33</f>
        <v>4</v>
      </c>
      <c r="T28" s="41">
        <f>+equipo2!S33</f>
        <v>0</v>
      </c>
      <c r="U28" s="31">
        <f>+equipo2!T33</f>
        <v>333.33333333333331</v>
      </c>
      <c r="V28" s="31">
        <f>+equipo2!U33</f>
        <v>666.66666666666663</v>
      </c>
    </row>
    <row r="29" spans="1:22" x14ac:dyDescent="0.25">
      <c r="A29" s="30" t="str">
        <f>+equipo2!A34</f>
        <v>ABRAHAN RODRIGUZ</v>
      </c>
      <c r="B29" s="30" t="str">
        <f>+equipo2!B34</f>
        <v/>
      </c>
      <c r="C29" s="31" t="str">
        <f>+equipo2!$A$6</f>
        <v>equipo2</v>
      </c>
      <c r="D29" s="31">
        <f>+equipo2!C34</f>
        <v>4</v>
      </c>
      <c r="E29" s="31">
        <f>+equipo2!D34</f>
        <v>0</v>
      </c>
      <c r="F29" s="31">
        <f>+equipo2!E34</f>
        <v>1</v>
      </c>
      <c r="G29" s="31">
        <f>+equipo2!F34</f>
        <v>0</v>
      </c>
      <c r="H29" s="31">
        <f>+equipo2!G34</f>
        <v>0</v>
      </c>
      <c r="I29" s="31">
        <f>+equipo2!H34</f>
        <v>0</v>
      </c>
      <c r="J29" s="31">
        <f>+equipo2!I34</f>
        <v>0</v>
      </c>
      <c r="K29" s="31">
        <f>+equipo2!J34</f>
        <v>0</v>
      </c>
      <c r="L29" s="31">
        <f>+equipo2!K34</f>
        <v>0</v>
      </c>
      <c r="M29" s="31">
        <f>+equipo2!L34</f>
        <v>0</v>
      </c>
      <c r="N29" s="31">
        <f>+equipo2!M34</f>
        <v>0</v>
      </c>
      <c r="O29" s="31">
        <f>+equipo2!N34</f>
        <v>0</v>
      </c>
      <c r="P29" s="31">
        <f>+equipo2!O34</f>
        <v>0</v>
      </c>
      <c r="Q29" s="31">
        <f>+equipo2!P34</f>
        <v>0</v>
      </c>
      <c r="R29" s="31">
        <f>+equipo2!Q34</f>
        <v>1</v>
      </c>
      <c r="S29" s="31">
        <f>+equipo2!R34</f>
        <v>4</v>
      </c>
      <c r="T29" s="41">
        <f>+equipo2!S34</f>
        <v>0</v>
      </c>
      <c r="U29" s="31">
        <f>+equipo2!T34</f>
        <v>250</v>
      </c>
      <c r="V29" s="31">
        <f>+equipo2!U34</f>
        <v>250</v>
      </c>
    </row>
    <row r="30" spans="1:22" x14ac:dyDescent="0.25">
      <c r="A30" s="30" t="str">
        <f>+equipo2!A35</f>
        <v>ALEXANDER HERNANDEZ</v>
      </c>
      <c r="B30" s="30" t="str">
        <f>+equipo2!B35</f>
        <v/>
      </c>
      <c r="C30" s="31" t="str">
        <f>+equipo2!$A$6</f>
        <v>equipo2</v>
      </c>
      <c r="D30" s="31">
        <f>+equipo2!C35</f>
        <v>0</v>
      </c>
      <c r="E30" s="31">
        <f>+equipo2!D35</f>
        <v>1</v>
      </c>
      <c r="F30" s="31">
        <f>+equipo2!E35</f>
        <v>0</v>
      </c>
      <c r="G30" s="31">
        <f>+equipo2!F35</f>
        <v>0</v>
      </c>
      <c r="H30" s="31">
        <f>+equipo2!G35</f>
        <v>0</v>
      </c>
      <c r="I30" s="31">
        <f>+equipo2!H35</f>
        <v>0</v>
      </c>
      <c r="J30" s="31">
        <f>+equipo2!I35</f>
        <v>1</v>
      </c>
      <c r="K30" s="31">
        <f>+equipo2!J35</f>
        <v>0</v>
      </c>
      <c r="L30" s="31">
        <f>+equipo2!K35</f>
        <v>3</v>
      </c>
      <c r="M30" s="31">
        <f>+equipo2!L35</f>
        <v>3</v>
      </c>
      <c r="N30" s="31">
        <f>+equipo2!M35</f>
        <v>0</v>
      </c>
      <c r="O30" s="31">
        <f>+equipo2!N35</f>
        <v>0</v>
      </c>
      <c r="P30" s="31">
        <f>+equipo2!O35</f>
        <v>0</v>
      </c>
      <c r="Q30" s="31">
        <f>+equipo2!P35</f>
        <v>0</v>
      </c>
      <c r="R30" s="31">
        <f>+equipo2!Q35</f>
        <v>0</v>
      </c>
      <c r="S30" s="31">
        <f>+equipo2!R35</f>
        <v>3</v>
      </c>
      <c r="T30" s="41">
        <f>+equipo2!S35</f>
        <v>0</v>
      </c>
      <c r="U30" s="31">
        <f>+equipo2!T35</f>
        <v>0</v>
      </c>
      <c r="V30" s="31">
        <f>+equipo2!U35</f>
        <v>0</v>
      </c>
    </row>
    <row r="31" spans="1:22" x14ac:dyDescent="0.25">
      <c r="A31" s="30" t="str">
        <f>+equipo2!A36</f>
        <v>DANIEL LIENDO</v>
      </c>
      <c r="B31" s="30" t="str">
        <f>+equipo2!B36</f>
        <v/>
      </c>
      <c r="C31" s="31" t="str">
        <f>+equipo2!$A$6</f>
        <v>equipo2</v>
      </c>
      <c r="D31" s="31">
        <f>+equipo2!C36</f>
        <v>1</v>
      </c>
      <c r="E31" s="31">
        <f>+equipo2!D36</f>
        <v>0</v>
      </c>
      <c r="F31" s="31">
        <f>+equipo2!E36</f>
        <v>0</v>
      </c>
      <c r="G31" s="31">
        <f>+equipo2!F36</f>
        <v>0</v>
      </c>
      <c r="H31" s="31">
        <f>+equipo2!G36</f>
        <v>0</v>
      </c>
      <c r="I31" s="31">
        <f>+equipo2!H36</f>
        <v>0</v>
      </c>
      <c r="J31" s="31">
        <f>+equipo2!I36</f>
        <v>0</v>
      </c>
      <c r="K31" s="31">
        <f>+equipo2!J36</f>
        <v>0</v>
      </c>
      <c r="L31" s="31">
        <f>+equipo2!K36</f>
        <v>0</v>
      </c>
      <c r="M31" s="31">
        <f>+equipo2!L36</f>
        <v>0</v>
      </c>
      <c r="N31" s="31">
        <f>+equipo2!M36</f>
        <v>0</v>
      </c>
      <c r="O31" s="31">
        <f>+equipo2!N36</f>
        <v>0</v>
      </c>
      <c r="P31" s="31">
        <f>+equipo2!O36</f>
        <v>0</v>
      </c>
      <c r="Q31" s="31">
        <f>+equipo2!P36</f>
        <v>0</v>
      </c>
      <c r="R31" s="31">
        <f>+equipo2!Q36</f>
        <v>0</v>
      </c>
      <c r="S31" s="31">
        <f>+equipo2!R36</f>
        <v>1</v>
      </c>
      <c r="T31" s="41">
        <f>+equipo2!S36</f>
        <v>0</v>
      </c>
      <c r="U31" s="31">
        <f>+equipo2!T36</f>
        <v>0</v>
      </c>
      <c r="V31" s="31">
        <f>+equipo2!U36</f>
        <v>0</v>
      </c>
    </row>
    <row r="32" spans="1:22" x14ac:dyDescent="0.25">
      <c r="A32" s="30" t="str">
        <f>+equipo2!A37</f>
        <v>SEBASTIAN MUJICA</v>
      </c>
      <c r="B32" s="30" t="str">
        <f>+equipo2!B37</f>
        <v/>
      </c>
      <c r="C32" s="31" t="str">
        <f>+equipo2!$A$6</f>
        <v>equipo2</v>
      </c>
      <c r="D32" s="31">
        <f>+equipo2!C37</f>
        <v>2</v>
      </c>
      <c r="E32" s="31">
        <f>+equipo2!D37</f>
        <v>0</v>
      </c>
      <c r="F32" s="31">
        <f>+equipo2!E37</f>
        <v>0</v>
      </c>
      <c r="G32" s="31">
        <f>+equipo2!F37</f>
        <v>0</v>
      </c>
      <c r="H32" s="31">
        <f>+equipo2!G37</f>
        <v>0</v>
      </c>
      <c r="I32" s="31">
        <f>+equipo2!H37</f>
        <v>0</v>
      </c>
      <c r="J32" s="31">
        <f>+equipo2!I37</f>
        <v>0</v>
      </c>
      <c r="K32" s="31">
        <f>+equipo2!J37</f>
        <v>1</v>
      </c>
      <c r="L32" s="31">
        <f>+equipo2!K37</f>
        <v>0</v>
      </c>
      <c r="M32" s="31">
        <f>+equipo2!L37</f>
        <v>0</v>
      </c>
      <c r="N32" s="31">
        <f>+equipo2!M37</f>
        <v>0</v>
      </c>
      <c r="O32" s="31">
        <f>+equipo2!N37</f>
        <v>0</v>
      </c>
      <c r="P32" s="31">
        <f>+equipo2!O37</f>
        <v>0</v>
      </c>
      <c r="Q32" s="31">
        <f>+equipo2!P37</f>
        <v>0</v>
      </c>
      <c r="R32" s="31">
        <f>+equipo2!Q37</f>
        <v>0</v>
      </c>
      <c r="S32" s="31">
        <f>+equipo2!R37</f>
        <v>2</v>
      </c>
      <c r="T32" s="41">
        <f>+equipo2!S37</f>
        <v>0</v>
      </c>
      <c r="U32" s="31">
        <f>+equipo2!T37</f>
        <v>0</v>
      </c>
      <c r="V32" s="31">
        <f>+equipo2!U37</f>
        <v>0</v>
      </c>
    </row>
    <row r="33" spans="1:22" x14ac:dyDescent="0.25">
      <c r="A33" s="30" t="str">
        <f>+equipo2!A38</f>
        <v>ANGEL RODRIGUEZ</v>
      </c>
      <c r="B33" s="30" t="str">
        <f>+equipo2!B38</f>
        <v/>
      </c>
      <c r="C33" s="31" t="str">
        <f>+equipo2!$A$6</f>
        <v>equipo2</v>
      </c>
      <c r="D33" s="31">
        <f>+equipo2!C38</f>
        <v>3</v>
      </c>
      <c r="E33" s="31">
        <f>+equipo2!D38</f>
        <v>2</v>
      </c>
      <c r="F33" s="31">
        <f>+equipo2!E38</f>
        <v>2</v>
      </c>
      <c r="G33" s="31">
        <f>+equipo2!F38</f>
        <v>0</v>
      </c>
      <c r="H33" s="31">
        <f>+equipo2!G38</f>
        <v>0</v>
      </c>
      <c r="I33" s="31">
        <f>+equipo2!H38</f>
        <v>0</v>
      </c>
      <c r="J33" s="31">
        <f>+equipo2!I38</f>
        <v>1</v>
      </c>
      <c r="K33" s="31">
        <f>+equipo2!J38</f>
        <v>1</v>
      </c>
      <c r="L33" s="31">
        <f>+equipo2!K38</f>
        <v>0</v>
      </c>
      <c r="M33" s="31">
        <f>+equipo2!L38</f>
        <v>1</v>
      </c>
      <c r="N33" s="31">
        <f>+equipo2!M38</f>
        <v>0</v>
      </c>
      <c r="O33" s="31">
        <f>+equipo2!N38</f>
        <v>0</v>
      </c>
      <c r="P33" s="31">
        <f>+equipo2!O38</f>
        <v>0</v>
      </c>
      <c r="Q33" s="31">
        <f>+equipo2!P38</f>
        <v>0</v>
      </c>
      <c r="R33" s="31">
        <f>+equipo2!Q38</f>
        <v>2</v>
      </c>
      <c r="S33" s="31">
        <f>+equipo2!R38</f>
        <v>3</v>
      </c>
      <c r="T33" s="41">
        <f>+equipo2!S38</f>
        <v>0</v>
      </c>
      <c r="U33" s="31">
        <f>+equipo2!T38</f>
        <v>666.66666666666663</v>
      </c>
      <c r="V33" s="31">
        <f>+equipo2!U38</f>
        <v>666.66666666666663</v>
      </c>
    </row>
    <row r="34" spans="1:22" x14ac:dyDescent="0.25">
      <c r="A34" s="30" t="str">
        <f>+equipo2!A39</f>
        <v>FRANCISCO MONASTERIO</v>
      </c>
      <c r="B34" s="30" t="str">
        <f>+equipo2!B39</f>
        <v/>
      </c>
      <c r="C34" s="31" t="str">
        <f>+equipo2!$A$6</f>
        <v>equipo2</v>
      </c>
      <c r="D34" s="31">
        <f>+equipo2!C39</f>
        <v>3</v>
      </c>
      <c r="E34" s="31">
        <f>+equipo2!D39</f>
        <v>1</v>
      </c>
      <c r="F34" s="31">
        <f>+equipo2!E39</f>
        <v>2</v>
      </c>
      <c r="G34" s="31">
        <f>+equipo2!F39</f>
        <v>0</v>
      </c>
      <c r="H34" s="31">
        <f>+equipo2!G39</f>
        <v>1</v>
      </c>
      <c r="I34" s="31">
        <f>+equipo2!H39</f>
        <v>0</v>
      </c>
      <c r="J34" s="31">
        <f>+equipo2!I39</f>
        <v>0</v>
      </c>
      <c r="K34" s="31">
        <f>+equipo2!J39</f>
        <v>0</v>
      </c>
      <c r="L34" s="31">
        <f>+equipo2!K39</f>
        <v>0</v>
      </c>
      <c r="M34" s="31">
        <f>+equipo2!L39</f>
        <v>0</v>
      </c>
      <c r="N34" s="31">
        <f>+equipo2!M39</f>
        <v>0</v>
      </c>
      <c r="O34" s="31">
        <f>+equipo2!N39</f>
        <v>0</v>
      </c>
      <c r="P34" s="31">
        <f>+equipo2!O39</f>
        <v>0</v>
      </c>
      <c r="Q34" s="31">
        <f>+equipo2!P39</f>
        <v>0</v>
      </c>
      <c r="R34" s="31">
        <f>+equipo2!Q39</f>
        <v>4</v>
      </c>
      <c r="S34" s="31">
        <f>+equipo2!R39</f>
        <v>3</v>
      </c>
      <c r="T34" s="41">
        <f>+equipo2!S39</f>
        <v>0</v>
      </c>
      <c r="U34" s="31">
        <f>+equipo2!T39</f>
        <v>666.66666666666663</v>
      </c>
      <c r="V34" s="31">
        <f>+equipo2!U39</f>
        <v>1333.3333333333333</v>
      </c>
    </row>
    <row r="35" spans="1:22" x14ac:dyDescent="0.25">
      <c r="A35" s="30" t="str">
        <f>+equipo2!A40</f>
        <v>MARCOS MORALES</v>
      </c>
      <c r="B35" s="30" t="str">
        <f>+equipo2!B40</f>
        <v/>
      </c>
      <c r="C35" s="31" t="str">
        <f>+equipo2!$A$6</f>
        <v>equipo2</v>
      </c>
      <c r="D35" s="31">
        <f>+equipo2!C40</f>
        <v>3</v>
      </c>
      <c r="E35" s="31">
        <f>+equipo2!D40</f>
        <v>2</v>
      </c>
      <c r="F35" s="31">
        <f>+equipo2!E40</f>
        <v>2</v>
      </c>
      <c r="G35" s="31">
        <f>+equipo2!F40</f>
        <v>1</v>
      </c>
      <c r="H35" s="31">
        <f>+equipo2!G40</f>
        <v>0</v>
      </c>
      <c r="I35" s="31">
        <f>+equipo2!H40</f>
        <v>0</v>
      </c>
      <c r="J35" s="31">
        <f>+equipo2!I40</f>
        <v>2</v>
      </c>
      <c r="K35" s="31">
        <f>+equipo2!J40</f>
        <v>1</v>
      </c>
      <c r="L35" s="31">
        <f>+equipo2!K40</f>
        <v>0</v>
      </c>
      <c r="M35" s="31">
        <f>+equipo2!L40</f>
        <v>3</v>
      </c>
      <c r="N35" s="31">
        <f>+equipo2!M40</f>
        <v>0</v>
      </c>
      <c r="O35" s="31">
        <f>+equipo2!N40</f>
        <v>0</v>
      </c>
      <c r="P35" s="31">
        <f>+equipo2!O40</f>
        <v>0</v>
      </c>
      <c r="Q35" s="31">
        <f>+equipo2!P40</f>
        <v>0</v>
      </c>
      <c r="R35" s="31">
        <f>+equipo2!Q40</f>
        <v>3</v>
      </c>
      <c r="S35" s="31">
        <f>+equipo2!R40</f>
        <v>3</v>
      </c>
      <c r="T35" s="41">
        <f>+equipo2!S40</f>
        <v>0</v>
      </c>
      <c r="U35" s="31">
        <f>+equipo2!T40</f>
        <v>666.66666666666663</v>
      </c>
      <c r="V35" s="31">
        <f>+equipo2!U40</f>
        <v>1000</v>
      </c>
    </row>
    <row r="36" spans="1:22" x14ac:dyDescent="0.25">
      <c r="A36" s="30" t="str">
        <f>+equipo2!A41</f>
        <v>ADRIAN MURILLO</v>
      </c>
      <c r="B36" s="30" t="str">
        <f>+equipo2!B41</f>
        <v/>
      </c>
      <c r="C36" s="31" t="str">
        <f>+equipo2!$A$6</f>
        <v>equipo2</v>
      </c>
      <c r="D36" s="31">
        <f>+equipo2!C41</f>
        <v>2</v>
      </c>
      <c r="E36" s="31">
        <f>+equipo2!D41</f>
        <v>1</v>
      </c>
      <c r="F36" s="31">
        <f>+equipo2!E41</f>
        <v>0</v>
      </c>
      <c r="G36" s="31">
        <f>+equipo2!F41</f>
        <v>0</v>
      </c>
      <c r="H36" s="31">
        <f>+equipo2!G41</f>
        <v>0</v>
      </c>
      <c r="I36" s="31">
        <f>+equipo2!H41</f>
        <v>0</v>
      </c>
      <c r="J36" s="31">
        <f>+equipo2!I41</f>
        <v>0</v>
      </c>
      <c r="K36" s="31">
        <f>+equipo2!J41</f>
        <v>1</v>
      </c>
      <c r="L36" s="31">
        <f>+equipo2!K41</f>
        <v>1</v>
      </c>
      <c r="M36" s="31">
        <f>+equipo2!L41</f>
        <v>1</v>
      </c>
      <c r="N36" s="31">
        <f>+equipo2!M41</f>
        <v>0</v>
      </c>
      <c r="O36" s="31">
        <f>+equipo2!N41</f>
        <v>0</v>
      </c>
      <c r="P36" s="31">
        <f>+equipo2!O41</f>
        <v>0</v>
      </c>
      <c r="Q36" s="31">
        <f>+equipo2!P41</f>
        <v>0</v>
      </c>
      <c r="R36" s="31">
        <f>+equipo2!Q41</f>
        <v>0</v>
      </c>
      <c r="S36" s="31">
        <f>+equipo2!R41</f>
        <v>3</v>
      </c>
      <c r="T36" s="41">
        <f>+equipo2!S41</f>
        <v>0</v>
      </c>
      <c r="U36" s="31">
        <f>+equipo2!T41</f>
        <v>0</v>
      </c>
      <c r="V36" s="31">
        <f>+equipo2!U41</f>
        <v>0</v>
      </c>
    </row>
    <row r="37" spans="1:22" x14ac:dyDescent="0.25">
      <c r="A37" s="30" t="str">
        <f>+equipo2!A42</f>
        <v>DARGREYBER RODRIGUEZ</v>
      </c>
      <c r="B37" s="30" t="str">
        <f>+equipo2!B42</f>
        <v/>
      </c>
      <c r="C37" s="31" t="str">
        <f>+equipo2!$A$6</f>
        <v>equipo2</v>
      </c>
      <c r="D37" s="31">
        <f>+equipo2!C42</f>
        <v>0</v>
      </c>
      <c r="E37" s="31">
        <f>+equipo2!D42</f>
        <v>0</v>
      </c>
      <c r="F37" s="31">
        <f>+equipo2!E42</f>
        <v>0</v>
      </c>
      <c r="G37" s="31">
        <f>+equipo2!F42</f>
        <v>0</v>
      </c>
      <c r="H37" s="31">
        <f>+equipo2!G42</f>
        <v>0</v>
      </c>
      <c r="I37" s="31">
        <f>+equipo2!H42</f>
        <v>0</v>
      </c>
      <c r="J37" s="31">
        <f>+equipo2!I42</f>
        <v>0</v>
      </c>
      <c r="K37" s="31">
        <f>+equipo2!J42</f>
        <v>0</v>
      </c>
      <c r="L37" s="31">
        <f>+equipo2!K42</f>
        <v>0</v>
      </c>
      <c r="M37" s="31">
        <f>+equipo2!L42</f>
        <v>0</v>
      </c>
      <c r="N37" s="31">
        <f>+equipo2!M42</f>
        <v>0</v>
      </c>
      <c r="O37" s="31">
        <f>+equipo2!N42</f>
        <v>0</v>
      </c>
      <c r="P37" s="31">
        <f>+equipo2!O42</f>
        <v>0</v>
      </c>
      <c r="Q37" s="31">
        <f>+equipo2!P42</f>
        <v>0</v>
      </c>
      <c r="R37" s="31">
        <f>+equipo2!Q42</f>
        <v>0</v>
      </c>
      <c r="S37" s="31">
        <f>+equipo2!R42</f>
        <v>0</v>
      </c>
      <c r="T37" s="41">
        <f>+equipo2!S42</f>
        <v>0</v>
      </c>
      <c r="U37" s="31">
        <f>+equipo2!T42</f>
        <v>0</v>
      </c>
      <c r="V37" s="31">
        <f>+equipo2!U42</f>
        <v>0</v>
      </c>
    </row>
    <row r="38" spans="1:22" x14ac:dyDescent="0.25">
      <c r="A38" s="30" t="str">
        <f>+equipo2!A43</f>
        <v>JENSE FLORES</v>
      </c>
      <c r="B38" s="30" t="str">
        <f>+equipo2!B43</f>
        <v/>
      </c>
      <c r="C38" s="31" t="str">
        <f>+equipo2!$A$6</f>
        <v>equipo2</v>
      </c>
      <c r="D38" s="31">
        <f>+equipo2!C43</f>
        <v>0</v>
      </c>
      <c r="E38" s="31">
        <f>+equipo2!D43</f>
        <v>0</v>
      </c>
      <c r="F38" s="31">
        <f>+equipo2!E43</f>
        <v>0</v>
      </c>
      <c r="G38" s="31">
        <f>+equipo2!F43</f>
        <v>0</v>
      </c>
      <c r="H38" s="31">
        <f>+equipo2!G43</f>
        <v>0</v>
      </c>
      <c r="I38" s="31">
        <f>+equipo2!H43</f>
        <v>0</v>
      </c>
      <c r="J38" s="31">
        <f>+equipo2!I43</f>
        <v>0</v>
      </c>
      <c r="K38" s="31">
        <f>+equipo2!J43</f>
        <v>0</v>
      </c>
      <c r="L38" s="31">
        <f>+equipo2!K43</f>
        <v>0</v>
      </c>
      <c r="M38" s="31">
        <f>+equipo2!L43</f>
        <v>0</v>
      </c>
      <c r="N38" s="31">
        <f>+equipo2!M43</f>
        <v>0</v>
      </c>
      <c r="O38" s="31">
        <f>+equipo2!N43</f>
        <v>0</v>
      </c>
      <c r="P38" s="31">
        <f>+equipo2!O43</f>
        <v>0</v>
      </c>
      <c r="Q38" s="31">
        <f>+equipo2!P43</f>
        <v>0</v>
      </c>
      <c r="R38" s="31">
        <f>+equipo2!Q43</f>
        <v>0</v>
      </c>
      <c r="S38" s="31">
        <f>+equipo2!R43</f>
        <v>0</v>
      </c>
      <c r="T38" s="41">
        <f>+equipo2!S43</f>
        <v>0</v>
      </c>
      <c r="U38" s="31">
        <f>+equipo2!T43</f>
        <v>0</v>
      </c>
      <c r="V38" s="31">
        <f>+equipo2!U43</f>
        <v>0</v>
      </c>
    </row>
    <row r="39" spans="1:22" x14ac:dyDescent="0.25">
      <c r="A39" s="30" t="str">
        <f>+equipo2!A44</f>
        <v/>
      </c>
      <c r="B39" s="30" t="str">
        <f>+equipo2!B44</f>
        <v/>
      </c>
      <c r="C39" s="31" t="str">
        <f>+equipo2!$A$6</f>
        <v>equipo2</v>
      </c>
      <c r="D39" s="31">
        <f>+equipo2!C44</f>
        <v>0</v>
      </c>
      <c r="E39" s="31">
        <f>+equipo2!D44</f>
        <v>0</v>
      </c>
      <c r="F39" s="31">
        <f>+equipo2!E44</f>
        <v>0</v>
      </c>
      <c r="G39" s="31">
        <f>+equipo2!F44</f>
        <v>0</v>
      </c>
      <c r="H39" s="31">
        <f>+equipo2!G44</f>
        <v>0</v>
      </c>
      <c r="I39" s="31">
        <f>+equipo2!H44</f>
        <v>0</v>
      </c>
      <c r="J39" s="31">
        <f>+equipo2!I44</f>
        <v>0</v>
      </c>
      <c r="K39" s="31">
        <f>+equipo2!J44</f>
        <v>0</v>
      </c>
      <c r="L39" s="31">
        <f>+equipo2!K44</f>
        <v>0</v>
      </c>
      <c r="M39" s="31">
        <f>+equipo2!L44</f>
        <v>0</v>
      </c>
      <c r="N39" s="31">
        <f>+equipo2!M44</f>
        <v>0</v>
      </c>
      <c r="O39" s="31">
        <f>+equipo2!N44</f>
        <v>0</v>
      </c>
      <c r="P39" s="31">
        <f>+equipo2!O44</f>
        <v>0</v>
      </c>
      <c r="Q39" s="31">
        <f>+equipo2!P44</f>
        <v>0</v>
      </c>
      <c r="R39" s="31">
        <f>+equipo2!Q44</f>
        <v>0</v>
      </c>
      <c r="S39" s="31">
        <f>+equipo2!R44</f>
        <v>0</v>
      </c>
      <c r="T39" s="41">
        <f>+equipo2!S44</f>
        <v>0</v>
      </c>
      <c r="U39" s="31">
        <f>+equipo2!T44</f>
        <v>0</v>
      </c>
      <c r="V39" s="31">
        <f>+equipo2!U44</f>
        <v>0</v>
      </c>
    </row>
    <row r="40" spans="1:22" x14ac:dyDescent="0.25">
      <c r="A40" s="30" t="str">
        <f>+equipo2!A45</f>
        <v/>
      </c>
      <c r="B40" s="30" t="str">
        <f>+equipo2!B45</f>
        <v/>
      </c>
      <c r="C40" s="31" t="str">
        <f>+equipo2!$A$6</f>
        <v>equipo2</v>
      </c>
      <c r="D40" s="31">
        <f>+equipo2!C45</f>
        <v>0</v>
      </c>
      <c r="E40" s="31">
        <f>+equipo2!D45</f>
        <v>0</v>
      </c>
      <c r="F40" s="31">
        <f>+equipo2!E45</f>
        <v>0</v>
      </c>
      <c r="G40" s="31">
        <f>+equipo2!F45</f>
        <v>0</v>
      </c>
      <c r="H40" s="31">
        <f>+equipo2!G45</f>
        <v>0</v>
      </c>
      <c r="I40" s="31">
        <f>+equipo2!H45</f>
        <v>0</v>
      </c>
      <c r="J40" s="31">
        <f>+equipo2!I45</f>
        <v>0</v>
      </c>
      <c r="K40" s="31">
        <f>+equipo2!J45</f>
        <v>0</v>
      </c>
      <c r="L40" s="31">
        <f>+equipo2!K45</f>
        <v>0</v>
      </c>
      <c r="M40" s="31">
        <f>+equipo2!L45</f>
        <v>0</v>
      </c>
      <c r="N40" s="31">
        <f>+equipo2!M45</f>
        <v>0</v>
      </c>
      <c r="O40" s="31">
        <f>+equipo2!N45</f>
        <v>0</v>
      </c>
      <c r="P40" s="31">
        <f>+equipo2!O45</f>
        <v>0</v>
      </c>
      <c r="Q40" s="31">
        <f>+equipo2!P45</f>
        <v>0</v>
      </c>
      <c r="R40" s="31">
        <f>+equipo2!Q45</f>
        <v>0</v>
      </c>
      <c r="S40" s="31">
        <f>+equipo2!R45</f>
        <v>0</v>
      </c>
      <c r="T40" s="41">
        <f>+equipo2!S45</f>
        <v>0</v>
      </c>
      <c r="U40" s="31">
        <f>+equipo2!T45</f>
        <v>0</v>
      </c>
      <c r="V40" s="31">
        <f>+equipo2!U45</f>
        <v>0</v>
      </c>
    </row>
    <row r="41" spans="1:22" x14ac:dyDescent="0.25">
      <c r="A41" s="30" t="str">
        <f>+equipo2!A46</f>
        <v/>
      </c>
      <c r="B41" s="30" t="str">
        <f>+equipo2!B46</f>
        <v/>
      </c>
      <c r="C41" s="31" t="str">
        <f>+equipo2!$A$6</f>
        <v>equipo2</v>
      </c>
      <c r="D41" s="31">
        <f>+equipo2!C46</f>
        <v>0</v>
      </c>
      <c r="E41" s="31">
        <f>+equipo2!D46</f>
        <v>0</v>
      </c>
      <c r="F41" s="31">
        <f>+equipo2!E46</f>
        <v>0</v>
      </c>
      <c r="G41" s="31">
        <f>+equipo2!F46</f>
        <v>0</v>
      </c>
      <c r="H41" s="31">
        <f>+equipo2!G46</f>
        <v>0</v>
      </c>
      <c r="I41" s="31">
        <f>+equipo2!H46</f>
        <v>0</v>
      </c>
      <c r="J41" s="31">
        <f>+equipo2!I46</f>
        <v>0</v>
      </c>
      <c r="K41" s="31">
        <f>+equipo2!J46</f>
        <v>0</v>
      </c>
      <c r="L41" s="31">
        <f>+equipo2!K46</f>
        <v>0</v>
      </c>
      <c r="M41" s="31">
        <f>+equipo2!L46</f>
        <v>0</v>
      </c>
      <c r="N41" s="31">
        <f>+equipo2!M46</f>
        <v>0</v>
      </c>
      <c r="O41" s="31">
        <f>+equipo2!N46</f>
        <v>0</v>
      </c>
      <c r="P41" s="31">
        <f>+equipo2!O46</f>
        <v>0</v>
      </c>
      <c r="Q41" s="31">
        <f>+equipo2!P46</f>
        <v>0</v>
      </c>
      <c r="R41" s="31">
        <f>+equipo2!Q46</f>
        <v>0</v>
      </c>
      <c r="S41" s="31">
        <f>+equipo2!R46</f>
        <v>0</v>
      </c>
      <c r="T41" s="41">
        <f>+equipo2!S46</f>
        <v>0</v>
      </c>
      <c r="U41" s="31">
        <f>+equipo2!T46</f>
        <v>0</v>
      </c>
      <c r="V41" s="31">
        <f>+equipo2!U46</f>
        <v>0</v>
      </c>
    </row>
    <row r="42" spans="1:22" x14ac:dyDescent="0.25">
      <c r="A42" s="30" t="str">
        <f>+equipo2!A47</f>
        <v/>
      </c>
      <c r="B42" s="30" t="str">
        <f>+equipo2!B47</f>
        <v/>
      </c>
      <c r="C42" s="31" t="str">
        <f>+equipo2!$A$6</f>
        <v>equipo2</v>
      </c>
      <c r="D42" s="31">
        <f>+equipo2!C47</f>
        <v>0</v>
      </c>
      <c r="E42" s="31">
        <f>+equipo2!D47</f>
        <v>0</v>
      </c>
      <c r="F42" s="31">
        <f>+equipo2!E47</f>
        <v>0</v>
      </c>
      <c r="G42" s="31">
        <f>+equipo2!F47</f>
        <v>0</v>
      </c>
      <c r="H42" s="31">
        <f>+equipo2!G47</f>
        <v>0</v>
      </c>
      <c r="I42" s="31">
        <f>+equipo2!H47</f>
        <v>0</v>
      </c>
      <c r="J42" s="31">
        <f>+equipo2!I47</f>
        <v>0</v>
      </c>
      <c r="K42" s="31">
        <f>+equipo2!J47</f>
        <v>0</v>
      </c>
      <c r="L42" s="31">
        <f>+equipo2!K47</f>
        <v>0</v>
      </c>
      <c r="M42" s="31">
        <f>+equipo2!L47</f>
        <v>0</v>
      </c>
      <c r="N42" s="31">
        <f>+equipo2!M47</f>
        <v>0</v>
      </c>
      <c r="O42" s="31">
        <f>+equipo2!N47</f>
        <v>0</v>
      </c>
      <c r="P42" s="31">
        <f>+equipo2!O47</f>
        <v>0</v>
      </c>
      <c r="Q42" s="31">
        <f>+equipo2!P47</f>
        <v>0</v>
      </c>
      <c r="R42" s="31">
        <f>+equipo2!Q47</f>
        <v>0</v>
      </c>
      <c r="S42" s="31">
        <f>+equipo2!R47</f>
        <v>0</v>
      </c>
      <c r="T42" s="41">
        <f>+equipo2!S47</f>
        <v>0</v>
      </c>
      <c r="U42" s="31">
        <f>+equipo2!T47</f>
        <v>0</v>
      </c>
      <c r="V42" s="31">
        <f>+equipo2!U47</f>
        <v>0</v>
      </c>
    </row>
    <row r="43" spans="1:22" x14ac:dyDescent="0.25">
      <c r="A43" s="30" t="str">
        <f>+equipo2!A48</f>
        <v/>
      </c>
      <c r="B43" s="30" t="str">
        <f>+equipo2!B48</f>
        <v/>
      </c>
      <c r="C43" s="31" t="str">
        <f>+equipo2!$A$6</f>
        <v>equipo2</v>
      </c>
      <c r="D43" s="31">
        <f>+equipo2!C48</f>
        <v>0</v>
      </c>
      <c r="E43" s="31">
        <f>+equipo2!D48</f>
        <v>0</v>
      </c>
      <c r="F43" s="31">
        <f>+equipo2!E48</f>
        <v>0</v>
      </c>
      <c r="G43" s="31">
        <f>+equipo2!F48</f>
        <v>0</v>
      </c>
      <c r="H43" s="31">
        <f>+equipo2!G48</f>
        <v>0</v>
      </c>
      <c r="I43" s="31">
        <f>+equipo2!H48</f>
        <v>0</v>
      </c>
      <c r="J43" s="31">
        <f>+equipo2!I48</f>
        <v>0</v>
      </c>
      <c r="K43" s="31">
        <f>+equipo2!J48</f>
        <v>0</v>
      </c>
      <c r="L43" s="31">
        <f>+equipo2!K48</f>
        <v>0</v>
      </c>
      <c r="M43" s="31">
        <f>+equipo2!L48</f>
        <v>0</v>
      </c>
      <c r="N43" s="31">
        <f>+equipo2!M48</f>
        <v>0</v>
      </c>
      <c r="O43" s="31">
        <f>+equipo2!N48</f>
        <v>0</v>
      </c>
      <c r="P43" s="31">
        <f>+equipo2!O48</f>
        <v>0</v>
      </c>
      <c r="Q43" s="31">
        <f>+equipo2!P48</f>
        <v>0</v>
      </c>
      <c r="R43" s="31">
        <f>+equipo2!Q48</f>
        <v>0</v>
      </c>
      <c r="S43" s="31">
        <f>+equipo2!R48</f>
        <v>0</v>
      </c>
      <c r="T43" s="41">
        <f>+equipo2!S48</f>
        <v>0</v>
      </c>
      <c r="U43" s="31">
        <f>+equipo2!T48</f>
        <v>0</v>
      </c>
      <c r="V43" s="31">
        <f>+equipo2!U48</f>
        <v>0</v>
      </c>
    </row>
    <row r="44" spans="1:22" x14ac:dyDescent="0.25">
      <c r="A44" s="30" t="str">
        <f>+equipo2!A49</f>
        <v/>
      </c>
      <c r="B44" s="30" t="str">
        <f>+equipo2!B49</f>
        <v/>
      </c>
      <c r="C44" s="31" t="str">
        <f>+equipo2!$A$6</f>
        <v>equipo2</v>
      </c>
      <c r="D44" s="31">
        <f>+equipo2!C49</f>
        <v>0</v>
      </c>
      <c r="E44" s="31">
        <f>+equipo2!D49</f>
        <v>0</v>
      </c>
      <c r="F44" s="31">
        <f>+equipo2!E49</f>
        <v>0</v>
      </c>
      <c r="G44" s="31">
        <f>+equipo2!F49</f>
        <v>0</v>
      </c>
      <c r="H44" s="31">
        <f>+equipo2!G49</f>
        <v>0</v>
      </c>
      <c r="I44" s="31">
        <f>+equipo2!H49</f>
        <v>0</v>
      </c>
      <c r="J44" s="31">
        <f>+equipo2!I49</f>
        <v>0</v>
      </c>
      <c r="K44" s="31">
        <f>+equipo2!J49</f>
        <v>0</v>
      </c>
      <c r="L44" s="31">
        <f>+equipo2!K49</f>
        <v>0</v>
      </c>
      <c r="M44" s="31">
        <f>+equipo2!L49</f>
        <v>0</v>
      </c>
      <c r="N44" s="31">
        <f>+equipo2!M49</f>
        <v>0</v>
      </c>
      <c r="O44" s="31">
        <f>+equipo2!N49</f>
        <v>0</v>
      </c>
      <c r="P44" s="31">
        <f>+equipo2!O49</f>
        <v>0</v>
      </c>
      <c r="Q44" s="31">
        <f>+equipo2!P49</f>
        <v>0</v>
      </c>
      <c r="R44" s="31">
        <f>+equipo2!Q49</f>
        <v>0</v>
      </c>
      <c r="S44" s="31">
        <f>+equipo2!R49</f>
        <v>0</v>
      </c>
      <c r="T44" s="41">
        <f>+equipo2!S49</f>
        <v>0</v>
      </c>
      <c r="U44" s="31">
        <f>+equipo2!T49</f>
        <v>0</v>
      </c>
      <c r="V44" s="31">
        <f>+equipo2!U49</f>
        <v>0</v>
      </c>
    </row>
    <row r="45" spans="1:22" x14ac:dyDescent="0.25">
      <c r="A45" s="30" t="str">
        <f>+equipo2!A50</f>
        <v/>
      </c>
      <c r="B45" s="30" t="str">
        <f>+equipo2!B50</f>
        <v/>
      </c>
      <c r="C45" s="31" t="str">
        <f>+equipo2!$A$6</f>
        <v>equipo2</v>
      </c>
      <c r="D45" s="31">
        <f>+equipo2!C50</f>
        <v>0</v>
      </c>
      <c r="E45" s="31">
        <f>+equipo2!D50</f>
        <v>0</v>
      </c>
      <c r="F45" s="31">
        <f>+equipo2!E50</f>
        <v>0</v>
      </c>
      <c r="G45" s="31">
        <f>+equipo2!F50</f>
        <v>0</v>
      </c>
      <c r="H45" s="31">
        <f>+equipo2!G50</f>
        <v>0</v>
      </c>
      <c r="I45" s="31">
        <f>+equipo2!H50</f>
        <v>0</v>
      </c>
      <c r="J45" s="31">
        <f>+equipo2!I50</f>
        <v>0</v>
      </c>
      <c r="K45" s="31">
        <f>+equipo2!J50</f>
        <v>0</v>
      </c>
      <c r="L45" s="31">
        <f>+equipo2!K50</f>
        <v>0</v>
      </c>
      <c r="M45" s="31">
        <f>+equipo2!L50</f>
        <v>0</v>
      </c>
      <c r="N45" s="31">
        <f>+equipo2!M50</f>
        <v>0</v>
      </c>
      <c r="O45" s="31">
        <f>+equipo2!N50</f>
        <v>0</v>
      </c>
      <c r="P45" s="31">
        <f>+equipo2!O50</f>
        <v>0</v>
      </c>
      <c r="Q45" s="31">
        <f>+equipo2!P50</f>
        <v>0</v>
      </c>
      <c r="R45" s="31">
        <f>+equipo2!Q50</f>
        <v>0</v>
      </c>
      <c r="S45" s="31">
        <f>+equipo2!R50</f>
        <v>0</v>
      </c>
      <c r="T45" s="41">
        <f>+equipo2!S50</f>
        <v>0</v>
      </c>
      <c r="U45" s="31">
        <f>+equipo2!T50</f>
        <v>0</v>
      </c>
      <c r="V45" s="31">
        <f>+equipo2!U50</f>
        <v>0</v>
      </c>
    </row>
    <row r="46" spans="1:22" x14ac:dyDescent="0.25">
      <c r="A46" s="30" t="str">
        <f>+equipo3!A32</f>
        <v>PEDRO GUERRA EQUIPO3</v>
      </c>
      <c r="B46" s="30">
        <f>+equipo3!B32</f>
        <v>2</v>
      </c>
      <c r="C46" s="31" t="str">
        <f>+equipo3!$A$6</f>
        <v>equipo3</v>
      </c>
      <c r="D46" s="30">
        <f>+equipo3!C32</f>
        <v>4</v>
      </c>
      <c r="E46" s="30">
        <f>+equipo3!D32</f>
        <v>2</v>
      </c>
      <c r="F46" s="30">
        <f>+equipo3!F32</f>
        <v>0</v>
      </c>
      <c r="G46" s="30">
        <f>+equipo3!G32</f>
        <v>0</v>
      </c>
      <c r="H46" s="30">
        <f>+equipo3!H32</f>
        <v>0</v>
      </c>
      <c r="I46" s="30">
        <f>+equipo3!I32</f>
        <v>0</v>
      </c>
      <c r="J46" s="30">
        <f>+equipo3!J32</f>
        <v>0</v>
      </c>
      <c r="K46" s="30">
        <f>+equipo3!K32</f>
        <v>0</v>
      </c>
      <c r="L46" s="30">
        <f>+equipo3!L32</f>
        <v>1</v>
      </c>
      <c r="M46" s="30">
        <f>+equipo3!M32</f>
        <v>0</v>
      </c>
      <c r="N46" s="30">
        <f>+equipo3!N32</f>
        <v>0</v>
      </c>
      <c r="O46" s="30">
        <f>+equipo3!O32</f>
        <v>0</v>
      </c>
      <c r="P46" s="30">
        <f>+equipo3!P32</f>
        <v>0</v>
      </c>
      <c r="Q46" s="30">
        <f>+equipo3!Q32</f>
        <v>1</v>
      </c>
      <c r="R46" s="30">
        <f>+equipo3!R32</f>
        <v>4</v>
      </c>
      <c r="S46" s="30">
        <f>+equipo3!S32</f>
        <v>0</v>
      </c>
      <c r="T46" s="30">
        <f>+equipo3!T32</f>
        <v>250</v>
      </c>
      <c r="U46" s="30">
        <f>+equipo3!U32</f>
        <v>250</v>
      </c>
      <c r="V46" s="30">
        <f>+equipo3!V32</f>
        <v>0</v>
      </c>
    </row>
    <row r="47" spans="1:22" x14ac:dyDescent="0.25">
      <c r="A47" s="30" t="str">
        <f>+equipo3!A33</f>
        <v>JOSEPH MENDOZA</v>
      </c>
      <c r="B47" s="30">
        <f>+equipo3!B33</f>
        <v>3</v>
      </c>
      <c r="C47" s="31" t="str">
        <f>+equipo3!$A$6</f>
        <v>equipo3</v>
      </c>
      <c r="D47" s="30">
        <f>+equipo3!C33</f>
        <v>3</v>
      </c>
      <c r="E47" s="30">
        <f>+equipo3!D33</f>
        <v>1</v>
      </c>
      <c r="F47" s="30">
        <f>+equipo3!F33</f>
        <v>1</v>
      </c>
      <c r="G47" s="30">
        <f>+equipo3!G33</f>
        <v>0</v>
      </c>
      <c r="H47" s="30">
        <f>+equipo3!H33</f>
        <v>0</v>
      </c>
      <c r="I47" s="30">
        <f>+equipo3!I33</f>
        <v>0</v>
      </c>
      <c r="J47" s="30">
        <f>+equipo3!J33</f>
        <v>0</v>
      </c>
      <c r="K47" s="30">
        <f>+equipo3!K33</f>
        <v>1</v>
      </c>
      <c r="L47" s="30">
        <f>+equipo3!L33</f>
        <v>0</v>
      </c>
      <c r="M47" s="30">
        <f>+equipo3!M33</f>
        <v>0</v>
      </c>
      <c r="N47" s="30">
        <f>+equipo3!N33</f>
        <v>0</v>
      </c>
      <c r="O47" s="30">
        <f>+equipo3!O33</f>
        <v>0</v>
      </c>
      <c r="P47" s="30">
        <f>+equipo3!P33</f>
        <v>0</v>
      </c>
      <c r="Q47" s="30">
        <f>+equipo3!Q33</f>
        <v>2</v>
      </c>
      <c r="R47" s="30">
        <f>+equipo3!R33</f>
        <v>4</v>
      </c>
      <c r="S47" s="30">
        <f>+equipo3!S33</f>
        <v>0</v>
      </c>
      <c r="T47" s="30">
        <f>+equipo3!T33</f>
        <v>333.33333333333331</v>
      </c>
      <c r="U47" s="30">
        <f>+equipo3!U33</f>
        <v>666.66666666666663</v>
      </c>
      <c r="V47" s="30">
        <f>+equipo3!V33</f>
        <v>0</v>
      </c>
    </row>
    <row r="48" spans="1:22" x14ac:dyDescent="0.25">
      <c r="A48" s="30" t="str">
        <f>+equipo3!A34</f>
        <v>ABRAHAN RODRIGUZ</v>
      </c>
      <c r="B48" s="30" t="str">
        <f>+equipo3!B34</f>
        <v/>
      </c>
      <c r="C48" s="31" t="str">
        <f>+equipo3!$A$6</f>
        <v>equipo3</v>
      </c>
      <c r="D48" s="30">
        <f>+equipo3!C34</f>
        <v>4</v>
      </c>
      <c r="E48" s="30">
        <f>+equipo3!D34</f>
        <v>0</v>
      </c>
      <c r="F48" s="30">
        <f>+equipo3!F34</f>
        <v>0</v>
      </c>
      <c r="G48" s="30">
        <f>+equipo3!G34</f>
        <v>0</v>
      </c>
      <c r="H48" s="30">
        <f>+equipo3!H34</f>
        <v>0</v>
      </c>
      <c r="I48" s="30">
        <f>+equipo3!I34</f>
        <v>0</v>
      </c>
      <c r="J48" s="30">
        <f>+equipo3!J34</f>
        <v>0</v>
      </c>
      <c r="K48" s="30">
        <f>+equipo3!K34</f>
        <v>0</v>
      </c>
      <c r="L48" s="30">
        <f>+equipo3!L34</f>
        <v>0</v>
      </c>
      <c r="M48" s="30">
        <f>+equipo3!M34</f>
        <v>0</v>
      </c>
      <c r="N48" s="30">
        <f>+equipo3!N34</f>
        <v>0</v>
      </c>
      <c r="O48" s="30">
        <f>+equipo3!O34</f>
        <v>0</v>
      </c>
      <c r="P48" s="30">
        <f>+equipo3!P34</f>
        <v>0</v>
      </c>
      <c r="Q48" s="30">
        <f>+equipo3!Q34</f>
        <v>1</v>
      </c>
      <c r="R48" s="30">
        <f>+equipo3!R34</f>
        <v>4</v>
      </c>
      <c r="S48" s="30">
        <f>+equipo3!S34</f>
        <v>0</v>
      </c>
      <c r="T48" s="30">
        <f>+equipo3!T34</f>
        <v>250</v>
      </c>
      <c r="U48" s="30">
        <f>+equipo3!U34</f>
        <v>250</v>
      </c>
      <c r="V48" s="30">
        <f>+equipo3!V34</f>
        <v>0</v>
      </c>
    </row>
    <row r="49" spans="1:22" x14ac:dyDescent="0.25">
      <c r="A49" s="30" t="str">
        <f>+equipo3!A35</f>
        <v>ALEXANDER HERNANDEZ</v>
      </c>
      <c r="B49" s="30" t="str">
        <f>+equipo3!B35</f>
        <v/>
      </c>
      <c r="C49" s="31" t="str">
        <f>+equipo3!$A$6</f>
        <v>equipo3</v>
      </c>
      <c r="D49" s="30">
        <f>+equipo3!C35</f>
        <v>0</v>
      </c>
      <c r="E49" s="30">
        <f>+equipo3!D35</f>
        <v>1</v>
      </c>
      <c r="F49" s="30">
        <f>+equipo3!F35</f>
        <v>0</v>
      </c>
      <c r="G49" s="30">
        <f>+equipo3!G35</f>
        <v>0</v>
      </c>
      <c r="H49" s="30">
        <f>+equipo3!H35</f>
        <v>0</v>
      </c>
      <c r="I49" s="30">
        <f>+equipo3!I35</f>
        <v>1</v>
      </c>
      <c r="J49" s="30">
        <f>+equipo3!J35</f>
        <v>0</v>
      </c>
      <c r="K49" s="30">
        <f>+equipo3!K35</f>
        <v>3</v>
      </c>
      <c r="L49" s="30">
        <f>+equipo3!L35</f>
        <v>3</v>
      </c>
      <c r="M49" s="30">
        <f>+equipo3!M35</f>
        <v>0</v>
      </c>
      <c r="N49" s="30">
        <f>+equipo3!N35</f>
        <v>0</v>
      </c>
      <c r="O49" s="30">
        <f>+equipo3!O35</f>
        <v>0</v>
      </c>
      <c r="P49" s="30">
        <f>+equipo3!P35</f>
        <v>0</v>
      </c>
      <c r="Q49" s="30">
        <f>+equipo3!Q35</f>
        <v>0</v>
      </c>
      <c r="R49" s="30">
        <f>+equipo3!R35</f>
        <v>3</v>
      </c>
      <c r="S49" s="30">
        <f>+equipo3!S35</f>
        <v>0</v>
      </c>
      <c r="T49" s="30">
        <f>+equipo3!T35</f>
        <v>0</v>
      </c>
      <c r="U49" s="30">
        <f>+equipo3!U35</f>
        <v>0</v>
      </c>
      <c r="V49" s="30">
        <f>+equipo3!V35</f>
        <v>0</v>
      </c>
    </row>
    <row r="50" spans="1:22" x14ac:dyDescent="0.25">
      <c r="A50" s="30" t="str">
        <f>+equipo3!A36</f>
        <v>DANIEL LIENDO</v>
      </c>
      <c r="B50" s="30" t="str">
        <f>+equipo3!B36</f>
        <v/>
      </c>
      <c r="C50" s="31" t="str">
        <f>+equipo3!$A$6</f>
        <v>equipo3</v>
      </c>
      <c r="D50" s="30">
        <f>+equipo3!C36</f>
        <v>1</v>
      </c>
      <c r="E50" s="30">
        <f>+equipo3!D36</f>
        <v>0</v>
      </c>
      <c r="F50" s="30">
        <f>+equipo3!F36</f>
        <v>0</v>
      </c>
      <c r="G50" s="30">
        <f>+equipo3!G36</f>
        <v>0</v>
      </c>
      <c r="H50" s="30">
        <f>+equipo3!H36</f>
        <v>0</v>
      </c>
      <c r="I50" s="30">
        <f>+equipo3!I36</f>
        <v>0</v>
      </c>
      <c r="J50" s="30">
        <f>+equipo3!J36</f>
        <v>0</v>
      </c>
      <c r="K50" s="30">
        <f>+equipo3!K36</f>
        <v>0</v>
      </c>
      <c r="L50" s="30">
        <f>+equipo3!L36</f>
        <v>0</v>
      </c>
      <c r="M50" s="30">
        <f>+equipo3!M36</f>
        <v>0</v>
      </c>
      <c r="N50" s="30">
        <f>+equipo3!N36</f>
        <v>0</v>
      </c>
      <c r="O50" s="30">
        <f>+equipo3!O36</f>
        <v>0</v>
      </c>
      <c r="P50" s="30">
        <f>+equipo3!P36</f>
        <v>0</v>
      </c>
      <c r="Q50" s="30">
        <f>+equipo3!Q36</f>
        <v>0</v>
      </c>
      <c r="R50" s="30">
        <f>+equipo3!R36</f>
        <v>1</v>
      </c>
      <c r="S50" s="30">
        <f>+equipo3!S36</f>
        <v>0</v>
      </c>
      <c r="T50" s="30">
        <f>+equipo3!T36</f>
        <v>0</v>
      </c>
      <c r="U50" s="30">
        <f>+equipo3!U36</f>
        <v>0</v>
      </c>
      <c r="V50" s="30">
        <f>+equipo3!V36</f>
        <v>0</v>
      </c>
    </row>
    <row r="51" spans="1:22" x14ac:dyDescent="0.25">
      <c r="A51" s="30" t="str">
        <f>+equipo3!A37</f>
        <v>SEBASTIAN MUJICA</v>
      </c>
      <c r="B51" s="30" t="str">
        <f>+equipo3!B37</f>
        <v/>
      </c>
      <c r="C51" s="31" t="str">
        <f>+equipo3!$A$6</f>
        <v>equipo3</v>
      </c>
      <c r="D51" s="30">
        <f>+equipo3!C37</f>
        <v>2</v>
      </c>
      <c r="E51" s="30">
        <f>+equipo3!D37</f>
        <v>0</v>
      </c>
      <c r="F51" s="30">
        <f>+equipo3!F37</f>
        <v>0</v>
      </c>
      <c r="G51" s="30">
        <f>+equipo3!G37</f>
        <v>0</v>
      </c>
      <c r="H51" s="30">
        <f>+equipo3!H37</f>
        <v>0</v>
      </c>
      <c r="I51" s="30">
        <f>+equipo3!I37</f>
        <v>0</v>
      </c>
      <c r="J51" s="30">
        <f>+equipo3!J37</f>
        <v>1</v>
      </c>
      <c r="K51" s="30">
        <f>+equipo3!K37</f>
        <v>0</v>
      </c>
      <c r="L51" s="30">
        <f>+equipo3!L37</f>
        <v>0</v>
      </c>
      <c r="M51" s="30">
        <f>+equipo3!M37</f>
        <v>0</v>
      </c>
      <c r="N51" s="30">
        <f>+equipo3!N37</f>
        <v>0</v>
      </c>
      <c r="O51" s="30">
        <f>+equipo3!O37</f>
        <v>0</v>
      </c>
      <c r="P51" s="30">
        <f>+equipo3!P37</f>
        <v>0</v>
      </c>
      <c r="Q51" s="30">
        <f>+equipo3!Q37</f>
        <v>0</v>
      </c>
      <c r="R51" s="30">
        <f>+equipo3!R37</f>
        <v>2</v>
      </c>
      <c r="S51" s="30">
        <f>+equipo3!S37</f>
        <v>0</v>
      </c>
      <c r="T51" s="30">
        <f>+equipo3!T37</f>
        <v>0</v>
      </c>
      <c r="U51" s="30">
        <f>+equipo3!U37</f>
        <v>0</v>
      </c>
      <c r="V51" s="30">
        <f>+equipo3!V37</f>
        <v>0</v>
      </c>
    </row>
    <row r="52" spans="1:22" x14ac:dyDescent="0.25">
      <c r="A52" s="30" t="str">
        <f>+equipo3!A38</f>
        <v>ANGEL RODRIGUEZ</v>
      </c>
      <c r="B52" s="30" t="str">
        <f>+equipo3!B38</f>
        <v/>
      </c>
      <c r="C52" s="31" t="str">
        <f>+equipo3!$A$6</f>
        <v>equipo3</v>
      </c>
      <c r="D52" s="30">
        <f>+equipo3!C38</f>
        <v>3</v>
      </c>
      <c r="E52" s="30">
        <f>+equipo3!D38</f>
        <v>2</v>
      </c>
      <c r="F52" s="30">
        <f>+equipo3!F38</f>
        <v>0</v>
      </c>
      <c r="G52" s="30">
        <f>+equipo3!G38</f>
        <v>0</v>
      </c>
      <c r="H52" s="30">
        <f>+equipo3!H38</f>
        <v>0</v>
      </c>
      <c r="I52" s="30">
        <f>+equipo3!I38</f>
        <v>1</v>
      </c>
      <c r="J52" s="30">
        <f>+equipo3!J38</f>
        <v>1</v>
      </c>
      <c r="K52" s="30">
        <f>+equipo3!K38</f>
        <v>0</v>
      </c>
      <c r="L52" s="30">
        <f>+equipo3!L38</f>
        <v>1</v>
      </c>
      <c r="M52" s="30">
        <f>+equipo3!M38</f>
        <v>0</v>
      </c>
      <c r="N52" s="30">
        <f>+equipo3!N38</f>
        <v>0</v>
      </c>
      <c r="O52" s="30">
        <f>+equipo3!O38</f>
        <v>0</v>
      </c>
      <c r="P52" s="30">
        <f>+equipo3!P38</f>
        <v>0</v>
      </c>
      <c r="Q52" s="30">
        <f>+equipo3!Q38</f>
        <v>2</v>
      </c>
      <c r="R52" s="30">
        <f>+equipo3!R38</f>
        <v>3</v>
      </c>
      <c r="S52" s="30">
        <f>+equipo3!S38</f>
        <v>0</v>
      </c>
      <c r="T52" s="30">
        <f>+equipo3!T38</f>
        <v>666.66666666666663</v>
      </c>
      <c r="U52" s="30">
        <f>+equipo3!U38</f>
        <v>666.66666666666663</v>
      </c>
      <c r="V52" s="30">
        <f>+equipo3!V38</f>
        <v>0</v>
      </c>
    </row>
    <row r="53" spans="1:22" x14ac:dyDescent="0.25">
      <c r="A53" s="30" t="str">
        <f>+equipo3!A39</f>
        <v>FRANCISCO MONASTERIO</v>
      </c>
      <c r="B53" s="30" t="str">
        <f>+equipo3!B39</f>
        <v/>
      </c>
      <c r="C53" s="31" t="str">
        <f>+equipo3!$A$6</f>
        <v>equipo3</v>
      </c>
      <c r="D53" s="30">
        <f>+equipo3!C39</f>
        <v>3</v>
      </c>
      <c r="E53" s="30">
        <f>+equipo3!D39</f>
        <v>1</v>
      </c>
      <c r="F53" s="30">
        <f>+equipo3!F39</f>
        <v>0</v>
      </c>
      <c r="G53" s="30">
        <f>+equipo3!G39</f>
        <v>1</v>
      </c>
      <c r="H53" s="30">
        <f>+equipo3!H39</f>
        <v>0</v>
      </c>
      <c r="I53" s="30">
        <f>+equipo3!I39</f>
        <v>0</v>
      </c>
      <c r="J53" s="30">
        <f>+equipo3!J39</f>
        <v>0</v>
      </c>
      <c r="K53" s="30">
        <f>+equipo3!K39</f>
        <v>0</v>
      </c>
      <c r="L53" s="30">
        <f>+equipo3!L39</f>
        <v>0</v>
      </c>
      <c r="M53" s="30">
        <f>+equipo3!M39</f>
        <v>0</v>
      </c>
      <c r="N53" s="30">
        <f>+equipo3!N39</f>
        <v>0</v>
      </c>
      <c r="O53" s="30">
        <f>+equipo3!O39</f>
        <v>0</v>
      </c>
      <c r="P53" s="30">
        <f>+equipo3!P39</f>
        <v>0</v>
      </c>
      <c r="Q53" s="30">
        <f>+equipo3!Q39</f>
        <v>4</v>
      </c>
      <c r="R53" s="30">
        <f>+equipo3!R39</f>
        <v>3</v>
      </c>
      <c r="S53" s="30">
        <f>+equipo3!S39</f>
        <v>0</v>
      </c>
      <c r="T53" s="30">
        <f>+equipo3!T39</f>
        <v>666.66666666666663</v>
      </c>
      <c r="U53" s="30">
        <f>+equipo3!U39</f>
        <v>1333.3333333333333</v>
      </c>
      <c r="V53" s="30">
        <f>+equipo3!V39</f>
        <v>0</v>
      </c>
    </row>
    <row r="54" spans="1:22" x14ac:dyDescent="0.25">
      <c r="A54" s="30" t="str">
        <f>+equipo3!A40</f>
        <v>MARCOS MORALES</v>
      </c>
      <c r="B54" s="30" t="str">
        <f>+equipo3!B40</f>
        <v/>
      </c>
      <c r="C54" s="31" t="str">
        <f>+equipo3!$A$6</f>
        <v>equipo3</v>
      </c>
      <c r="D54" s="30">
        <f>+equipo3!C40</f>
        <v>3</v>
      </c>
      <c r="E54" s="30">
        <f>+equipo3!D40</f>
        <v>2</v>
      </c>
      <c r="F54" s="30">
        <f>+equipo3!F40</f>
        <v>1</v>
      </c>
      <c r="G54" s="30">
        <f>+equipo3!G40</f>
        <v>0</v>
      </c>
      <c r="H54" s="30">
        <f>+equipo3!H40</f>
        <v>0</v>
      </c>
      <c r="I54" s="30">
        <f>+equipo3!I40</f>
        <v>2</v>
      </c>
      <c r="J54" s="30">
        <f>+equipo3!J40</f>
        <v>1</v>
      </c>
      <c r="K54" s="30">
        <f>+equipo3!K40</f>
        <v>0</v>
      </c>
      <c r="L54" s="30">
        <f>+equipo3!L40</f>
        <v>3</v>
      </c>
      <c r="M54" s="30">
        <f>+equipo3!M40</f>
        <v>0</v>
      </c>
      <c r="N54" s="30">
        <f>+equipo3!N40</f>
        <v>0</v>
      </c>
      <c r="O54" s="30">
        <f>+equipo3!O40</f>
        <v>0</v>
      </c>
      <c r="P54" s="30">
        <f>+equipo3!P40</f>
        <v>0</v>
      </c>
      <c r="Q54" s="30">
        <f>+equipo3!Q40</f>
        <v>3</v>
      </c>
      <c r="R54" s="30">
        <f>+equipo3!R40</f>
        <v>3</v>
      </c>
      <c r="S54" s="30">
        <f>+equipo3!S40</f>
        <v>0</v>
      </c>
      <c r="T54" s="30">
        <f>+equipo3!T40</f>
        <v>666.66666666666663</v>
      </c>
      <c r="U54" s="30">
        <f>+equipo3!U40</f>
        <v>1000</v>
      </c>
      <c r="V54" s="30">
        <f>+equipo3!V40</f>
        <v>0</v>
      </c>
    </row>
    <row r="55" spans="1:22" x14ac:dyDescent="0.25">
      <c r="A55" s="30" t="str">
        <f>+equipo3!A41</f>
        <v>ADRIAN MURILLO</v>
      </c>
      <c r="B55" s="30" t="str">
        <f>+equipo3!B41</f>
        <v/>
      </c>
      <c r="C55" s="31" t="str">
        <f>+equipo3!$A$6</f>
        <v>equipo3</v>
      </c>
      <c r="D55" s="30">
        <f>+equipo3!C41</f>
        <v>2</v>
      </c>
      <c r="E55" s="30">
        <f>+equipo3!D41</f>
        <v>1</v>
      </c>
      <c r="F55" s="30">
        <f>+equipo3!F41</f>
        <v>0</v>
      </c>
      <c r="G55" s="30">
        <f>+equipo3!G41</f>
        <v>0</v>
      </c>
      <c r="H55" s="30">
        <f>+equipo3!H41</f>
        <v>0</v>
      </c>
      <c r="I55" s="30">
        <f>+equipo3!I41</f>
        <v>0</v>
      </c>
      <c r="J55" s="30">
        <f>+equipo3!J41</f>
        <v>1</v>
      </c>
      <c r="K55" s="30">
        <f>+equipo3!K41</f>
        <v>1</v>
      </c>
      <c r="L55" s="30">
        <f>+equipo3!L41</f>
        <v>1</v>
      </c>
      <c r="M55" s="30">
        <f>+equipo3!M41</f>
        <v>0</v>
      </c>
      <c r="N55" s="30">
        <f>+equipo3!N41</f>
        <v>0</v>
      </c>
      <c r="O55" s="30">
        <f>+equipo3!O41</f>
        <v>0</v>
      </c>
      <c r="P55" s="30">
        <f>+equipo3!P41</f>
        <v>0</v>
      </c>
      <c r="Q55" s="30">
        <f>+equipo3!Q41</f>
        <v>0</v>
      </c>
      <c r="R55" s="30">
        <f>+equipo3!R41</f>
        <v>3</v>
      </c>
      <c r="S55" s="30">
        <f>+equipo3!S41</f>
        <v>0</v>
      </c>
      <c r="T55" s="30">
        <f>+equipo3!T41</f>
        <v>0</v>
      </c>
      <c r="U55" s="30">
        <f>+equipo3!U41</f>
        <v>0</v>
      </c>
      <c r="V55" s="30">
        <f>+equipo3!V41</f>
        <v>0</v>
      </c>
    </row>
    <row r="56" spans="1:22" x14ac:dyDescent="0.25">
      <c r="A56" s="30" t="str">
        <f>+equipo3!A42</f>
        <v>DARGREYBER RODRIGUEZ</v>
      </c>
      <c r="B56" s="30" t="str">
        <f>+equipo3!B42</f>
        <v/>
      </c>
      <c r="C56" s="31" t="str">
        <f>+equipo3!$A$6</f>
        <v>equipo3</v>
      </c>
      <c r="D56" s="30">
        <f>+equipo3!C42</f>
        <v>0</v>
      </c>
      <c r="E56" s="30">
        <f>+equipo3!D42</f>
        <v>0</v>
      </c>
      <c r="F56" s="30">
        <f>+equipo3!F42</f>
        <v>0</v>
      </c>
      <c r="G56" s="30">
        <f>+equipo3!G42</f>
        <v>0</v>
      </c>
      <c r="H56" s="30">
        <f>+equipo3!H42</f>
        <v>0</v>
      </c>
      <c r="I56" s="30">
        <f>+equipo3!I42</f>
        <v>0</v>
      </c>
      <c r="J56" s="30">
        <f>+equipo3!J42</f>
        <v>0</v>
      </c>
      <c r="K56" s="30">
        <f>+equipo3!K42</f>
        <v>0</v>
      </c>
      <c r="L56" s="30">
        <f>+equipo3!L42</f>
        <v>0</v>
      </c>
      <c r="M56" s="30">
        <f>+equipo3!M42</f>
        <v>0</v>
      </c>
      <c r="N56" s="30">
        <f>+equipo3!N42</f>
        <v>0</v>
      </c>
      <c r="O56" s="30">
        <f>+equipo3!O42</f>
        <v>0</v>
      </c>
      <c r="P56" s="30">
        <f>+equipo3!P42</f>
        <v>0</v>
      </c>
      <c r="Q56" s="30">
        <f>+equipo3!Q42</f>
        <v>0</v>
      </c>
      <c r="R56" s="30">
        <f>+equipo3!R42</f>
        <v>0</v>
      </c>
      <c r="S56" s="30">
        <f>+equipo3!S42</f>
        <v>0</v>
      </c>
      <c r="T56" s="30">
        <f>+equipo3!T42</f>
        <v>0</v>
      </c>
      <c r="U56" s="30">
        <f>+equipo3!U42</f>
        <v>0</v>
      </c>
      <c r="V56" s="30">
        <f>+equipo3!V42</f>
        <v>0</v>
      </c>
    </row>
    <row r="57" spans="1:22" x14ac:dyDescent="0.25">
      <c r="A57" s="30" t="str">
        <f>+equipo3!A43</f>
        <v>JENSE FLORES</v>
      </c>
      <c r="B57" s="30" t="str">
        <f>+equipo3!B43</f>
        <v/>
      </c>
      <c r="C57" s="31" t="str">
        <f>+equipo3!$A$6</f>
        <v>equipo3</v>
      </c>
      <c r="D57" s="30">
        <f>+equipo3!C43</f>
        <v>0</v>
      </c>
      <c r="E57" s="30">
        <f>+equipo3!D43</f>
        <v>0</v>
      </c>
      <c r="F57" s="30">
        <f>+equipo3!F43</f>
        <v>0</v>
      </c>
      <c r="G57" s="30">
        <f>+equipo3!G43</f>
        <v>0</v>
      </c>
      <c r="H57" s="30">
        <f>+equipo3!H43</f>
        <v>0</v>
      </c>
      <c r="I57" s="30">
        <f>+equipo3!I43</f>
        <v>0</v>
      </c>
      <c r="J57" s="30">
        <f>+equipo3!J43</f>
        <v>0</v>
      </c>
      <c r="K57" s="30">
        <f>+equipo3!K43</f>
        <v>0</v>
      </c>
      <c r="L57" s="30">
        <f>+equipo3!L43</f>
        <v>0</v>
      </c>
      <c r="M57" s="30">
        <f>+equipo3!M43</f>
        <v>0</v>
      </c>
      <c r="N57" s="30">
        <f>+equipo3!N43</f>
        <v>0</v>
      </c>
      <c r="O57" s="30">
        <f>+equipo3!O43</f>
        <v>0</v>
      </c>
      <c r="P57" s="30">
        <f>+equipo3!P43</f>
        <v>0</v>
      </c>
      <c r="Q57" s="30">
        <f>+equipo3!Q43</f>
        <v>0</v>
      </c>
      <c r="R57" s="30">
        <f>+equipo3!R43</f>
        <v>0</v>
      </c>
      <c r="S57" s="30">
        <f>+equipo3!S43</f>
        <v>0</v>
      </c>
      <c r="T57" s="30">
        <f>+equipo3!T43</f>
        <v>0</v>
      </c>
      <c r="U57" s="30">
        <f>+equipo3!U43</f>
        <v>0</v>
      </c>
      <c r="V57" s="30">
        <f>+equipo3!V43</f>
        <v>0</v>
      </c>
    </row>
    <row r="58" spans="1:22" x14ac:dyDescent="0.25">
      <c r="A58" s="30" t="str">
        <f>+equipo3!A44</f>
        <v/>
      </c>
      <c r="B58" s="30" t="str">
        <f>+equipo3!B44</f>
        <v/>
      </c>
      <c r="C58" s="31" t="str">
        <f>+equipo3!$A$6</f>
        <v>equipo3</v>
      </c>
      <c r="D58" s="30">
        <f>+equipo3!C44</f>
        <v>0</v>
      </c>
      <c r="E58" s="30">
        <f>+equipo3!D44</f>
        <v>0</v>
      </c>
      <c r="F58" s="30">
        <f>+equipo3!F44</f>
        <v>0</v>
      </c>
      <c r="G58" s="30">
        <f>+equipo3!G44</f>
        <v>0</v>
      </c>
      <c r="H58" s="30">
        <f>+equipo3!H44</f>
        <v>0</v>
      </c>
      <c r="I58" s="30">
        <f>+equipo3!I44</f>
        <v>0</v>
      </c>
      <c r="J58" s="30">
        <f>+equipo3!J44</f>
        <v>0</v>
      </c>
      <c r="K58" s="30">
        <f>+equipo3!K44</f>
        <v>0</v>
      </c>
      <c r="L58" s="30">
        <f>+equipo3!L44</f>
        <v>0</v>
      </c>
      <c r="M58" s="30">
        <f>+equipo3!M44</f>
        <v>0</v>
      </c>
      <c r="N58" s="30">
        <f>+equipo3!N44</f>
        <v>0</v>
      </c>
      <c r="O58" s="30">
        <f>+equipo3!O44</f>
        <v>0</v>
      </c>
      <c r="P58" s="30">
        <f>+equipo3!P44</f>
        <v>0</v>
      </c>
      <c r="Q58" s="30">
        <f>+equipo3!Q44</f>
        <v>0</v>
      </c>
      <c r="R58" s="30">
        <f>+equipo3!R44</f>
        <v>0</v>
      </c>
      <c r="S58" s="30">
        <f>+equipo3!S44</f>
        <v>0</v>
      </c>
      <c r="T58" s="30">
        <f>+equipo3!T44</f>
        <v>0</v>
      </c>
      <c r="U58" s="30">
        <f>+equipo3!U44</f>
        <v>0</v>
      </c>
      <c r="V58" s="30">
        <f>+equipo3!V44</f>
        <v>0</v>
      </c>
    </row>
    <row r="59" spans="1:22" x14ac:dyDescent="0.25">
      <c r="A59" s="30" t="str">
        <f>+equipo3!A45</f>
        <v/>
      </c>
      <c r="B59" s="30" t="str">
        <f>+equipo3!B45</f>
        <v/>
      </c>
      <c r="C59" s="31" t="str">
        <f>+equipo3!$A$6</f>
        <v>equipo3</v>
      </c>
      <c r="D59" s="30">
        <f>+equipo3!C45</f>
        <v>0</v>
      </c>
      <c r="E59" s="30">
        <f>+equipo3!D45</f>
        <v>0</v>
      </c>
      <c r="F59" s="30">
        <f>+equipo3!F45</f>
        <v>0</v>
      </c>
      <c r="G59" s="30">
        <f>+equipo3!G45</f>
        <v>0</v>
      </c>
      <c r="H59" s="30">
        <f>+equipo3!H45</f>
        <v>0</v>
      </c>
      <c r="I59" s="30">
        <f>+equipo3!I45</f>
        <v>0</v>
      </c>
      <c r="J59" s="30">
        <f>+equipo3!J45</f>
        <v>0</v>
      </c>
      <c r="K59" s="30">
        <f>+equipo3!K45</f>
        <v>0</v>
      </c>
      <c r="L59" s="30">
        <f>+equipo3!L45</f>
        <v>0</v>
      </c>
      <c r="M59" s="30">
        <f>+equipo3!M45</f>
        <v>0</v>
      </c>
      <c r="N59" s="30">
        <f>+equipo3!N45</f>
        <v>0</v>
      </c>
      <c r="O59" s="30">
        <f>+equipo3!O45</f>
        <v>0</v>
      </c>
      <c r="P59" s="30">
        <f>+equipo3!P45</f>
        <v>0</v>
      </c>
      <c r="Q59" s="30">
        <f>+equipo3!Q45</f>
        <v>0</v>
      </c>
      <c r="R59" s="30">
        <f>+equipo3!R45</f>
        <v>0</v>
      </c>
      <c r="S59" s="30">
        <f>+equipo3!S45</f>
        <v>0</v>
      </c>
      <c r="T59" s="30">
        <f>+equipo3!T45</f>
        <v>0</v>
      </c>
      <c r="U59" s="30">
        <f>+equipo3!U45</f>
        <v>0</v>
      </c>
      <c r="V59" s="30">
        <f>+equipo3!V45</f>
        <v>0</v>
      </c>
    </row>
    <row r="60" spans="1:22" x14ac:dyDescent="0.25">
      <c r="A60" s="30" t="str">
        <f>+equipo3!A46</f>
        <v/>
      </c>
      <c r="B60" s="30" t="str">
        <f>+equipo3!B46</f>
        <v/>
      </c>
      <c r="C60" s="31" t="str">
        <f>+equipo3!$A$6</f>
        <v>equipo3</v>
      </c>
      <c r="D60" s="30">
        <f>+equipo3!C46</f>
        <v>0</v>
      </c>
      <c r="E60" s="30">
        <f>+equipo3!D46</f>
        <v>0</v>
      </c>
      <c r="F60" s="30">
        <f>+equipo3!F46</f>
        <v>0</v>
      </c>
      <c r="G60" s="30">
        <f>+equipo3!G46</f>
        <v>0</v>
      </c>
      <c r="H60" s="30">
        <f>+equipo3!H46</f>
        <v>0</v>
      </c>
      <c r="I60" s="30">
        <f>+equipo3!I46</f>
        <v>0</v>
      </c>
      <c r="J60" s="30">
        <f>+equipo3!J46</f>
        <v>0</v>
      </c>
      <c r="K60" s="30">
        <f>+equipo3!K46</f>
        <v>0</v>
      </c>
      <c r="L60" s="30">
        <f>+equipo3!L46</f>
        <v>0</v>
      </c>
      <c r="M60" s="30">
        <f>+equipo3!M46</f>
        <v>0</v>
      </c>
      <c r="N60" s="30">
        <f>+equipo3!N46</f>
        <v>0</v>
      </c>
      <c r="O60" s="30">
        <f>+equipo3!O46</f>
        <v>0</v>
      </c>
      <c r="P60" s="30">
        <f>+equipo3!P46</f>
        <v>0</v>
      </c>
      <c r="Q60" s="30">
        <f>+equipo3!Q46</f>
        <v>0</v>
      </c>
      <c r="R60" s="30">
        <f>+equipo3!R46</f>
        <v>0</v>
      </c>
      <c r="S60" s="30">
        <f>+equipo3!S46</f>
        <v>0</v>
      </c>
      <c r="T60" s="30">
        <f>+equipo3!T46</f>
        <v>0</v>
      </c>
      <c r="U60" s="30">
        <f>+equipo3!U46</f>
        <v>0</v>
      </c>
      <c r="V60" s="30">
        <f>+equipo3!V46</f>
        <v>0</v>
      </c>
    </row>
    <row r="61" spans="1:22" x14ac:dyDescent="0.25">
      <c r="A61" s="30" t="str">
        <f>+equipo3!A47</f>
        <v/>
      </c>
      <c r="B61" s="30" t="str">
        <f>+equipo3!B47</f>
        <v/>
      </c>
      <c r="C61" s="31" t="str">
        <f>+equipo3!$A$6</f>
        <v>equipo3</v>
      </c>
      <c r="D61" s="30">
        <f>+equipo3!C47</f>
        <v>0</v>
      </c>
      <c r="E61" s="30">
        <f>+equipo3!D47</f>
        <v>0</v>
      </c>
      <c r="F61" s="30">
        <f>+equipo3!F47</f>
        <v>0</v>
      </c>
      <c r="G61" s="30">
        <f>+equipo3!G47</f>
        <v>0</v>
      </c>
      <c r="H61" s="30">
        <f>+equipo3!H47</f>
        <v>0</v>
      </c>
      <c r="I61" s="30">
        <f>+equipo3!I47</f>
        <v>0</v>
      </c>
      <c r="J61" s="30">
        <f>+equipo3!J47</f>
        <v>0</v>
      </c>
      <c r="K61" s="30">
        <f>+equipo3!K47</f>
        <v>0</v>
      </c>
      <c r="L61" s="30">
        <f>+equipo3!L47</f>
        <v>0</v>
      </c>
      <c r="M61" s="30">
        <f>+equipo3!M47</f>
        <v>0</v>
      </c>
      <c r="N61" s="30">
        <f>+equipo3!N47</f>
        <v>0</v>
      </c>
      <c r="O61" s="30">
        <f>+equipo3!O47</f>
        <v>0</v>
      </c>
      <c r="P61" s="30">
        <f>+equipo3!P47</f>
        <v>0</v>
      </c>
      <c r="Q61" s="30">
        <f>+equipo3!Q47</f>
        <v>0</v>
      </c>
      <c r="R61" s="30">
        <f>+equipo3!R47</f>
        <v>0</v>
      </c>
      <c r="S61" s="30">
        <f>+equipo3!S47</f>
        <v>0</v>
      </c>
      <c r="T61" s="30">
        <f>+equipo3!T47</f>
        <v>0</v>
      </c>
      <c r="U61" s="30">
        <f>+equipo3!U47</f>
        <v>0</v>
      </c>
      <c r="V61" s="30">
        <f>+equipo3!V47</f>
        <v>0</v>
      </c>
    </row>
    <row r="62" spans="1:22" x14ac:dyDescent="0.25">
      <c r="A62" s="30" t="str">
        <f>+equipo3!A48</f>
        <v/>
      </c>
      <c r="B62" s="30" t="str">
        <f>+equipo3!B48</f>
        <v/>
      </c>
      <c r="C62" s="31" t="str">
        <f>+equipo3!$A$6</f>
        <v>equipo3</v>
      </c>
      <c r="D62" s="30">
        <f>+equipo3!C48</f>
        <v>0</v>
      </c>
      <c r="E62" s="30">
        <f>+equipo3!D48</f>
        <v>0</v>
      </c>
      <c r="F62" s="30">
        <f>+equipo3!F48</f>
        <v>0</v>
      </c>
      <c r="G62" s="30">
        <f>+equipo3!G48</f>
        <v>0</v>
      </c>
      <c r="H62" s="30">
        <f>+equipo3!H48</f>
        <v>0</v>
      </c>
      <c r="I62" s="30">
        <f>+equipo3!I48</f>
        <v>0</v>
      </c>
      <c r="J62" s="30">
        <f>+equipo3!J48</f>
        <v>0</v>
      </c>
      <c r="K62" s="30">
        <f>+equipo3!K48</f>
        <v>0</v>
      </c>
      <c r="L62" s="30">
        <f>+equipo3!L48</f>
        <v>0</v>
      </c>
      <c r="M62" s="30">
        <f>+equipo3!M48</f>
        <v>0</v>
      </c>
      <c r="N62" s="30">
        <f>+equipo3!N48</f>
        <v>0</v>
      </c>
      <c r="O62" s="30">
        <f>+equipo3!O48</f>
        <v>0</v>
      </c>
      <c r="P62" s="30">
        <f>+equipo3!P48</f>
        <v>0</v>
      </c>
      <c r="Q62" s="30">
        <f>+equipo3!Q48</f>
        <v>0</v>
      </c>
      <c r="R62" s="30">
        <f>+equipo3!R48</f>
        <v>0</v>
      </c>
      <c r="S62" s="30">
        <f>+equipo3!S48</f>
        <v>0</v>
      </c>
      <c r="T62" s="30">
        <f>+equipo3!T48</f>
        <v>0</v>
      </c>
      <c r="U62" s="30">
        <f>+equipo3!U48</f>
        <v>0</v>
      </c>
      <c r="V62" s="30">
        <f>+equipo3!V48</f>
        <v>0</v>
      </c>
    </row>
    <row r="63" spans="1:22" x14ac:dyDescent="0.25">
      <c r="A63" s="30" t="str">
        <f>+equipo3!A49</f>
        <v/>
      </c>
      <c r="B63" s="30" t="str">
        <f>+equipo3!B49</f>
        <v/>
      </c>
      <c r="C63" s="31" t="str">
        <f>+equipo3!$A$6</f>
        <v>equipo3</v>
      </c>
      <c r="D63" s="30">
        <f>+equipo3!C49</f>
        <v>0</v>
      </c>
      <c r="E63" s="30">
        <f>+equipo3!D49</f>
        <v>0</v>
      </c>
      <c r="F63" s="30">
        <f>+equipo3!F49</f>
        <v>0</v>
      </c>
      <c r="G63" s="30">
        <f>+equipo3!G49</f>
        <v>0</v>
      </c>
      <c r="H63" s="30">
        <f>+equipo3!H49</f>
        <v>0</v>
      </c>
      <c r="I63" s="30">
        <f>+equipo3!I49</f>
        <v>0</v>
      </c>
      <c r="J63" s="30">
        <f>+equipo3!J49</f>
        <v>0</v>
      </c>
      <c r="K63" s="30">
        <f>+equipo3!K49</f>
        <v>0</v>
      </c>
      <c r="L63" s="30">
        <f>+equipo3!L49</f>
        <v>0</v>
      </c>
      <c r="M63" s="30">
        <f>+equipo3!M49</f>
        <v>0</v>
      </c>
      <c r="N63" s="30">
        <f>+equipo3!N49</f>
        <v>0</v>
      </c>
      <c r="O63" s="30">
        <f>+equipo3!O49</f>
        <v>0</v>
      </c>
      <c r="P63" s="30">
        <f>+equipo3!P49</f>
        <v>0</v>
      </c>
      <c r="Q63" s="30">
        <f>+equipo3!Q49</f>
        <v>0</v>
      </c>
      <c r="R63" s="30">
        <f>+equipo3!R49</f>
        <v>0</v>
      </c>
      <c r="S63" s="30">
        <f>+equipo3!S49</f>
        <v>0</v>
      </c>
      <c r="T63" s="30">
        <f>+equipo3!T49</f>
        <v>0</v>
      </c>
      <c r="U63" s="30">
        <f>+equipo3!U49</f>
        <v>0</v>
      </c>
      <c r="V63" s="30">
        <f>+equipo3!V49</f>
        <v>0</v>
      </c>
    </row>
    <row r="64" spans="1:22" x14ac:dyDescent="0.25">
      <c r="A64" s="30" t="str">
        <f>+equipo3!A50</f>
        <v/>
      </c>
      <c r="B64" s="30" t="str">
        <f>+equipo3!B50</f>
        <v/>
      </c>
      <c r="C64" s="31" t="str">
        <f>+equipo3!$A$6</f>
        <v>equipo3</v>
      </c>
      <c r="D64" s="30">
        <f>+equipo3!C50</f>
        <v>0</v>
      </c>
      <c r="E64" s="30">
        <f>+equipo3!D50</f>
        <v>0</v>
      </c>
      <c r="F64" s="30">
        <f>+equipo3!F50</f>
        <v>0</v>
      </c>
      <c r="G64" s="30">
        <f>+equipo3!G50</f>
        <v>0</v>
      </c>
      <c r="H64" s="30">
        <f>+equipo3!H50</f>
        <v>0</v>
      </c>
      <c r="I64" s="30">
        <f>+equipo3!I50</f>
        <v>0</v>
      </c>
      <c r="J64" s="30">
        <f>+equipo3!J50</f>
        <v>0</v>
      </c>
      <c r="K64" s="30">
        <f>+equipo3!K50</f>
        <v>0</v>
      </c>
      <c r="L64" s="30">
        <f>+equipo3!L50</f>
        <v>0</v>
      </c>
      <c r="M64" s="30">
        <f>+equipo3!M50</f>
        <v>0</v>
      </c>
      <c r="N64" s="30">
        <f>+equipo3!N50</f>
        <v>0</v>
      </c>
      <c r="O64" s="30">
        <f>+equipo3!O50</f>
        <v>0</v>
      </c>
      <c r="P64" s="30">
        <f>+equipo3!P50</f>
        <v>0</v>
      </c>
      <c r="Q64" s="30">
        <f>+equipo3!Q50</f>
        <v>0</v>
      </c>
      <c r="R64" s="30">
        <f>+equipo3!R50</f>
        <v>0</v>
      </c>
      <c r="S64" s="30">
        <f>+equipo3!S50</f>
        <v>0</v>
      </c>
      <c r="T64" s="30">
        <f>+equipo3!T50</f>
        <v>0</v>
      </c>
      <c r="U64" s="30">
        <f>+equipo3!U50</f>
        <v>0</v>
      </c>
      <c r="V64" s="30">
        <f>+equipo3!V50</f>
        <v>0</v>
      </c>
    </row>
    <row r="65" spans="1:22" x14ac:dyDescent="0.25">
      <c r="A65" s="30" t="str">
        <f>+equipo4!A32</f>
        <v>JOSE MOTATERIO EQUIPO4</v>
      </c>
      <c r="B65" s="30">
        <f>+equipo4!B32</f>
        <v>2</v>
      </c>
      <c r="C65" s="31" t="str">
        <f>+equipo4!$A$6</f>
        <v>equipo4</v>
      </c>
      <c r="D65" s="30">
        <f>+equipo4!C32</f>
        <v>4</v>
      </c>
      <c r="E65" s="30">
        <f>+equipo4!D32</f>
        <v>2</v>
      </c>
      <c r="F65" s="30">
        <f>+equipo4!E32</f>
        <v>1</v>
      </c>
      <c r="G65" s="30">
        <f>+equipo4!F32</f>
        <v>0</v>
      </c>
      <c r="H65" s="30">
        <f>+equipo4!G32</f>
        <v>0</v>
      </c>
      <c r="I65" s="30">
        <f>+equipo4!H32</f>
        <v>0</v>
      </c>
      <c r="J65" s="30">
        <f>+equipo4!I32</f>
        <v>0</v>
      </c>
      <c r="K65" s="30">
        <f>+equipo4!J32</f>
        <v>0</v>
      </c>
      <c r="L65" s="30">
        <f>+equipo4!K32</f>
        <v>0</v>
      </c>
      <c r="M65" s="30">
        <f>+equipo4!L32</f>
        <v>1</v>
      </c>
      <c r="N65" s="30">
        <f>+equipo4!M32</f>
        <v>0</v>
      </c>
      <c r="O65" s="30">
        <f>+equipo4!N32</f>
        <v>0</v>
      </c>
      <c r="P65" s="30">
        <f>+equipo4!O32</f>
        <v>0</v>
      </c>
      <c r="Q65" s="30">
        <f>+equipo4!P32</f>
        <v>0</v>
      </c>
      <c r="R65" s="30">
        <f>+equipo4!Q32</f>
        <v>1</v>
      </c>
      <c r="S65" s="30">
        <f>+equipo4!R32</f>
        <v>4</v>
      </c>
      <c r="T65" s="30">
        <f>+equipo4!S32</f>
        <v>0</v>
      </c>
      <c r="U65" s="30">
        <f>+equipo4!T32</f>
        <v>250</v>
      </c>
      <c r="V65" s="30">
        <f>+equipo4!U32</f>
        <v>250</v>
      </c>
    </row>
    <row r="66" spans="1:22" x14ac:dyDescent="0.25">
      <c r="A66" s="30" t="str">
        <f>+equipo4!A33</f>
        <v>JOSEPH MENDOZA</v>
      </c>
      <c r="B66" s="30">
        <f>+equipo4!B33</f>
        <v>1</v>
      </c>
      <c r="C66" s="31" t="str">
        <f>+equipo4!$A$6</f>
        <v>equipo4</v>
      </c>
      <c r="D66" s="30">
        <f>+equipo4!C33</f>
        <v>3</v>
      </c>
      <c r="E66" s="30">
        <f>+equipo4!D33</f>
        <v>1</v>
      </c>
      <c r="F66" s="30">
        <f>+equipo4!E33</f>
        <v>1</v>
      </c>
      <c r="G66" s="30">
        <f>+equipo4!F33</f>
        <v>1</v>
      </c>
      <c r="H66" s="30">
        <f>+equipo4!G33</f>
        <v>0</v>
      </c>
      <c r="I66" s="30">
        <f>+equipo4!H33</f>
        <v>0</v>
      </c>
      <c r="J66" s="30">
        <f>+equipo4!I33</f>
        <v>0</v>
      </c>
      <c r="K66" s="30">
        <f>+equipo4!J33</f>
        <v>0</v>
      </c>
      <c r="L66" s="30">
        <f>+equipo4!K33</f>
        <v>1</v>
      </c>
      <c r="M66" s="30">
        <f>+equipo4!L33</f>
        <v>0</v>
      </c>
      <c r="N66" s="30">
        <f>+equipo4!M33</f>
        <v>0</v>
      </c>
      <c r="O66" s="30">
        <f>+equipo4!N33</f>
        <v>0</v>
      </c>
      <c r="P66" s="30">
        <f>+equipo4!O33</f>
        <v>0</v>
      </c>
      <c r="Q66" s="30">
        <f>+equipo4!P33</f>
        <v>0</v>
      </c>
      <c r="R66" s="30">
        <f>+equipo4!Q33</f>
        <v>2</v>
      </c>
      <c r="S66" s="30">
        <f>+equipo4!R33</f>
        <v>4</v>
      </c>
      <c r="T66" s="30">
        <f>+equipo4!S33</f>
        <v>0</v>
      </c>
      <c r="U66" s="30">
        <f>+equipo4!T33</f>
        <v>333.33333333333331</v>
      </c>
      <c r="V66" s="30">
        <f>+equipo4!U33</f>
        <v>666.66666666666663</v>
      </c>
    </row>
    <row r="67" spans="1:22" x14ac:dyDescent="0.25">
      <c r="A67" s="30" t="str">
        <f>+equipo4!A34</f>
        <v>ABRAHAN RODRIGUZ</v>
      </c>
      <c r="B67" s="30">
        <f>+equipo4!B34</f>
        <v>22</v>
      </c>
      <c r="C67" s="31" t="str">
        <f>+equipo4!$A$6</f>
        <v>equipo4</v>
      </c>
      <c r="D67" s="30">
        <f>+equipo4!C34</f>
        <v>4</v>
      </c>
      <c r="E67" s="30">
        <f>+equipo4!D34</f>
        <v>0</v>
      </c>
      <c r="F67" s="30">
        <f>+equipo4!E34</f>
        <v>1</v>
      </c>
      <c r="G67" s="30">
        <f>+equipo4!F34</f>
        <v>0</v>
      </c>
      <c r="H67" s="30">
        <f>+equipo4!G34</f>
        <v>0</v>
      </c>
      <c r="I67" s="30">
        <f>+equipo4!H34</f>
        <v>0</v>
      </c>
      <c r="J67" s="30">
        <f>+equipo4!I34</f>
        <v>0</v>
      </c>
      <c r="K67" s="30">
        <f>+equipo4!J34</f>
        <v>0</v>
      </c>
      <c r="L67" s="30">
        <f>+equipo4!K34</f>
        <v>0</v>
      </c>
      <c r="M67" s="30">
        <f>+equipo4!L34</f>
        <v>0</v>
      </c>
      <c r="N67" s="30">
        <f>+equipo4!M34</f>
        <v>0</v>
      </c>
      <c r="O67" s="30">
        <f>+equipo4!N34</f>
        <v>0</v>
      </c>
      <c r="P67" s="30">
        <f>+equipo4!O34</f>
        <v>0</v>
      </c>
      <c r="Q67" s="30">
        <f>+equipo4!P34</f>
        <v>0</v>
      </c>
      <c r="R67" s="30">
        <f>+equipo4!Q34</f>
        <v>1</v>
      </c>
      <c r="S67" s="30">
        <f>+equipo4!R34</f>
        <v>4</v>
      </c>
      <c r="T67" s="30">
        <f>+equipo4!S34</f>
        <v>0</v>
      </c>
      <c r="U67" s="30">
        <f>+equipo4!T34</f>
        <v>250</v>
      </c>
      <c r="V67" s="30">
        <f>+equipo4!U34</f>
        <v>250</v>
      </c>
    </row>
    <row r="68" spans="1:22" x14ac:dyDescent="0.25">
      <c r="A68" s="30" t="str">
        <f>+equipo4!A35</f>
        <v>ALEXANDER HERNANDEZ</v>
      </c>
      <c r="B68" s="30" t="str">
        <f>+equipo4!B35</f>
        <v/>
      </c>
      <c r="C68" s="31" t="str">
        <f>+equipo4!$A$6</f>
        <v>equipo4</v>
      </c>
      <c r="D68" s="30">
        <f>+equipo4!C35</f>
        <v>0</v>
      </c>
      <c r="E68" s="30">
        <f>+equipo4!D35</f>
        <v>1</v>
      </c>
      <c r="F68" s="30">
        <f>+equipo4!E35</f>
        <v>0</v>
      </c>
      <c r="G68" s="30">
        <f>+equipo4!F35</f>
        <v>0</v>
      </c>
      <c r="H68" s="30">
        <f>+equipo4!G35</f>
        <v>0</v>
      </c>
      <c r="I68" s="30">
        <f>+equipo4!H35</f>
        <v>0</v>
      </c>
      <c r="J68" s="30">
        <f>+equipo4!I35</f>
        <v>1</v>
      </c>
      <c r="K68" s="30">
        <f>+equipo4!J35</f>
        <v>0</v>
      </c>
      <c r="L68" s="30">
        <f>+equipo4!K35</f>
        <v>3</v>
      </c>
      <c r="M68" s="30">
        <f>+equipo4!L35</f>
        <v>3</v>
      </c>
      <c r="N68" s="30">
        <f>+equipo4!M35</f>
        <v>0</v>
      </c>
      <c r="O68" s="30">
        <f>+equipo4!N35</f>
        <v>0</v>
      </c>
      <c r="P68" s="30">
        <f>+equipo4!O35</f>
        <v>0</v>
      </c>
      <c r="Q68" s="30">
        <f>+equipo4!P35</f>
        <v>0</v>
      </c>
      <c r="R68" s="30">
        <f>+equipo4!Q35</f>
        <v>0</v>
      </c>
      <c r="S68" s="30">
        <f>+equipo4!R35</f>
        <v>3</v>
      </c>
      <c r="T68" s="30">
        <f>+equipo4!S35</f>
        <v>0</v>
      </c>
      <c r="U68" s="30">
        <f>+equipo4!T35</f>
        <v>0</v>
      </c>
      <c r="V68" s="30">
        <f>+equipo4!U35</f>
        <v>0</v>
      </c>
    </row>
    <row r="69" spans="1:22" x14ac:dyDescent="0.25">
      <c r="A69" s="30" t="str">
        <f>+equipo4!A36</f>
        <v>DANIEL LIENDO</v>
      </c>
      <c r="B69" s="30" t="str">
        <f>+equipo4!B36</f>
        <v/>
      </c>
      <c r="C69" s="31" t="str">
        <f>+equipo4!$A$6</f>
        <v>equipo4</v>
      </c>
      <c r="D69" s="30">
        <f>+equipo4!C36</f>
        <v>1</v>
      </c>
      <c r="E69" s="30">
        <f>+equipo4!D36</f>
        <v>0</v>
      </c>
      <c r="F69" s="30">
        <f>+equipo4!E36</f>
        <v>0</v>
      </c>
      <c r="G69" s="30">
        <f>+equipo4!F36</f>
        <v>0</v>
      </c>
      <c r="H69" s="30">
        <f>+equipo4!G36</f>
        <v>0</v>
      </c>
      <c r="I69" s="30">
        <f>+equipo4!H36</f>
        <v>0</v>
      </c>
      <c r="J69" s="30">
        <f>+equipo4!I36</f>
        <v>0</v>
      </c>
      <c r="K69" s="30">
        <f>+equipo4!J36</f>
        <v>0</v>
      </c>
      <c r="L69" s="30">
        <f>+equipo4!K36</f>
        <v>0</v>
      </c>
      <c r="M69" s="30">
        <f>+equipo4!L36</f>
        <v>0</v>
      </c>
      <c r="N69" s="30">
        <f>+equipo4!M36</f>
        <v>0</v>
      </c>
      <c r="O69" s="30">
        <f>+equipo4!N36</f>
        <v>0</v>
      </c>
      <c r="P69" s="30">
        <f>+equipo4!O36</f>
        <v>0</v>
      </c>
      <c r="Q69" s="30">
        <f>+equipo4!P36</f>
        <v>0</v>
      </c>
      <c r="R69" s="30">
        <f>+equipo4!Q36</f>
        <v>0</v>
      </c>
      <c r="S69" s="30">
        <f>+equipo4!R36</f>
        <v>1</v>
      </c>
      <c r="T69" s="30">
        <f>+equipo4!S36</f>
        <v>0</v>
      </c>
      <c r="U69" s="30">
        <f>+equipo4!T36</f>
        <v>0</v>
      </c>
      <c r="V69" s="30">
        <f>+equipo4!U36</f>
        <v>0</v>
      </c>
    </row>
    <row r="70" spans="1:22" x14ac:dyDescent="0.25">
      <c r="A70" s="30" t="str">
        <f>+equipo4!A37</f>
        <v>SEBASTIAN MUJICA</v>
      </c>
      <c r="B70" s="30" t="str">
        <f>+equipo4!B37</f>
        <v/>
      </c>
      <c r="C70" s="31" t="str">
        <f>+equipo4!$A$6</f>
        <v>equipo4</v>
      </c>
      <c r="D70" s="30">
        <f>+equipo4!C37</f>
        <v>2</v>
      </c>
      <c r="E70" s="30">
        <f>+equipo4!D37</f>
        <v>0</v>
      </c>
      <c r="F70" s="30">
        <f>+equipo4!E37</f>
        <v>0</v>
      </c>
      <c r="G70" s="30">
        <f>+equipo4!F37</f>
        <v>0</v>
      </c>
      <c r="H70" s="30">
        <f>+equipo4!G37</f>
        <v>0</v>
      </c>
      <c r="I70" s="30">
        <f>+equipo4!H37</f>
        <v>0</v>
      </c>
      <c r="J70" s="30">
        <f>+equipo4!I37</f>
        <v>0</v>
      </c>
      <c r="K70" s="30">
        <f>+equipo4!J37</f>
        <v>1</v>
      </c>
      <c r="L70" s="30">
        <f>+equipo4!K37</f>
        <v>0</v>
      </c>
      <c r="M70" s="30">
        <f>+equipo4!L37</f>
        <v>0</v>
      </c>
      <c r="N70" s="30">
        <f>+equipo4!M37</f>
        <v>0</v>
      </c>
      <c r="O70" s="30">
        <f>+equipo4!N37</f>
        <v>0</v>
      </c>
      <c r="P70" s="30">
        <f>+equipo4!O37</f>
        <v>0</v>
      </c>
      <c r="Q70" s="30">
        <f>+equipo4!P37</f>
        <v>0</v>
      </c>
      <c r="R70" s="30">
        <f>+equipo4!Q37</f>
        <v>0</v>
      </c>
      <c r="S70" s="30">
        <f>+equipo4!R37</f>
        <v>2</v>
      </c>
      <c r="T70" s="30">
        <f>+equipo4!S37</f>
        <v>0</v>
      </c>
      <c r="U70" s="30">
        <f>+equipo4!T37</f>
        <v>0</v>
      </c>
      <c r="V70" s="30">
        <f>+equipo4!U37</f>
        <v>0</v>
      </c>
    </row>
    <row r="71" spans="1:22" x14ac:dyDescent="0.25">
      <c r="A71" s="30" t="str">
        <f>+equipo4!A38</f>
        <v>ANGEL RODRIGUEZ</v>
      </c>
      <c r="B71" s="30" t="str">
        <f>+equipo4!B38</f>
        <v/>
      </c>
      <c r="C71" s="31" t="str">
        <f>+equipo4!$A$6</f>
        <v>equipo4</v>
      </c>
      <c r="D71" s="30">
        <f>+equipo4!C38</f>
        <v>3</v>
      </c>
      <c r="E71" s="30">
        <f>+equipo4!D38</f>
        <v>2</v>
      </c>
      <c r="F71" s="30">
        <f>+equipo4!E38</f>
        <v>2</v>
      </c>
      <c r="G71" s="30">
        <f>+equipo4!F38</f>
        <v>0</v>
      </c>
      <c r="H71" s="30">
        <f>+equipo4!G38</f>
        <v>0</v>
      </c>
      <c r="I71" s="30">
        <f>+equipo4!H38</f>
        <v>0</v>
      </c>
      <c r="J71" s="30">
        <f>+equipo4!I38</f>
        <v>1</v>
      </c>
      <c r="K71" s="30">
        <f>+equipo4!J38</f>
        <v>1</v>
      </c>
      <c r="L71" s="30">
        <f>+equipo4!K38</f>
        <v>0</v>
      </c>
      <c r="M71" s="30">
        <f>+equipo4!L38</f>
        <v>1</v>
      </c>
      <c r="N71" s="30">
        <f>+equipo4!M38</f>
        <v>0</v>
      </c>
      <c r="O71" s="30">
        <f>+equipo4!N38</f>
        <v>0</v>
      </c>
      <c r="P71" s="30">
        <f>+equipo4!O38</f>
        <v>0</v>
      </c>
      <c r="Q71" s="30">
        <f>+equipo4!P38</f>
        <v>0</v>
      </c>
      <c r="R71" s="30">
        <f>+equipo4!Q38</f>
        <v>2</v>
      </c>
      <c r="S71" s="30">
        <f>+equipo4!R38</f>
        <v>3</v>
      </c>
      <c r="T71" s="30">
        <f>+equipo4!S38</f>
        <v>0</v>
      </c>
      <c r="U71" s="30">
        <f>+equipo4!T38</f>
        <v>666.66666666666663</v>
      </c>
      <c r="V71" s="30">
        <f>+equipo4!U38</f>
        <v>666.66666666666663</v>
      </c>
    </row>
    <row r="72" spans="1:22" x14ac:dyDescent="0.25">
      <c r="A72" s="30" t="str">
        <f>+equipo4!A39</f>
        <v>FRANCISCO MONASTERIO</v>
      </c>
      <c r="B72" s="30" t="str">
        <f>+equipo4!B39</f>
        <v/>
      </c>
      <c r="C72" s="31" t="str">
        <f>+equipo4!$A$6</f>
        <v>equipo4</v>
      </c>
      <c r="D72" s="30">
        <f>+equipo4!C39</f>
        <v>3</v>
      </c>
      <c r="E72" s="30">
        <f>+equipo4!D39</f>
        <v>1</v>
      </c>
      <c r="F72" s="30">
        <f>+equipo4!E39</f>
        <v>2</v>
      </c>
      <c r="G72" s="30">
        <f>+equipo4!F39</f>
        <v>0</v>
      </c>
      <c r="H72" s="30">
        <f>+equipo4!G39</f>
        <v>1</v>
      </c>
      <c r="I72" s="30">
        <f>+equipo4!H39</f>
        <v>0</v>
      </c>
      <c r="J72" s="30">
        <f>+equipo4!I39</f>
        <v>0</v>
      </c>
      <c r="K72" s="30">
        <f>+equipo4!J39</f>
        <v>0</v>
      </c>
      <c r="L72" s="30">
        <f>+equipo4!K39</f>
        <v>0</v>
      </c>
      <c r="M72" s="30">
        <f>+equipo4!L39</f>
        <v>0</v>
      </c>
      <c r="N72" s="30">
        <f>+equipo4!M39</f>
        <v>0</v>
      </c>
      <c r="O72" s="30">
        <f>+equipo4!N39</f>
        <v>0</v>
      </c>
      <c r="P72" s="30">
        <f>+equipo4!O39</f>
        <v>0</v>
      </c>
      <c r="Q72" s="30">
        <f>+equipo4!P39</f>
        <v>0</v>
      </c>
      <c r="R72" s="30">
        <f>+equipo4!Q39</f>
        <v>4</v>
      </c>
      <c r="S72" s="30">
        <f>+equipo4!R39</f>
        <v>3</v>
      </c>
      <c r="T72" s="30">
        <f>+equipo4!S39</f>
        <v>0</v>
      </c>
      <c r="U72" s="30">
        <f>+equipo4!T39</f>
        <v>666.66666666666663</v>
      </c>
      <c r="V72" s="30">
        <f>+equipo4!U39</f>
        <v>1333.3333333333333</v>
      </c>
    </row>
    <row r="73" spans="1:22" x14ac:dyDescent="0.25">
      <c r="A73" s="30" t="str">
        <f>+equipo4!A40</f>
        <v>MARCOS MORALES</v>
      </c>
      <c r="B73" s="30" t="str">
        <f>+equipo4!B40</f>
        <v/>
      </c>
      <c r="C73" s="31" t="str">
        <f>+equipo4!$A$6</f>
        <v>equipo4</v>
      </c>
      <c r="D73" s="30">
        <f>+equipo4!C40</f>
        <v>3</v>
      </c>
      <c r="E73" s="30">
        <f>+equipo4!D40</f>
        <v>2</v>
      </c>
      <c r="F73" s="30">
        <f>+equipo4!E40</f>
        <v>2</v>
      </c>
      <c r="G73" s="30">
        <f>+equipo4!F40</f>
        <v>1</v>
      </c>
      <c r="H73" s="30">
        <f>+equipo4!G40</f>
        <v>0</v>
      </c>
      <c r="I73" s="30">
        <f>+equipo4!H40</f>
        <v>0</v>
      </c>
      <c r="J73" s="30">
        <f>+equipo4!I40</f>
        <v>2</v>
      </c>
      <c r="K73" s="30">
        <f>+equipo4!J40</f>
        <v>1</v>
      </c>
      <c r="L73" s="30">
        <f>+equipo4!K40</f>
        <v>0</v>
      </c>
      <c r="M73" s="30">
        <f>+equipo4!L40</f>
        <v>3</v>
      </c>
      <c r="N73" s="30">
        <f>+equipo4!M40</f>
        <v>0</v>
      </c>
      <c r="O73" s="30">
        <f>+equipo4!N40</f>
        <v>0</v>
      </c>
      <c r="P73" s="30">
        <f>+equipo4!O40</f>
        <v>0</v>
      </c>
      <c r="Q73" s="30">
        <f>+equipo4!P40</f>
        <v>0</v>
      </c>
      <c r="R73" s="30">
        <f>+equipo4!Q40</f>
        <v>3</v>
      </c>
      <c r="S73" s="30">
        <f>+equipo4!R40</f>
        <v>3</v>
      </c>
      <c r="T73" s="30">
        <f>+equipo4!S40</f>
        <v>0</v>
      </c>
      <c r="U73" s="30">
        <f>+equipo4!T40</f>
        <v>666.66666666666663</v>
      </c>
      <c r="V73" s="30">
        <f>+equipo4!U40</f>
        <v>1000</v>
      </c>
    </row>
    <row r="74" spans="1:22" x14ac:dyDescent="0.25">
      <c r="A74" s="30" t="str">
        <f>+equipo4!A41</f>
        <v>ADRIAN MURILLO</v>
      </c>
      <c r="B74" s="30" t="str">
        <f>+equipo4!B41</f>
        <v/>
      </c>
      <c r="C74" s="31" t="str">
        <f>+equipo4!$A$6</f>
        <v>equipo4</v>
      </c>
      <c r="D74" s="30">
        <f>+equipo4!C41</f>
        <v>2</v>
      </c>
      <c r="E74" s="30">
        <f>+equipo4!D41</f>
        <v>1</v>
      </c>
      <c r="F74" s="30">
        <f>+equipo4!E41</f>
        <v>0</v>
      </c>
      <c r="G74" s="30">
        <f>+equipo4!F41</f>
        <v>0</v>
      </c>
      <c r="H74" s="30">
        <f>+equipo4!G41</f>
        <v>0</v>
      </c>
      <c r="I74" s="30">
        <f>+equipo4!H41</f>
        <v>0</v>
      </c>
      <c r="J74" s="30">
        <f>+equipo4!I41</f>
        <v>0</v>
      </c>
      <c r="K74" s="30">
        <f>+equipo4!J41</f>
        <v>1</v>
      </c>
      <c r="L74" s="30">
        <f>+equipo4!K41</f>
        <v>1</v>
      </c>
      <c r="M74" s="30">
        <f>+equipo4!L41</f>
        <v>1</v>
      </c>
      <c r="N74" s="30">
        <f>+equipo4!M41</f>
        <v>0</v>
      </c>
      <c r="O74" s="30">
        <f>+equipo4!N41</f>
        <v>0</v>
      </c>
      <c r="P74" s="30">
        <f>+equipo4!O41</f>
        <v>0</v>
      </c>
      <c r="Q74" s="30">
        <f>+equipo4!P41</f>
        <v>0</v>
      </c>
      <c r="R74" s="30">
        <f>+equipo4!Q41</f>
        <v>0</v>
      </c>
      <c r="S74" s="30">
        <f>+equipo4!R41</f>
        <v>3</v>
      </c>
      <c r="T74" s="30">
        <f>+equipo4!S41</f>
        <v>0</v>
      </c>
      <c r="U74" s="30">
        <f>+equipo4!T41</f>
        <v>0</v>
      </c>
      <c r="V74" s="30">
        <f>+equipo4!U41</f>
        <v>0</v>
      </c>
    </row>
    <row r="75" spans="1:22" x14ac:dyDescent="0.25">
      <c r="A75" s="30" t="str">
        <f>+equipo4!A42</f>
        <v>DARGREYBER RODRIGUEZ</v>
      </c>
      <c r="B75" s="30" t="str">
        <f>+equipo4!B42</f>
        <v/>
      </c>
      <c r="C75" s="31" t="str">
        <f>+equipo4!$A$6</f>
        <v>equipo4</v>
      </c>
      <c r="D75" s="30">
        <f>+equipo4!C42</f>
        <v>0</v>
      </c>
      <c r="E75" s="30">
        <f>+equipo4!D42</f>
        <v>0</v>
      </c>
      <c r="F75" s="30">
        <f>+equipo4!E42</f>
        <v>0</v>
      </c>
      <c r="G75" s="30">
        <f>+equipo4!F42</f>
        <v>0</v>
      </c>
      <c r="H75" s="30">
        <f>+equipo4!G42</f>
        <v>0</v>
      </c>
      <c r="I75" s="30">
        <f>+equipo4!H42</f>
        <v>0</v>
      </c>
      <c r="J75" s="30">
        <f>+equipo4!I42</f>
        <v>0</v>
      </c>
      <c r="K75" s="30">
        <f>+equipo4!J42</f>
        <v>0</v>
      </c>
      <c r="L75" s="30">
        <f>+equipo4!K42</f>
        <v>0</v>
      </c>
      <c r="M75" s="30">
        <f>+equipo4!L42</f>
        <v>0</v>
      </c>
      <c r="N75" s="30">
        <f>+equipo4!M42</f>
        <v>0</v>
      </c>
      <c r="O75" s="30">
        <f>+equipo4!N42</f>
        <v>0</v>
      </c>
      <c r="P75" s="30">
        <f>+equipo4!O42</f>
        <v>0</v>
      </c>
      <c r="Q75" s="30">
        <f>+equipo4!P42</f>
        <v>0</v>
      </c>
      <c r="R75" s="30">
        <f>+equipo4!Q42</f>
        <v>0</v>
      </c>
      <c r="S75" s="30">
        <f>+equipo4!R42</f>
        <v>0</v>
      </c>
      <c r="T75" s="30">
        <f>+equipo4!S42</f>
        <v>0</v>
      </c>
      <c r="U75" s="30">
        <f>+equipo4!T42</f>
        <v>0</v>
      </c>
      <c r="V75" s="30">
        <f>+equipo4!U42</f>
        <v>0</v>
      </c>
    </row>
    <row r="76" spans="1:22" x14ac:dyDescent="0.25">
      <c r="A76" s="30" t="str">
        <f>+equipo4!A43</f>
        <v>JENSE FLORES</v>
      </c>
      <c r="B76" s="30" t="str">
        <f>+equipo4!B43</f>
        <v/>
      </c>
      <c r="C76" s="31" t="str">
        <f>+equipo4!$A$6</f>
        <v>equipo4</v>
      </c>
      <c r="D76" s="30">
        <f>+equipo4!C43</f>
        <v>0</v>
      </c>
      <c r="E76" s="30">
        <f>+equipo4!D43</f>
        <v>0</v>
      </c>
      <c r="F76" s="30">
        <f>+equipo4!E43</f>
        <v>0</v>
      </c>
      <c r="G76" s="30">
        <f>+equipo4!F43</f>
        <v>0</v>
      </c>
      <c r="H76" s="30">
        <f>+equipo4!G43</f>
        <v>0</v>
      </c>
      <c r="I76" s="30">
        <f>+equipo4!H43</f>
        <v>0</v>
      </c>
      <c r="J76" s="30">
        <f>+equipo4!I43</f>
        <v>0</v>
      </c>
      <c r="K76" s="30">
        <f>+equipo4!J43</f>
        <v>0</v>
      </c>
      <c r="L76" s="30">
        <f>+equipo4!K43</f>
        <v>0</v>
      </c>
      <c r="M76" s="30">
        <f>+equipo4!L43</f>
        <v>0</v>
      </c>
      <c r="N76" s="30">
        <f>+equipo4!M43</f>
        <v>0</v>
      </c>
      <c r="O76" s="30">
        <f>+equipo4!N43</f>
        <v>0</v>
      </c>
      <c r="P76" s="30">
        <f>+equipo4!O43</f>
        <v>0</v>
      </c>
      <c r="Q76" s="30">
        <f>+equipo4!P43</f>
        <v>0</v>
      </c>
      <c r="R76" s="30">
        <f>+equipo4!Q43</f>
        <v>0</v>
      </c>
      <c r="S76" s="30">
        <f>+equipo4!R43</f>
        <v>0</v>
      </c>
      <c r="T76" s="30">
        <f>+equipo4!S43</f>
        <v>0</v>
      </c>
      <c r="U76" s="30">
        <f>+equipo4!T43</f>
        <v>0</v>
      </c>
      <c r="V76" s="30">
        <f>+equipo4!U43</f>
        <v>0</v>
      </c>
    </row>
    <row r="77" spans="1:22" x14ac:dyDescent="0.25">
      <c r="A77" s="30" t="str">
        <f>+equipo4!A44</f>
        <v/>
      </c>
      <c r="B77" s="30" t="str">
        <f>+equipo4!B44</f>
        <v/>
      </c>
      <c r="C77" s="31" t="str">
        <f>+equipo4!$A$6</f>
        <v>equipo4</v>
      </c>
      <c r="D77" s="30">
        <f>+equipo4!C44</f>
        <v>0</v>
      </c>
      <c r="E77" s="30">
        <f>+equipo4!D44</f>
        <v>0</v>
      </c>
      <c r="F77" s="30">
        <f>+equipo4!E44</f>
        <v>0</v>
      </c>
      <c r="G77" s="30">
        <f>+equipo4!F44</f>
        <v>0</v>
      </c>
      <c r="H77" s="30">
        <f>+equipo4!G44</f>
        <v>0</v>
      </c>
      <c r="I77" s="30">
        <f>+equipo4!H44</f>
        <v>0</v>
      </c>
      <c r="J77" s="30">
        <f>+equipo4!I44</f>
        <v>0</v>
      </c>
      <c r="K77" s="30">
        <f>+equipo4!J44</f>
        <v>0</v>
      </c>
      <c r="L77" s="30">
        <f>+equipo4!K44</f>
        <v>0</v>
      </c>
      <c r="M77" s="30">
        <f>+equipo4!L44</f>
        <v>0</v>
      </c>
      <c r="N77" s="30">
        <f>+equipo4!M44</f>
        <v>0</v>
      </c>
      <c r="O77" s="30">
        <f>+equipo4!N44</f>
        <v>0</v>
      </c>
      <c r="P77" s="30">
        <f>+equipo4!O44</f>
        <v>0</v>
      </c>
      <c r="Q77" s="30">
        <f>+equipo4!P44</f>
        <v>0</v>
      </c>
      <c r="R77" s="30">
        <f>+equipo4!Q44</f>
        <v>0</v>
      </c>
      <c r="S77" s="30">
        <f>+equipo4!R44</f>
        <v>0</v>
      </c>
      <c r="T77" s="30">
        <f>+equipo4!S44</f>
        <v>0</v>
      </c>
      <c r="U77" s="30">
        <f>+equipo4!T44</f>
        <v>0</v>
      </c>
      <c r="V77" s="30">
        <f>+equipo4!U44</f>
        <v>0</v>
      </c>
    </row>
    <row r="78" spans="1:22" x14ac:dyDescent="0.25">
      <c r="A78" s="30" t="str">
        <f>+equipo4!A45</f>
        <v/>
      </c>
      <c r="B78" s="30" t="str">
        <f>+equipo4!B45</f>
        <v/>
      </c>
      <c r="C78" s="31" t="str">
        <f>+equipo4!$A$6</f>
        <v>equipo4</v>
      </c>
      <c r="D78" s="30">
        <f>+equipo4!C45</f>
        <v>0</v>
      </c>
      <c r="E78" s="30">
        <f>+equipo4!D45</f>
        <v>0</v>
      </c>
      <c r="F78" s="30">
        <f>+equipo4!E45</f>
        <v>0</v>
      </c>
      <c r="G78" s="30">
        <f>+equipo4!F45</f>
        <v>0</v>
      </c>
      <c r="H78" s="30">
        <f>+equipo4!G45</f>
        <v>0</v>
      </c>
      <c r="I78" s="30">
        <f>+equipo4!H45</f>
        <v>0</v>
      </c>
      <c r="J78" s="30">
        <f>+equipo4!I45</f>
        <v>0</v>
      </c>
      <c r="K78" s="30">
        <f>+equipo4!J45</f>
        <v>0</v>
      </c>
      <c r="L78" s="30">
        <f>+equipo4!K45</f>
        <v>0</v>
      </c>
      <c r="M78" s="30">
        <f>+equipo4!L45</f>
        <v>0</v>
      </c>
      <c r="N78" s="30">
        <f>+equipo4!M45</f>
        <v>0</v>
      </c>
      <c r="O78" s="30">
        <f>+equipo4!N45</f>
        <v>0</v>
      </c>
      <c r="P78" s="30">
        <f>+equipo4!O45</f>
        <v>0</v>
      </c>
      <c r="Q78" s="30">
        <f>+equipo4!P45</f>
        <v>0</v>
      </c>
      <c r="R78" s="30">
        <f>+equipo4!Q45</f>
        <v>0</v>
      </c>
      <c r="S78" s="30">
        <f>+equipo4!R45</f>
        <v>0</v>
      </c>
      <c r="T78" s="30">
        <f>+equipo4!S45</f>
        <v>0</v>
      </c>
      <c r="U78" s="30">
        <f>+equipo4!T45</f>
        <v>0</v>
      </c>
      <c r="V78" s="30">
        <f>+equipo4!U45</f>
        <v>0</v>
      </c>
    </row>
    <row r="79" spans="1:22" x14ac:dyDescent="0.25">
      <c r="A79" s="30" t="str">
        <f>+equipo4!A46</f>
        <v/>
      </c>
      <c r="B79" s="30" t="str">
        <f>+equipo4!B46</f>
        <v/>
      </c>
      <c r="C79" s="31" t="str">
        <f>+equipo4!$A$6</f>
        <v>equipo4</v>
      </c>
      <c r="D79" s="30">
        <f>+equipo4!C46</f>
        <v>0</v>
      </c>
      <c r="E79" s="30">
        <f>+equipo4!D46</f>
        <v>0</v>
      </c>
      <c r="F79" s="30">
        <f>+equipo4!E46</f>
        <v>0</v>
      </c>
      <c r="G79" s="30">
        <f>+equipo4!F46</f>
        <v>0</v>
      </c>
      <c r="H79" s="30">
        <f>+equipo4!G46</f>
        <v>0</v>
      </c>
      <c r="I79" s="30">
        <f>+equipo4!H46</f>
        <v>0</v>
      </c>
      <c r="J79" s="30">
        <f>+equipo4!I46</f>
        <v>0</v>
      </c>
      <c r="K79" s="30">
        <f>+equipo4!J46</f>
        <v>0</v>
      </c>
      <c r="L79" s="30">
        <f>+equipo4!K46</f>
        <v>0</v>
      </c>
      <c r="M79" s="30">
        <f>+equipo4!L46</f>
        <v>0</v>
      </c>
      <c r="N79" s="30">
        <f>+equipo4!M46</f>
        <v>0</v>
      </c>
      <c r="O79" s="30">
        <f>+equipo4!N46</f>
        <v>0</v>
      </c>
      <c r="P79" s="30">
        <f>+equipo4!O46</f>
        <v>0</v>
      </c>
      <c r="Q79" s="30">
        <f>+equipo4!P46</f>
        <v>0</v>
      </c>
      <c r="R79" s="30">
        <f>+equipo4!Q46</f>
        <v>0</v>
      </c>
      <c r="S79" s="30">
        <f>+equipo4!R46</f>
        <v>0</v>
      </c>
      <c r="T79" s="30">
        <f>+equipo4!S46</f>
        <v>0</v>
      </c>
      <c r="U79" s="30">
        <f>+equipo4!T46</f>
        <v>0</v>
      </c>
      <c r="V79" s="30">
        <f>+equipo4!U46</f>
        <v>0</v>
      </c>
    </row>
    <row r="80" spans="1:22" x14ac:dyDescent="0.25">
      <c r="A80" s="30" t="str">
        <f>+equipo4!A47</f>
        <v/>
      </c>
      <c r="B80" s="30" t="str">
        <f>+equipo4!B47</f>
        <v/>
      </c>
      <c r="C80" s="31" t="str">
        <f>+equipo4!$A$6</f>
        <v>equipo4</v>
      </c>
      <c r="D80" s="30">
        <f>+equipo4!C47</f>
        <v>0</v>
      </c>
      <c r="E80" s="30">
        <f>+equipo4!D47</f>
        <v>0</v>
      </c>
      <c r="F80" s="30">
        <f>+equipo4!E47</f>
        <v>0</v>
      </c>
      <c r="G80" s="30">
        <f>+equipo4!F47</f>
        <v>0</v>
      </c>
      <c r="H80" s="30">
        <f>+equipo4!G47</f>
        <v>0</v>
      </c>
      <c r="I80" s="30">
        <f>+equipo4!H47</f>
        <v>0</v>
      </c>
      <c r="J80" s="30">
        <f>+equipo4!I47</f>
        <v>0</v>
      </c>
      <c r="K80" s="30">
        <f>+equipo4!J47</f>
        <v>0</v>
      </c>
      <c r="L80" s="30">
        <f>+equipo4!K47</f>
        <v>0</v>
      </c>
      <c r="M80" s="30">
        <f>+equipo4!L47</f>
        <v>0</v>
      </c>
      <c r="N80" s="30">
        <f>+equipo4!M47</f>
        <v>0</v>
      </c>
      <c r="O80" s="30">
        <f>+equipo4!N47</f>
        <v>0</v>
      </c>
      <c r="P80" s="30">
        <f>+equipo4!O47</f>
        <v>0</v>
      </c>
      <c r="Q80" s="30">
        <f>+equipo4!P47</f>
        <v>0</v>
      </c>
      <c r="R80" s="30">
        <f>+equipo4!Q47</f>
        <v>0</v>
      </c>
      <c r="S80" s="30">
        <f>+equipo4!R47</f>
        <v>0</v>
      </c>
      <c r="T80" s="30">
        <f>+equipo4!S47</f>
        <v>0</v>
      </c>
      <c r="U80" s="30">
        <f>+equipo4!T47</f>
        <v>0</v>
      </c>
      <c r="V80" s="30">
        <f>+equipo4!U47</f>
        <v>0</v>
      </c>
    </row>
    <row r="81" spans="1:22" x14ac:dyDescent="0.25">
      <c r="A81" s="30" t="str">
        <f>+equipo4!A48</f>
        <v/>
      </c>
      <c r="B81" s="30" t="str">
        <f>+equipo4!B48</f>
        <v/>
      </c>
      <c r="C81" s="31" t="str">
        <f>+equipo4!$A$6</f>
        <v>equipo4</v>
      </c>
      <c r="D81" s="30">
        <f>+equipo4!C48</f>
        <v>0</v>
      </c>
      <c r="E81" s="30">
        <f>+equipo4!D48</f>
        <v>0</v>
      </c>
      <c r="F81" s="30">
        <f>+equipo4!E48</f>
        <v>0</v>
      </c>
      <c r="G81" s="30">
        <f>+equipo4!F48</f>
        <v>0</v>
      </c>
      <c r="H81" s="30">
        <f>+equipo4!G48</f>
        <v>0</v>
      </c>
      <c r="I81" s="30">
        <f>+equipo4!H48</f>
        <v>0</v>
      </c>
      <c r="J81" s="30">
        <f>+equipo4!I48</f>
        <v>0</v>
      </c>
      <c r="K81" s="30">
        <f>+equipo4!J48</f>
        <v>0</v>
      </c>
      <c r="L81" s="30">
        <f>+equipo4!K48</f>
        <v>0</v>
      </c>
      <c r="M81" s="30">
        <f>+equipo4!L48</f>
        <v>0</v>
      </c>
      <c r="N81" s="30">
        <f>+equipo4!M48</f>
        <v>0</v>
      </c>
      <c r="O81" s="30">
        <f>+equipo4!N48</f>
        <v>0</v>
      </c>
      <c r="P81" s="30">
        <f>+equipo4!O48</f>
        <v>0</v>
      </c>
      <c r="Q81" s="30">
        <f>+equipo4!P48</f>
        <v>0</v>
      </c>
      <c r="R81" s="30">
        <f>+equipo4!Q48</f>
        <v>0</v>
      </c>
      <c r="S81" s="30">
        <f>+equipo4!R48</f>
        <v>0</v>
      </c>
      <c r="T81" s="30">
        <f>+equipo4!S48</f>
        <v>0</v>
      </c>
      <c r="U81" s="30">
        <f>+equipo4!T48</f>
        <v>0</v>
      </c>
      <c r="V81" s="30">
        <f>+equipo4!U48</f>
        <v>0</v>
      </c>
    </row>
    <row r="82" spans="1:22" x14ac:dyDescent="0.25">
      <c r="A82" s="30" t="str">
        <f>+equipo4!A49</f>
        <v/>
      </c>
      <c r="B82" s="30" t="str">
        <f>+equipo4!B49</f>
        <v/>
      </c>
      <c r="C82" s="31" t="str">
        <f>+equipo4!$A$6</f>
        <v>equipo4</v>
      </c>
      <c r="D82" s="30">
        <f>+equipo4!C49</f>
        <v>0</v>
      </c>
      <c r="E82" s="30">
        <f>+equipo4!D49</f>
        <v>0</v>
      </c>
      <c r="F82" s="30">
        <f>+equipo4!E49</f>
        <v>0</v>
      </c>
      <c r="G82" s="30">
        <f>+equipo4!F49</f>
        <v>0</v>
      </c>
      <c r="H82" s="30">
        <f>+equipo4!G49</f>
        <v>0</v>
      </c>
      <c r="I82" s="30">
        <f>+equipo4!H49</f>
        <v>0</v>
      </c>
      <c r="J82" s="30">
        <f>+equipo4!I49</f>
        <v>0</v>
      </c>
      <c r="K82" s="30">
        <f>+equipo4!J49</f>
        <v>0</v>
      </c>
      <c r="L82" s="30">
        <f>+equipo4!K49</f>
        <v>0</v>
      </c>
      <c r="M82" s="30">
        <f>+equipo4!L49</f>
        <v>0</v>
      </c>
      <c r="N82" s="30">
        <f>+equipo4!M49</f>
        <v>0</v>
      </c>
      <c r="O82" s="30">
        <f>+equipo4!N49</f>
        <v>0</v>
      </c>
      <c r="P82" s="30">
        <f>+equipo4!O49</f>
        <v>0</v>
      </c>
      <c r="Q82" s="30">
        <f>+equipo4!P49</f>
        <v>0</v>
      </c>
      <c r="R82" s="30">
        <f>+equipo4!Q49</f>
        <v>0</v>
      </c>
      <c r="S82" s="30">
        <f>+equipo4!R49</f>
        <v>0</v>
      </c>
      <c r="T82" s="30">
        <f>+equipo4!S49</f>
        <v>0</v>
      </c>
      <c r="U82" s="30">
        <f>+equipo4!T49</f>
        <v>0</v>
      </c>
      <c r="V82" s="30">
        <f>+equipo4!U49</f>
        <v>0</v>
      </c>
    </row>
    <row r="83" spans="1:22" x14ac:dyDescent="0.25">
      <c r="A83" s="30" t="str">
        <f>+equipo4!A50</f>
        <v/>
      </c>
      <c r="B83" s="30" t="str">
        <f>+equipo4!B50</f>
        <v/>
      </c>
      <c r="C83" s="31" t="str">
        <f>+equipo4!$A$6</f>
        <v>equipo4</v>
      </c>
      <c r="D83" s="30">
        <f>+equipo4!C50</f>
        <v>0</v>
      </c>
      <c r="E83" s="30">
        <f>+equipo4!D50</f>
        <v>0</v>
      </c>
      <c r="F83" s="30">
        <f>+equipo4!E50</f>
        <v>0</v>
      </c>
      <c r="G83" s="30">
        <f>+equipo4!F50</f>
        <v>0</v>
      </c>
      <c r="H83" s="30">
        <f>+equipo4!G50</f>
        <v>0</v>
      </c>
      <c r="I83" s="30">
        <f>+equipo4!H50</f>
        <v>0</v>
      </c>
      <c r="J83" s="30">
        <f>+equipo4!I50</f>
        <v>0</v>
      </c>
      <c r="K83" s="30">
        <f>+equipo4!J50</f>
        <v>0</v>
      </c>
      <c r="L83" s="30">
        <f>+equipo4!K50</f>
        <v>0</v>
      </c>
      <c r="M83" s="30">
        <f>+equipo4!L50</f>
        <v>0</v>
      </c>
      <c r="N83" s="30">
        <f>+equipo4!M50</f>
        <v>0</v>
      </c>
      <c r="O83" s="30">
        <f>+equipo4!N50</f>
        <v>0</v>
      </c>
      <c r="P83" s="30">
        <f>+equipo4!O50</f>
        <v>0</v>
      </c>
      <c r="Q83" s="30">
        <f>+equipo4!P50</f>
        <v>0</v>
      </c>
      <c r="R83" s="30">
        <f>+equipo4!Q50</f>
        <v>0</v>
      </c>
      <c r="S83" s="30">
        <f>+equipo4!R50</f>
        <v>0</v>
      </c>
      <c r="T83" s="30">
        <f>+equipo4!S50</f>
        <v>0</v>
      </c>
      <c r="U83" s="30">
        <f>+equipo4!T50</f>
        <v>0</v>
      </c>
      <c r="V83" s="30">
        <f>+equipo4!U50</f>
        <v>0</v>
      </c>
    </row>
    <row r="84" spans="1:22" x14ac:dyDescent="0.25">
      <c r="A84" s="30" t="str">
        <f>+equipo5!A32</f>
        <v>JESUS  ALFONZO EQUIPO5</v>
      </c>
      <c r="B84" s="30">
        <f>+equipo5!B32</f>
        <v>2</v>
      </c>
      <c r="C84" s="31" t="str">
        <f>+equipo4!$A$6</f>
        <v>equipo4</v>
      </c>
      <c r="D84" s="30">
        <f>+equipo4!C32</f>
        <v>4</v>
      </c>
      <c r="E84" s="30">
        <f>+equipo4!D32</f>
        <v>2</v>
      </c>
      <c r="F84" s="30">
        <f>+equipo4!E32</f>
        <v>1</v>
      </c>
      <c r="G84" s="30">
        <f>+equipo4!F32</f>
        <v>0</v>
      </c>
      <c r="H84" s="30">
        <f>+equipo4!G32</f>
        <v>0</v>
      </c>
      <c r="I84" s="30">
        <f>+equipo4!H32</f>
        <v>0</v>
      </c>
      <c r="J84" s="30">
        <f>+equipo4!I32</f>
        <v>0</v>
      </c>
      <c r="K84" s="30">
        <f>+equipo4!J32</f>
        <v>0</v>
      </c>
      <c r="L84" s="30">
        <f>+equipo4!K32</f>
        <v>0</v>
      </c>
      <c r="M84" s="30">
        <f>+equipo4!L32</f>
        <v>1</v>
      </c>
      <c r="N84" s="30">
        <f>+equipo4!M32</f>
        <v>0</v>
      </c>
      <c r="O84" s="30">
        <f>+equipo4!N32</f>
        <v>0</v>
      </c>
      <c r="P84" s="30">
        <f>+equipo4!O32</f>
        <v>0</v>
      </c>
      <c r="Q84" s="30">
        <f>+equipo4!P32</f>
        <v>0</v>
      </c>
      <c r="R84" s="30">
        <f>+equipo4!Q32</f>
        <v>1</v>
      </c>
      <c r="S84" s="30">
        <f>+equipo4!R32</f>
        <v>4</v>
      </c>
      <c r="T84" s="30">
        <f>+equipo4!S32</f>
        <v>0</v>
      </c>
      <c r="U84" s="30">
        <f>+equipo4!T32</f>
        <v>250</v>
      </c>
      <c r="V84" s="30">
        <f>+equipo4!U32</f>
        <v>250</v>
      </c>
    </row>
    <row r="85" spans="1:22" x14ac:dyDescent="0.25">
      <c r="A85" s="30" t="str">
        <f>+equipo5!A33</f>
        <v>JOSEPH MENDOZA</v>
      </c>
      <c r="B85" s="30">
        <f>+equipo5!B33</f>
        <v>1</v>
      </c>
      <c r="C85" s="31" t="str">
        <f>+equipo4!$A$6</f>
        <v>equipo4</v>
      </c>
      <c r="D85" s="30">
        <f>+equipo4!C33</f>
        <v>3</v>
      </c>
      <c r="E85" s="30">
        <f>+equipo4!D33</f>
        <v>1</v>
      </c>
      <c r="F85" s="30">
        <f>+equipo4!E33</f>
        <v>1</v>
      </c>
      <c r="G85" s="30">
        <f>+equipo4!F33</f>
        <v>1</v>
      </c>
      <c r="H85" s="30">
        <f>+equipo4!G33</f>
        <v>0</v>
      </c>
      <c r="I85" s="30">
        <f>+equipo4!H33</f>
        <v>0</v>
      </c>
      <c r="J85" s="30">
        <f>+equipo4!I33</f>
        <v>0</v>
      </c>
      <c r="K85" s="30">
        <f>+equipo4!J33</f>
        <v>0</v>
      </c>
      <c r="L85" s="30">
        <f>+equipo4!K33</f>
        <v>1</v>
      </c>
      <c r="M85" s="30">
        <f>+equipo4!L33</f>
        <v>0</v>
      </c>
      <c r="N85" s="30">
        <f>+equipo4!M33</f>
        <v>0</v>
      </c>
      <c r="O85" s="30">
        <f>+equipo4!N33</f>
        <v>0</v>
      </c>
      <c r="P85" s="30">
        <f>+equipo4!O33</f>
        <v>0</v>
      </c>
      <c r="Q85" s="30">
        <f>+equipo4!P33</f>
        <v>0</v>
      </c>
      <c r="R85" s="30">
        <f>+equipo4!Q33</f>
        <v>2</v>
      </c>
      <c r="S85" s="30">
        <f>+equipo4!R33</f>
        <v>4</v>
      </c>
      <c r="T85" s="30">
        <f>+equipo4!S33</f>
        <v>0</v>
      </c>
      <c r="U85" s="30">
        <f>+equipo4!T33</f>
        <v>333.33333333333331</v>
      </c>
      <c r="V85" s="30">
        <f>+equipo4!U33</f>
        <v>666.66666666666663</v>
      </c>
    </row>
    <row r="86" spans="1:22" x14ac:dyDescent="0.25">
      <c r="A86" s="30" t="str">
        <f>+equipo5!A34</f>
        <v>ABRAHAN RODRIGUZ</v>
      </c>
      <c r="B86" s="30" t="str">
        <f>+equipo5!B34</f>
        <v/>
      </c>
      <c r="C86" s="31" t="str">
        <f>+equipo4!$A$6</f>
        <v>equipo4</v>
      </c>
      <c r="D86" s="30">
        <f>+equipo4!C34</f>
        <v>4</v>
      </c>
      <c r="E86" s="30">
        <f>+equipo4!D34</f>
        <v>0</v>
      </c>
      <c r="F86" s="30">
        <f>+equipo4!E34</f>
        <v>1</v>
      </c>
      <c r="G86" s="30">
        <f>+equipo4!F34</f>
        <v>0</v>
      </c>
      <c r="H86" s="30">
        <f>+equipo4!G34</f>
        <v>0</v>
      </c>
      <c r="I86" s="30">
        <f>+equipo4!H34</f>
        <v>0</v>
      </c>
      <c r="J86" s="30">
        <f>+equipo4!I34</f>
        <v>0</v>
      </c>
      <c r="K86" s="30">
        <f>+equipo4!J34</f>
        <v>0</v>
      </c>
      <c r="L86" s="30">
        <f>+equipo4!K34</f>
        <v>0</v>
      </c>
      <c r="M86" s="30">
        <f>+equipo4!L34</f>
        <v>0</v>
      </c>
      <c r="N86" s="30">
        <f>+equipo4!M34</f>
        <v>0</v>
      </c>
      <c r="O86" s="30">
        <f>+equipo4!N34</f>
        <v>0</v>
      </c>
      <c r="P86" s="30">
        <f>+equipo4!O34</f>
        <v>0</v>
      </c>
      <c r="Q86" s="30">
        <f>+equipo4!P34</f>
        <v>0</v>
      </c>
      <c r="R86" s="30">
        <f>+equipo4!Q34</f>
        <v>1</v>
      </c>
      <c r="S86" s="30">
        <f>+equipo4!R34</f>
        <v>4</v>
      </c>
      <c r="T86" s="30">
        <f>+equipo4!S34</f>
        <v>0</v>
      </c>
      <c r="U86" s="30">
        <f>+equipo4!T34</f>
        <v>250</v>
      </c>
      <c r="V86" s="30">
        <f>+equipo4!U34</f>
        <v>250</v>
      </c>
    </row>
    <row r="87" spans="1:22" x14ac:dyDescent="0.25">
      <c r="A87" s="30" t="str">
        <f>+equipo5!A35</f>
        <v>ALEXANDER HERNANDEZ</v>
      </c>
      <c r="B87" s="30" t="str">
        <f>+equipo5!B35</f>
        <v/>
      </c>
      <c r="C87" s="31" t="str">
        <f>+equipo4!$A$6</f>
        <v>equipo4</v>
      </c>
      <c r="D87" s="30">
        <f>+equipo4!C35</f>
        <v>0</v>
      </c>
      <c r="E87" s="30">
        <f>+equipo4!D35</f>
        <v>1</v>
      </c>
      <c r="F87" s="30">
        <f>+equipo4!E35</f>
        <v>0</v>
      </c>
      <c r="G87" s="30">
        <f>+equipo4!F35</f>
        <v>0</v>
      </c>
      <c r="H87" s="30">
        <f>+equipo4!G35</f>
        <v>0</v>
      </c>
      <c r="I87" s="30">
        <f>+equipo4!H35</f>
        <v>0</v>
      </c>
      <c r="J87" s="30">
        <f>+equipo4!I35</f>
        <v>1</v>
      </c>
      <c r="K87" s="30">
        <f>+equipo4!J35</f>
        <v>0</v>
      </c>
      <c r="L87" s="30">
        <f>+equipo4!K35</f>
        <v>3</v>
      </c>
      <c r="M87" s="30">
        <f>+equipo4!L35</f>
        <v>3</v>
      </c>
      <c r="N87" s="30">
        <f>+equipo4!M35</f>
        <v>0</v>
      </c>
      <c r="O87" s="30">
        <f>+equipo4!N35</f>
        <v>0</v>
      </c>
      <c r="P87" s="30">
        <f>+equipo4!O35</f>
        <v>0</v>
      </c>
      <c r="Q87" s="30">
        <f>+equipo4!P35</f>
        <v>0</v>
      </c>
      <c r="R87" s="30">
        <f>+equipo4!Q35</f>
        <v>0</v>
      </c>
      <c r="S87" s="30">
        <f>+equipo4!R35</f>
        <v>3</v>
      </c>
      <c r="T87" s="30">
        <f>+equipo4!S35</f>
        <v>0</v>
      </c>
      <c r="U87" s="30">
        <f>+equipo4!T35</f>
        <v>0</v>
      </c>
      <c r="V87" s="30">
        <f>+equipo4!U35</f>
        <v>0</v>
      </c>
    </row>
    <row r="88" spans="1:22" x14ac:dyDescent="0.25">
      <c r="A88" s="30" t="str">
        <f>+equipo5!A36</f>
        <v>DANIEL LIENDO</v>
      </c>
      <c r="B88" s="30" t="str">
        <f>+equipo5!B36</f>
        <v/>
      </c>
      <c r="C88" s="31" t="str">
        <f>+equipo4!$A$6</f>
        <v>equipo4</v>
      </c>
      <c r="D88" s="30">
        <f>+equipo4!C36</f>
        <v>1</v>
      </c>
      <c r="E88" s="30">
        <f>+equipo4!D36</f>
        <v>0</v>
      </c>
      <c r="F88" s="30">
        <f>+equipo4!E36</f>
        <v>0</v>
      </c>
      <c r="G88" s="30">
        <f>+equipo4!F36</f>
        <v>0</v>
      </c>
      <c r="H88" s="30">
        <f>+equipo4!G36</f>
        <v>0</v>
      </c>
      <c r="I88" s="30">
        <f>+equipo4!H36</f>
        <v>0</v>
      </c>
      <c r="J88" s="30">
        <f>+equipo4!I36</f>
        <v>0</v>
      </c>
      <c r="K88" s="30">
        <f>+equipo4!J36</f>
        <v>0</v>
      </c>
      <c r="L88" s="30">
        <f>+equipo4!K36</f>
        <v>0</v>
      </c>
      <c r="M88" s="30">
        <f>+equipo4!L36</f>
        <v>0</v>
      </c>
      <c r="N88" s="30">
        <f>+equipo4!M36</f>
        <v>0</v>
      </c>
      <c r="O88" s="30">
        <f>+equipo4!N36</f>
        <v>0</v>
      </c>
      <c r="P88" s="30">
        <f>+equipo4!O36</f>
        <v>0</v>
      </c>
      <c r="Q88" s="30">
        <f>+equipo4!P36</f>
        <v>0</v>
      </c>
      <c r="R88" s="30">
        <f>+equipo4!Q36</f>
        <v>0</v>
      </c>
      <c r="S88" s="30">
        <f>+equipo4!R36</f>
        <v>1</v>
      </c>
      <c r="T88" s="30">
        <f>+equipo4!S36</f>
        <v>0</v>
      </c>
      <c r="U88" s="30">
        <f>+equipo4!T36</f>
        <v>0</v>
      </c>
      <c r="V88" s="30">
        <f>+equipo4!U36</f>
        <v>0</v>
      </c>
    </row>
    <row r="89" spans="1:22" x14ac:dyDescent="0.25">
      <c r="A89" s="30" t="str">
        <f>+equipo5!A37</f>
        <v>SEBASTIAN MUJICA</v>
      </c>
      <c r="B89" s="30" t="str">
        <f>+equipo5!B37</f>
        <v/>
      </c>
      <c r="C89" s="31" t="str">
        <f>+equipo4!$A$6</f>
        <v>equipo4</v>
      </c>
      <c r="D89" s="30">
        <f>+equipo4!C37</f>
        <v>2</v>
      </c>
      <c r="E89" s="30">
        <f>+equipo4!D37</f>
        <v>0</v>
      </c>
      <c r="F89" s="30">
        <f>+equipo4!E37</f>
        <v>0</v>
      </c>
      <c r="G89" s="30">
        <f>+equipo4!F37</f>
        <v>0</v>
      </c>
      <c r="H89" s="30">
        <f>+equipo4!G37</f>
        <v>0</v>
      </c>
      <c r="I89" s="30">
        <f>+equipo4!H37</f>
        <v>0</v>
      </c>
      <c r="J89" s="30">
        <f>+equipo4!I37</f>
        <v>0</v>
      </c>
      <c r="K89" s="30">
        <f>+equipo4!J37</f>
        <v>1</v>
      </c>
      <c r="L89" s="30">
        <f>+equipo4!K37</f>
        <v>0</v>
      </c>
      <c r="M89" s="30">
        <f>+equipo4!L37</f>
        <v>0</v>
      </c>
      <c r="N89" s="30">
        <f>+equipo4!M37</f>
        <v>0</v>
      </c>
      <c r="O89" s="30">
        <f>+equipo4!N37</f>
        <v>0</v>
      </c>
      <c r="P89" s="30">
        <f>+equipo4!O37</f>
        <v>0</v>
      </c>
      <c r="Q89" s="30">
        <f>+equipo4!P37</f>
        <v>0</v>
      </c>
      <c r="R89" s="30">
        <f>+equipo4!Q37</f>
        <v>0</v>
      </c>
      <c r="S89" s="30">
        <f>+equipo4!R37</f>
        <v>2</v>
      </c>
      <c r="T89" s="30">
        <f>+equipo4!S37</f>
        <v>0</v>
      </c>
      <c r="U89" s="30">
        <f>+equipo4!T37</f>
        <v>0</v>
      </c>
      <c r="V89" s="30">
        <f>+equipo4!U37</f>
        <v>0</v>
      </c>
    </row>
    <row r="90" spans="1:22" x14ac:dyDescent="0.25">
      <c r="A90" s="30" t="str">
        <f>+equipo5!A38</f>
        <v>ANGEL RODRIGUEZ</v>
      </c>
      <c r="B90" s="30" t="str">
        <f>+equipo5!B38</f>
        <v/>
      </c>
      <c r="C90" s="31" t="str">
        <f>+equipo4!$A$6</f>
        <v>equipo4</v>
      </c>
      <c r="D90" s="30">
        <f>+equipo4!C38</f>
        <v>3</v>
      </c>
      <c r="E90" s="30">
        <f>+equipo4!D38</f>
        <v>2</v>
      </c>
      <c r="F90" s="30">
        <f>+equipo4!E38</f>
        <v>2</v>
      </c>
      <c r="G90" s="30">
        <f>+equipo4!F38</f>
        <v>0</v>
      </c>
      <c r="H90" s="30">
        <f>+equipo4!G38</f>
        <v>0</v>
      </c>
      <c r="I90" s="30">
        <f>+equipo4!H38</f>
        <v>0</v>
      </c>
      <c r="J90" s="30">
        <f>+equipo4!I38</f>
        <v>1</v>
      </c>
      <c r="K90" s="30">
        <f>+equipo4!J38</f>
        <v>1</v>
      </c>
      <c r="L90" s="30">
        <f>+equipo4!K38</f>
        <v>0</v>
      </c>
      <c r="M90" s="30">
        <f>+equipo4!L38</f>
        <v>1</v>
      </c>
      <c r="N90" s="30">
        <f>+equipo4!M38</f>
        <v>0</v>
      </c>
      <c r="O90" s="30">
        <f>+equipo4!N38</f>
        <v>0</v>
      </c>
      <c r="P90" s="30">
        <f>+equipo4!O38</f>
        <v>0</v>
      </c>
      <c r="Q90" s="30">
        <f>+equipo4!P38</f>
        <v>0</v>
      </c>
      <c r="R90" s="30">
        <f>+equipo4!Q38</f>
        <v>2</v>
      </c>
      <c r="S90" s="30">
        <f>+equipo4!R38</f>
        <v>3</v>
      </c>
      <c r="T90" s="30">
        <f>+equipo4!S38</f>
        <v>0</v>
      </c>
      <c r="U90" s="30">
        <f>+equipo4!T38</f>
        <v>666.66666666666663</v>
      </c>
      <c r="V90" s="30">
        <f>+equipo4!U38</f>
        <v>666.66666666666663</v>
      </c>
    </row>
    <row r="91" spans="1:22" x14ac:dyDescent="0.25">
      <c r="A91" s="30" t="str">
        <f>+equipo5!A39</f>
        <v>FRANCISCO MONASTERIO</v>
      </c>
      <c r="B91" s="30" t="str">
        <f>+equipo5!B39</f>
        <v/>
      </c>
      <c r="C91" s="31" t="str">
        <f>+equipo4!$A$6</f>
        <v>equipo4</v>
      </c>
      <c r="D91" s="30">
        <f>+equipo4!C39</f>
        <v>3</v>
      </c>
      <c r="E91" s="30">
        <f>+equipo4!D39</f>
        <v>1</v>
      </c>
      <c r="F91" s="30">
        <f>+equipo4!E39</f>
        <v>2</v>
      </c>
      <c r="G91" s="30">
        <f>+equipo4!F39</f>
        <v>0</v>
      </c>
      <c r="H91" s="30">
        <f>+equipo4!G39</f>
        <v>1</v>
      </c>
      <c r="I91" s="30">
        <f>+equipo4!H39</f>
        <v>0</v>
      </c>
      <c r="J91" s="30">
        <f>+equipo4!I39</f>
        <v>0</v>
      </c>
      <c r="K91" s="30">
        <f>+equipo4!J39</f>
        <v>0</v>
      </c>
      <c r="L91" s="30">
        <f>+equipo4!K39</f>
        <v>0</v>
      </c>
      <c r="M91" s="30">
        <f>+equipo4!L39</f>
        <v>0</v>
      </c>
      <c r="N91" s="30">
        <f>+equipo4!M39</f>
        <v>0</v>
      </c>
      <c r="O91" s="30">
        <f>+equipo4!N39</f>
        <v>0</v>
      </c>
      <c r="P91" s="30">
        <f>+equipo4!O39</f>
        <v>0</v>
      </c>
      <c r="Q91" s="30">
        <f>+equipo4!P39</f>
        <v>0</v>
      </c>
      <c r="R91" s="30">
        <f>+equipo4!Q39</f>
        <v>4</v>
      </c>
      <c r="S91" s="30">
        <f>+equipo4!R39</f>
        <v>3</v>
      </c>
      <c r="T91" s="30">
        <f>+equipo4!S39</f>
        <v>0</v>
      </c>
      <c r="U91" s="30">
        <f>+equipo4!T39</f>
        <v>666.66666666666663</v>
      </c>
      <c r="V91" s="30">
        <f>+equipo4!U39</f>
        <v>1333.3333333333333</v>
      </c>
    </row>
    <row r="92" spans="1:22" x14ac:dyDescent="0.25">
      <c r="A92" s="30" t="str">
        <f>+equipo5!A40</f>
        <v>MARCOS MORALES</v>
      </c>
      <c r="B92" s="30" t="str">
        <f>+equipo5!B40</f>
        <v/>
      </c>
      <c r="C92" s="31" t="str">
        <f>+equipo4!$A$6</f>
        <v>equipo4</v>
      </c>
      <c r="D92" s="30">
        <f>+equipo4!C40</f>
        <v>3</v>
      </c>
      <c r="E92" s="30">
        <f>+equipo4!D40</f>
        <v>2</v>
      </c>
      <c r="F92" s="30">
        <f>+equipo4!E40</f>
        <v>2</v>
      </c>
      <c r="G92" s="30">
        <f>+equipo4!F40</f>
        <v>1</v>
      </c>
      <c r="H92" s="30">
        <f>+equipo4!G40</f>
        <v>0</v>
      </c>
      <c r="I92" s="30">
        <f>+equipo4!H40</f>
        <v>0</v>
      </c>
      <c r="J92" s="30">
        <f>+equipo4!I40</f>
        <v>2</v>
      </c>
      <c r="K92" s="30">
        <f>+equipo4!J40</f>
        <v>1</v>
      </c>
      <c r="L92" s="30">
        <f>+equipo4!K40</f>
        <v>0</v>
      </c>
      <c r="M92" s="30">
        <f>+equipo4!L40</f>
        <v>3</v>
      </c>
      <c r="N92" s="30">
        <f>+equipo4!M40</f>
        <v>0</v>
      </c>
      <c r="O92" s="30">
        <f>+equipo4!N40</f>
        <v>0</v>
      </c>
      <c r="P92" s="30">
        <f>+equipo4!O40</f>
        <v>0</v>
      </c>
      <c r="Q92" s="30">
        <f>+equipo4!P40</f>
        <v>0</v>
      </c>
      <c r="R92" s="30">
        <f>+equipo4!Q40</f>
        <v>3</v>
      </c>
      <c r="S92" s="30">
        <f>+equipo4!R40</f>
        <v>3</v>
      </c>
      <c r="T92" s="30">
        <f>+equipo4!S40</f>
        <v>0</v>
      </c>
      <c r="U92" s="30">
        <f>+equipo4!T40</f>
        <v>666.66666666666663</v>
      </c>
      <c r="V92" s="30">
        <f>+equipo4!U40</f>
        <v>1000</v>
      </c>
    </row>
    <row r="93" spans="1:22" x14ac:dyDescent="0.25">
      <c r="A93" s="30" t="str">
        <f>+equipo5!A41</f>
        <v>ADRIAN MURILLO</v>
      </c>
      <c r="B93" s="30" t="str">
        <f>+equipo5!B41</f>
        <v/>
      </c>
      <c r="C93" s="31" t="str">
        <f>+equipo4!$A$6</f>
        <v>equipo4</v>
      </c>
      <c r="D93" s="30">
        <f>+equipo4!C41</f>
        <v>2</v>
      </c>
      <c r="E93" s="30">
        <f>+equipo4!D41</f>
        <v>1</v>
      </c>
      <c r="F93" s="30">
        <f>+equipo4!E41</f>
        <v>0</v>
      </c>
      <c r="G93" s="30">
        <f>+equipo4!F41</f>
        <v>0</v>
      </c>
      <c r="H93" s="30">
        <f>+equipo4!G41</f>
        <v>0</v>
      </c>
      <c r="I93" s="30">
        <f>+equipo4!H41</f>
        <v>0</v>
      </c>
      <c r="J93" s="30">
        <f>+equipo4!I41</f>
        <v>0</v>
      </c>
      <c r="K93" s="30">
        <f>+equipo4!J41</f>
        <v>1</v>
      </c>
      <c r="L93" s="30">
        <f>+equipo4!K41</f>
        <v>1</v>
      </c>
      <c r="M93" s="30">
        <f>+equipo4!L41</f>
        <v>1</v>
      </c>
      <c r="N93" s="30">
        <f>+equipo4!M41</f>
        <v>0</v>
      </c>
      <c r="O93" s="30">
        <f>+equipo4!N41</f>
        <v>0</v>
      </c>
      <c r="P93" s="30">
        <f>+equipo4!O41</f>
        <v>0</v>
      </c>
      <c r="Q93" s="30">
        <f>+equipo4!P41</f>
        <v>0</v>
      </c>
      <c r="R93" s="30">
        <f>+equipo4!Q41</f>
        <v>0</v>
      </c>
      <c r="S93" s="30">
        <f>+equipo4!R41</f>
        <v>3</v>
      </c>
      <c r="T93" s="30">
        <f>+equipo4!S41</f>
        <v>0</v>
      </c>
      <c r="U93" s="30">
        <f>+equipo4!T41</f>
        <v>0</v>
      </c>
      <c r="V93" s="30">
        <f>+equipo4!U41</f>
        <v>0</v>
      </c>
    </row>
    <row r="94" spans="1:22" x14ac:dyDescent="0.25">
      <c r="A94" s="30" t="str">
        <f>+equipo5!A42</f>
        <v>DARGREYBER RODRIGUEZ</v>
      </c>
      <c r="B94" s="30" t="str">
        <f>+equipo5!B42</f>
        <v/>
      </c>
      <c r="C94" s="31" t="str">
        <f>+equipo4!$A$6</f>
        <v>equipo4</v>
      </c>
      <c r="D94" s="30">
        <f>+equipo4!C42</f>
        <v>0</v>
      </c>
      <c r="E94" s="30">
        <f>+equipo4!D42</f>
        <v>0</v>
      </c>
      <c r="F94" s="30">
        <f>+equipo4!E42</f>
        <v>0</v>
      </c>
      <c r="G94" s="30">
        <f>+equipo4!F42</f>
        <v>0</v>
      </c>
      <c r="H94" s="30">
        <f>+equipo4!G42</f>
        <v>0</v>
      </c>
      <c r="I94" s="30">
        <f>+equipo4!H42</f>
        <v>0</v>
      </c>
      <c r="J94" s="30">
        <f>+equipo4!I42</f>
        <v>0</v>
      </c>
      <c r="K94" s="30">
        <f>+equipo4!J42</f>
        <v>0</v>
      </c>
      <c r="L94" s="30">
        <f>+equipo4!K42</f>
        <v>0</v>
      </c>
      <c r="M94" s="30">
        <f>+equipo4!L42</f>
        <v>0</v>
      </c>
      <c r="N94" s="30">
        <f>+equipo4!M42</f>
        <v>0</v>
      </c>
      <c r="O94" s="30">
        <f>+equipo4!N42</f>
        <v>0</v>
      </c>
      <c r="P94" s="30">
        <f>+equipo4!O42</f>
        <v>0</v>
      </c>
      <c r="Q94" s="30">
        <f>+equipo4!P42</f>
        <v>0</v>
      </c>
      <c r="R94" s="30">
        <f>+equipo4!Q42</f>
        <v>0</v>
      </c>
      <c r="S94" s="30">
        <f>+equipo4!R42</f>
        <v>0</v>
      </c>
      <c r="T94" s="30">
        <f>+equipo4!S42</f>
        <v>0</v>
      </c>
      <c r="U94" s="30">
        <f>+equipo4!T42</f>
        <v>0</v>
      </c>
      <c r="V94" s="30">
        <f>+equipo4!U42</f>
        <v>0</v>
      </c>
    </row>
    <row r="95" spans="1:22" x14ac:dyDescent="0.25">
      <c r="A95" s="30" t="str">
        <f>+equipo5!A43</f>
        <v>JENSE FLORES</v>
      </c>
      <c r="B95" s="30" t="str">
        <f>+equipo5!B43</f>
        <v/>
      </c>
      <c r="C95" s="31" t="str">
        <f>+equipo4!$A$6</f>
        <v>equipo4</v>
      </c>
      <c r="D95" s="30">
        <f>+equipo4!C43</f>
        <v>0</v>
      </c>
      <c r="E95" s="30">
        <f>+equipo4!D43</f>
        <v>0</v>
      </c>
      <c r="F95" s="30">
        <f>+equipo4!E43</f>
        <v>0</v>
      </c>
      <c r="G95" s="30">
        <f>+equipo4!F43</f>
        <v>0</v>
      </c>
      <c r="H95" s="30">
        <f>+equipo4!G43</f>
        <v>0</v>
      </c>
      <c r="I95" s="30">
        <f>+equipo4!H43</f>
        <v>0</v>
      </c>
      <c r="J95" s="30">
        <f>+equipo4!I43</f>
        <v>0</v>
      </c>
      <c r="K95" s="30">
        <f>+equipo4!J43</f>
        <v>0</v>
      </c>
      <c r="L95" s="30">
        <f>+equipo4!K43</f>
        <v>0</v>
      </c>
      <c r="M95" s="30">
        <f>+equipo4!L43</f>
        <v>0</v>
      </c>
      <c r="N95" s="30">
        <f>+equipo4!M43</f>
        <v>0</v>
      </c>
      <c r="O95" s="30">
        <f>+equipo4!N43</f>
        <v>0</v>
      </c>
      <c r="P95" s="30">
        <f>+equipo4!O43</f>
        <v>0</v>
      </c>
      <c r="Q95" s="30">
        <f>+equipo4!P43</f>
        <v>0</v>
      </c>
      <c r="R95" s="30">
        <f>+equipo4!Q43</f>
        <v>0</v>
      </c>
      <c r="S95" s="30">
        <f>+equipo4!R43</f>
        <v>0</v>
      </c>
      <c r="T95" s="30">
        <f>+equipo4!S43</f>
        <v>0</v>
      </c>
      <c r="U95" s="30">
        <f>+equipo4!T43</f>
        <v>0</v>
      </c>
      <c r="V95" s="30">
        <f>+equipo4!U43</f>
        <v>0</v>
      </c>
    </row>
    <row r="96" spans="1:22" x14ac:dyDescent="0.25">
      <c r="A96" s="30" t="str">
        <f>+equipo5!A44</f>
        <v/>
      </c>
      <c r="B96" s="30" t="str">
        <f>+equipo5!B44</f>
        <v/>
      </c>
      <c r="C96" s="31" t="str">
        <f>+equipo4!$A$6</f>
        <v>equipo4</v>
      </c>
      <c r="D96" s="30">
        <f>+equipo4!C44</f>
        <v>0</v>
      </c>
      <c r="E96" s="30">
        <f>+equipo4!D44</f>
        <v>0</v>
      </c>
      <c r="F96" s="30">
        <f>+equipo4!E44</f>
        <v>0</v>
      </c>
      <c r="G96" s="30">
        <f>+equipo4!F44</f>
        <v>0</v>
      </c>
      <c r="H96" s="30">
        <f>+equipo4!G44</f>
        <v>0</v>
      </c>
      <c r="I96" s="30">
        <f>+equipo4!H44</f>
        <v>0</v>
      </c>
      <c r="J96" s="30">
        <f>+equipo4!I44</f>
        <v>0</v>
      </c>
      <c r="K96" s="30">
        <f>+equipo4!J44</f>
        <v>0</v>
      </c>
      <c r="L96" s="30">
        <f>+equipo4!K44</f>
        <v>0</v>
      </c>
      <c r="M96" s="30">
        <f>+equipo4!L44</f>
        <v>0</v>
      </c>
      <c r="N96" s="30">
        <f>+equipo4!M44</f>
        <v>0</v>
      </c>
      <c r="O96" s="30">
        <f>+equipo4!N44</f>
        <v>0</v>
      </c>
      <c r="P96" s="30">
        <f>+equipo4!O44</f>
        <v>0</v>
      </c>
      <c r="Q96" s="30">
        <f>+equipo4!P44</f>
        <v>0</v>
      </c>
      <c r="R96" s="30">
        <f>+equipo4!Q44</f>
        <v>0</v>
      </c>
      <c r="S96" s="30">
        <f>+equipo4!R44</f>
        <v>0</v>
      </c>
      <c r="T96" s="30">
        <f>+equipo4!S44</f>
        <v>0</v>
      </c>
      <c r="U96" s="30">
        <f>+equipo4!T44</f>
        <v>0</v>
      </c>
      <c r="V96" s="30">
        <f>+equipo4!U44</f>
        <v>0</v>
      </c>
    </row>
    <row r="97" spans="1:22" x14ac:dyDescent="0.25">
      <c r="A97" s="30" t="str">
        <f>+equipo5!A45</f>
        <v/>
      </c>
      <c r="B97" s="30" t="str">
        <f>+equipo5!B45</f>
        <v/>
      </c>
      <c r="C97" s="31" t="str">
        <f>+equipo4!$A$6</f>
        <v>equipo4</v>
      </c>
      <c r="D97" s="30">
        <f>+equipo4!C45</f>
        <v>0</v>
      </c>
      <c r="E97" s="30">
        <f>+equipo4!D45</f>
        <v>0</v>
      </c>
      <c r="F97" s="30">
        <f>+equipo4!E45</f>
        <v>0</v>
      </c>
      <c r="G97" s="30">
        <f>+equipo4!F45</f>
        <v>0</v>
      </c>
      <c r="H97" s="30">
        <f>+equipo4!G45</f>
        <v>0</v>
      </c>
      <c r="I97" s="30">
        <f>+equipo4!H45</f>
        <v>0</v>
      </c>
      <c r="J97" s="30">
        <f>+equipo4!I45</f>
        <v>0</v>
      </c>
      <c r="K97" s="30">
        <f>+equipo4!J45</f>
        <v>0</v>
      </c>
      <c r="L97" s="30">
        <f>+equipo4!K45</f>
        <v>0</v>
      </c>
      <c r="M97" s="30">
        <f>+equipo4!L45</f>
        <v>0</v>
      </c>
      <c r="N97" s="30">
        <f>+equipo4!M45</f>
        <v>0</v>
      </c>
      <c r="O97" s="30">
        <f>+equipo4!N45</f>
        <v>0</v>
      </c>
      <c r="P97" s="30">
        <f>+equipo4!O45</f>
        <v>0</v>
      </c>
      <c r="Q97" s="30">
        <f>+equipo4!P45</f>
        <v>0</v>
      </c>
      <c r="R97" s="30">
        <f>+equipo4!Q45</f>
        <v>0</v>
      </c>
      <c r="S97" s="30">
        <f>+equipo4!R45</f>
        <v>0</v>
      </c>
      <c r="T97" s="30">
        <f>+equipo4!S45</f>
        <v>0</v>
      </c>
      <c r="U97" s="30">
        <f>+equipo4!T45</f>
        <v>0</v>
      </c>
      <c r="V97" s="30">
        <f>+equipo4!U45</f>
        <v>0</v>
      </c>
    </row>
    <row r="98" spans="1:22" x14ac:dyDescent="0.25">
      <c r="A98" s="30" t="str">
        <f>+equipo5!A46</f>
        <v/>
      </c>
      <c r="B98" s="30" t="str">
        <f>+equipo5!B46</f>
        <v/>
      </c>
      <c r="C98" s="31" t="str">
        <f>+equipo4!$A$6</f>
        <v>equipo4</v>
      </c>
      <c r="D98" s="30">
        <f>+equipo4!C46</f>
        <v>0</v>
      </c>
      <c r="E98" s="30">
        <f>+equipo4!D46</f>
        <v>0</v>
      </c>
      <c r="F98" s="30">
        <f>+equipo4!E46</f>
        <v>0</v>
      </c>
      <c r="G98" s="30">
        <f>+equipo4!F46</f>
        <v>0</v>
      </c>
      <c r="H98" s="30">
        <f>+equipo4!G46</f>
        <v>0</v>
      </c>
      <c r="I98" s="30">
        <f>+equipo4!H46</f>
        <v>0</v>
      </c>
      <c r="J98" s="30">
        <f>+equipo4!I46</f>
        <v>0</v>
      </c>
      <c r="K98" s="30">
        <f>+equipo4!J46</f>
        <v>0</v>
      </c>
      <c r="L98" s="30">
        <f>+equipo4!K46</f>
        <v>0</v>
      </c>
      <c r="M98" s="30">
        <f>+equipo4!L46</f>
        <v>0</v>
      </c>
      <c r="N98" s="30">
        <f>+equipo4!M46</f>
        <v>0</v>
      </c>
      <c r="O98" s="30">
        <f>+equipo4!N46</f>
        <v>0</v>
      </c>
      <c r="P98" s="30">
        <f>+equipo4!O46</f>
        <v>0</v>
      </c>
      <c r="Q98" s="30">
        <f>+equipo4!P46</f>
        <v>0</v>
      </c>
      <c r="R98" s="30">
        <f>+equipo4!Q46</f>
        <v>0</v>
      </c>
      <c r="S98" s="30">
        <f>+equipo4!R46</f>
        <v>0</v>
      </c>
      <c r="T98" s="30">
        <f>+equipo4!S46</f>
        <v>0</v>
      </c>
      <c r="U98" s="30">
        <f>+equipo4!T46</f>
        <v>0</v>
      </c>
      <c r="V98" s="30">
        <f>+equipo4!U46</f>
        <v>0</v>
      </c>
    </row>
    <row r="99" spans="1:22" x14ac:dyDescent="0.25">
      <c r="A99" s="30" t="str">
        <f>+equipo5!A47</f>
        <v/>
      </c>
      <c r="B99" s="30" t="str">
        <f>+equipo5!B47</f>
        <v/>
      </c>
      <c r="C99" s="31" t="str">
        <f>+equipo4!$A$6</f>
        <v>equipo4</v>
      </c>
      <c r="D99" s="30">
        <f>+equipo4!C47</f>
        <v>0</v>
      </c>
      <c r="E99" s="30">
        <f>+equipo4!D47</f>
        <v>0</v>
      </c>
      <c r="F99" s="30">
        <f>+equipo4!E47</f>
        <v>0</v>
      </c>
      <c r="G99" s="30">
        <f>+equipo4!F47</f>
        <v>0</v>
      </c>
      <c r="H99" s="30">
        <f>+equipo4!G47</f>
        <v>0</v>
      </c>
      <c r="I99" s="30">
        <f>+equipo4!H47</f>
        <v>0</v>
      </c>
      <c r="J99" s="30">
        <f>+equipo4!I47</f>
        <v>0</v>
      </c>
      <c r="K99" s="30">
        <f>+equipo4!J47</f>
        <v>0</v>
      </c>
      <c r="L99" s="30">
        <f>+equipo4!K47</f>
        <v>0</v>
      </c>
      <c r="M99" s="30">
        <f>+equipo4!L47</f>
        <v>0</v>
      </c>
      <c r="N99" s="30">
        <f>+equipo4!M47</f>
        <v>0</v>
      </c>
      <c r="O99" s="30">
        <f>+equipo4!N47</f>
        <v>0</v>
      </c>
      <c r="P99" s="30">
        <f>+equipo4!O47</f>
        <v>0</v>
      </c>
      <c r="Q99" s="30">
        <f>+equipo4!P47</f>
        <v>0</v>
      </c>
      <c r="R99" s="30">
        <f>+equipo4!Q47</f>
        <v>0</v>
      </c>
      <c r="S99" s="30">
        <f>+equipo4!R47</f>
        <v>0</v>
      </c>
      <c r="T99" s="30">
        <f>+equipo4!S47</f>
        <v>0</v>
      </c>
      <c r="U99" s="30">
        <f>+equipo4!T47</f>
        <v>0</v>
      </c>
      <c r="V99" s="30">
        <f>+equipo4!U47</f>
        <v>0</v>
      </c>
    </row>
    <row r="100" spans="1:22" x14ac:dyDescent="0.25">
      <c r="A100" s="30" t="str">
        <f>+equipo5!A48</f>
        <v/>
      </c>
      <c r="B100" s="30" t="str">
        <f>+equipo5!B48</f>
        <v/>
      </c>
      <c r="C100" s="31" t="str">
        <f>+equipo4!$A$6</f>
        <v>equipo4</v>
      </c>
      <c r="D100" s="30">
        <f>+equipo4!C48</f>
        <v>0</v>
      </c>
      <c r="E100" s="30">
        <f>+equipo4!D48</f>
        <v>0</v>
      </c>
      <c r="F100" s="30">
        <f>+equipo4!E48</f>
        <v>0</v>
      </c>
      <c r="G100" s="30">
        <f>+equipo4!F48</f>
        <v>0</v>
      </c>
      <c r="H100" s="30">
        <f>+equipo4!G48</f>
        <v>0</v>
      </c>
      <c r="I100" s="30">
        <f>+equipo4!H48</f>
        <v>0</v>
      </c>
      <c r="J100" s="30">
        <f>+equipo4!I48</f>
        <v>0</v>
      </c>
      <c r="K100" s="30">
        <f>+equipo4!J48</f>
        <v>0</v>
      </c>
      <c r="L100" s="30">
        <f>+equipo4!K48</f>
        <v>0</v>
      </c>
      <c r="M100" s="30">
        <f>+equipo4!L48</f>
        <v>0</v>
      </c>
      <c r="N100" s="30">
        <f>+equipo4!M48</f>
        <v>0</v>
      </c>
      <c r="O100" s="30">
        <f>+equipo4!N48</f>
        <v>0</v>
      </c>
      <c r="P100" s="30">
        <f>+equipo4!O48</f>
        <v>0</v>
      </c>
      <c r="Q100" s="30">
        <f>+equipo4!P48</f>
        <v>0</v>
      </c>
      <c r="R100" s="30">
        <f>+equipo4!Q48</f>
        <v>0</v>
      </c>
      <c r="S100" s="30">
        <f>+equipo4!R48</f>
        <v>0</v>
      </c>
      <c r="T100" s="30">
        <f>+equipo4!S48</f>
        <v>0</v>
      </c>
      <c r="U100" s="30">
        <f>+equipo4!T48</f>
        <v>0</v>
      </c>
      <c r="V100" s="30">
        <f>+equipo4!U48</f>
        <v>0</v>
      </c>
    </row>
    <row r="101" spans="1:22" x14ac:dyDescent="0.25">
      <c r="A101" s="30" t="str">
        <f>+equipo5!A49</f>
        <v/>
      </c>
      <c r="B101" s="30" t="str">
        <f>+equipo5!B49</f>
        <v/>
      </c>
      <c r="C101" s="31" t="str">
        <f>+equipo4!$A$6</f>
        <v>equipo4</v>
      </c>
      <c r="D101" s="30">
        <f>+equipo4!C49</f>
        <v>0</v>
      </c>
      <c r="E101" s="30">
        <f>+equipo4!D49</f>
        <v>0</v>
      </c>
      <c r="F101" s="30">
        <f>+equipo4!E49</f>
        <v>0</v>
      </c>
      <c r="G101" s="30">
        <f>+equipo4!F49</f>
        <v>0</v>
      </c>
      <c r="H101" s="30">
        <f>+equipo4!G49</f>
        <v>0</v>
      </c>
      <c r="I101" s="30">
        <f>+equipo4!H49</f>
        <v>0</v>
      </c>
      <c r="J101" s="30">
        <f>+equipo4!I49</f>
        <v>0</v>
      </c>
      <c r="K101" s="30">
        <f>+equipo4!J49</f>
        <v>0</v>
      </c>
      <c r="L101" s="30">
        <f>+equipo4!K49</f>
        <v>0</v>
      </c>
      <c r="M101" s="30">
        <f>+equipo4!L49</f>
        <v>0</v>
      </c>
      <c r="N101" s="30">
        <f>+equipo4!M49</f>
        <v>0</v>
      </c>
      <c r="O101" s="30">
        <f>+equipo4!N49</f>
        <v>0</v>
      </c>
      <c r="P101" s="30">
        <f>+equipo4!O49</f>
        <v>0</v>
      </c>
      <c r="Q101" s="30">
        <f>+equipo4!P49</f>
        <v>0</v>
      </c>
      <c r="R101" s="30">
        <f>+equipo4!Q49</f>
        <v>0</v>
      </c>
      <c r="S101" s="30">
        <f>+equipo4!R49</f>
        <v>0</v>
      </c>
      <c r="T101" s="30">
        <f>+equipo4!S49</f>
        <v>0</v>
      </c>
      <c r="U101" s="30">
        <f>+equipo4!T49</f>
        <v>0</v>
      </c>
      <c r="V101" s="30">
        <f>+equipo4!U49</f>
        <v>0</v>
      </c>
    </row>
    <row r="102" spans="1:22" x14ac:dyDescent="0.25">
      <c r="A102" s="30" t="str">
        <f>+equipo5!A50</f>
        <v/>
      </c>
      <c r="B102" s="30" t="str">
        <f>+equipo5!B50</f>
        <v/>
      </c>
      <c r="C102" s="31" t="str">
        <f>+equipo4!$A$6</f>
        <v>equipo4</v>
      </c>
      <c r="D102" s="30">
        <f>+equipo4!C50</f>
        <v>0</v>
      </c>
      <c r="E102" s="30">
        <f>+equipo4!D50</f>
        <v>0</v>
      </c>
      <c r="F102" s="30">
        <f>+equipo4!E50</f>
        <v>0</v>
      </c>
      <c r="G102" s="30">
        <f>+equipo4!F50</f>
        <v>0</v>
      </c>
      <c r="H102" s="30">
        <f>+equipo4!G50</f>
        <v>0</v>
      </c>
      <c r="I102" s="30">
        <f>+equipo4!H50</f>
        <v>0</v>
      </c>
      <c r="J102" s="30">
        <f>+equipo4!I50</f>
        <v>0</v>
      </c>
      <c r="K102" s="30">
        <f>+equipo4!J50</f>
        <v>0</v>
      </c>
      <c r="L102" s="30">
        <f>+equipo4!K50</f>
        <v>0</v>
      </c>
      <c r="M102" s="30">
        <f>+equipo4!L50</f>
        <v>0</v>
      </c>
      <c r="N102" s="30">
        <f>+equipo4!M50</f>
        <v>0</v>
      </c>
      <c r="O102" s="30">
        <f>+equipo4!N50</f>
        <v>0</v>
      </c>
      <c r="P102" s="30">
        <f>+equipo4!O50</f>
        <v>0</v>
      </c>
      <c r="Q102" s="30">
        <f>+equipo4!P50</f>
        <v>0</v>
      </c>
      <c r="R102" s="30">
        <f>+equipo4!Q50</f>
        <v>0</v>
      </c>
      <c r="S102" s="30">
        <f>+equipo4!R50</f>
        <v>0</v>
      </c>
      <c r="T102" s="30">
        <f>+equipo4!S50</f>
        <v>0</v>
      </c>
      <c r="U102" s="30">
        <f>+equipo4!T50</f>
        <v>0</v>
      </c>
      <c r="V102" s="30">
        <f>+equipo4!U50</f>
        <v>0</v>
      </c>
    </row>
    <row r="103" spans="1:22" x14ac:dyDescent="0.25">
      <c r="A103" s="30" t="str">
        <f>+equipo6!A32</f>
        <v>JESUS MENDOZA EQUIPO6</v>
      </c>
      <c r="B103" s="30">
        <f>+equipo6!B32</f>
        <v>5</v>
      </c>
      <c r="C103" s="31" t="str">
        <f>+equipo5!$A$6</f>
        <v>equipo5</v>
      </c>
      <c r="D103" s="30">
        <f>+equipo6!C32</f>
        <v>4</v>
      </c>
      <c r="E103" s="30">
        <f>+equipo6!D32</f>
        <v>2</v>
      </c>
      <c r="F103" s="30">
        <f>+equipo6!E32</f>
        <v>1</v>
      </c>
      <c r="G103" s="30">
        <f>+equipo6!F32</f>
        <v>0</v>
      </c>
      <c r="H103" s="30">
        <f>+equipo6!G32</f>
        <v>0</v>
      </c>
      <c r="I103" s="30">
        <f>+equipo6!H32</f>
        <v>0</v>
      </c>
      <c r="J103" s="30">
        <f>+equipo6!I32</f>
        <v>0</v>
      </c>
      <c r="K103" s="30">
        <f>+equipo6!J32</f>
        <v>0</v>
      </c>
      <c r="L103" s="30">
        <f>+equipo6!K32</f>
        <v>0</v>
      </c>
      <c r="M103" s="30">
        <f>+equipo6!L32</f>
        <v>1</v>
      </c>
      <c r="N103" s="30">
        <f>+equipo6!M32</f>
        <v>0</v>
      </c>
      <c r="O103" s="30">
        <f>+equipo6!N32</f>
        <v>0</v>
      </c>
      <c r="P103" s="30">
        <f>+equipo6!O32</f>
        <v>0</v>
      </c>
      <c r="Q103" s="30">
        <f>+equipo6!P32</f>
        <v>0</v>
      </c>
      <c r="R103" s="30">
        <f>+equipo6!Q32</f>
        <v>1</v>
      </c>
      <c r="S103" s="30">
        <f>+equipo6!R32</f>
        <v>4</v>
      </c>
      <c r="T103" s="30">
        <f>+equipo6!S32</f>
        <v>0</v>
      </c>
      <c r="U103" s="30">
        <f>+equipo6!T32</f>
        <v>250</v>
      </c>
      <c r="V103" s="30">
        <f>+equipo6!U32</f>
        <v>250</v>
      </c>
    </row>
    <row r="104" spans="1:22" x14ac:dyDescent="0.25">
      <c r="A104" s="30" t="str">
        <f>+equipo6!A33</f>
        <v>JOSEPH MENDOZA</v>
      </c>
      <c r="B104" s="30">
        <f>+equipo6!B33</f>
        <v>6</v>
      </c>
      <c r="C104" s="31" t="str">
        <f>+equipo5!$A$6</f>
        <v>equipo5</v>
      </c>
      <c r="D104" s="30">
        <f>+equipo6!C33</f>
        <v>3</v>
      </c>
      <c r="E104" s="30">
        <f>+equipo6!D33</f>
        <v>1</v>
      </c>
      <c r="F104" s="30">
        <f>+equipo6!E33</f>
        <v>1</v>
      </c>
      <c r="G104" s="30">
        <f>+equipo6!F33</f>
        <v>1</v>
      </c>
      <c r="H104" s="30">
        <f>+equipo6!G33</f>
        <v>0</v>
      </c>
      <c r="I104" s="30">
        <f>+equipo6!H33</f>
        <v>0</v>
      </c>
      <c r="J104" s="30">
        <f>+equipo6!I33</f>
        <v>0</v>
      </c>
      <c r="K104" s="30">
        <f>+equipo6!J33</f>
        <v>0</v>
      </c>
      <c r="L104" s="30">
        <f>+equipo6!K33</f>
        <v>1</v>
      </c>
      <c r="M104" s="30">
        <f>+equipo6!L33</f>
        <v>0</v>
      </c>
      <c r="N104" s="30">
        <f>+equipo6!M33</f>
        <v>0</v>
      </c>
      <c r="O104" s="30">
        <f>+equipo6!N33</f>
        <v>0</v>
      </c>
      <c r="P104" s="30">
        <f>+equipo6!O33</f>
        <v>0</v>
      </c>
      <c r="Q104" s="30">
        <f>+equipo6!P33</f>
        <v>0</v>
      </c>
      <c r="R104" s="30">
        <f>+equipo6!Q33</f>
        <v>2</v>
      </c>
      <c r="S104" s="30">
        <f>+equipo6!R33</f>
        <v>4</v>
      </c>
      <c r="T104" s="30">
        <f>+equipo6!S33</f>
        <v>0</v>
      </c>
      <c r="U104" s="30">
        <f>+equipo6!T33</f>
        <v>333.33333333333331</v>
      </c>
      <c r="V104" s="30">
        <f>+equipo6!U33</f>
        <v>666.66666666666663</v>
      </c>
    </row>
    <row r="105" spans="1:22" x14ac:dyDescent="0.25">
      <c r="A105" s="30" t="str">
        <f>+equipo6!A34</f>
        <v>ABRAHAN RODRIGUZ</v>
      </c>
      <c r="B105" s="30" t="str">
        <f>+equipo6!B34</f>
        <v/>
      </c>
      <c r="C105" s="31" t="str">
        <f>+equipo5!$A$6</f>
        <v>equipo5</v>
      </c>
      <c r="D105" s="30">
        <f>+equipo6!C34</f>
        <v>4</v>
      </c>
      <c r="E105" s="30">
        <f>+equipo6!D34</f>
        <v>0</v>
      </c>
      <c r="F105" s="30">
        <f>+equipo6!E34</f>
        <v>1</v>
      </c>
      <c r="G105" s="30">
        <f>+equipo6!F34</f>
        <v>0</v>
      </c>
      <c r="H105" s="30">
        <f>+equipo6!G34</f>
        <v>0</v>
      </c>
      <c r="I105" s="30">
        <f>+equipo6!H34</f>
        <v>0</v>
      </c>
      <c r="J105" s="30">
        <f>+equipo6!I34</f>
        <v>0</v>
      </c>
      <c r="K105" s="30">
        <f>+equipo6!J34</f>
        <v>0</v>
      </c>
      <c r="L105" s="30">
        <f>+equipo6!K34</f>
        <v>0</v>
      </c>
      <c r="M105" s="30">
        <f>+equipo6!L34</f>
        <v>0</v>
      </c>
      <c r="N105" s="30">
        <f>+equipo6!M34</f>
        <v>0</v>
      </c>
      <c r="O105" s="30">
        <f>+equipo6!N34</f>
        <v>0</v>
      </c>
      <c r="P105" s="30">
        <f>+equipo6!O34</f>
        <v>0</v>
      </c>
      <c r="Q105" s="30">
        <f>+equipo6!P34</f>
        <v>0</v>
      </c>
      <c r="R105" s="30">
        <f>+equipo6!Q34</f>
        <v>1</v>
      </c>
      <c r="S105" s="30">
        <f>+equipo6!R34</f>
        <v>4</v>
      </c>
      <c r="T105" s="30">
        <f>+equipo6!S34</f>
        <v>0</v>
      </c>
      <c r="U105" s="30">
        <f>+equipo6!T34</f>
        <v>250</v>
      </c>
      <c r="V105" s="30">
        <f>+equipo6!U34</f>
        <v>250</v>
      </c>
    </row>
    <row r="106" spans="1:22" x14ac:dyDescent="0.25">
      <c r="A106" s="30" t="str">
        <f>+equipo6!A35</f>
        <v>ALEXANDER HERNANDEZ</v>
      </c>
      <c r="B106" s="30" t="str">
        <f>+equipo6!B35</f>
        <v/>
      </c>
      <c r="C106" s="31" t="str">
        <f>+equipo5!$A$6</f>
        <v>equipo5</v>
      </c>
      <c r="D106" s="30">
        <f>+equipo6!C35</f>
        <v>0</v>
      </c>
      <c r="E106" s="30">
        <f>+equipo6!D35</f>
        <v>1</v>
      </c>
      <c r="F106" s="30">
        <f>+equipo6!E35</f>
        <v>0</v>
      </c>
      <c r="G106" s="30">
        <f>+equipo6!F35</f>
        <v>0</v>
      </c>
      <c r="H106" s="30">
        <f>+equipo6!G35</f>
        <v>0</v>
      </c>
      <c r="I106" s="30">
        <f>+equipo6!H35</f>
        <v>0</v>
      </c>
      <c r="J106" s="30">
        <f>+equipo6!I35</f>
        <v>1</v>
      </c>
      <c r="K106" s="30">
        <f>+equipo6!J35</f>
        <v>0</v>
      </c>
      <c r="L106" s="30">
        <f>+equipo6!K35</f>
        <v>3</v>
      </c>
      <c r="M106" s="30">
        <f>+equipo6!L35</f>
        <v>3</v>
      </c>
      <c r="N106" s="30">
        <f>+equipo6!M35</f>
        <v>0</v>
      </c>
      <c r="O106" s="30">
        <f>+equipo6!N35</f>
        <v>0</v>
      </c>
      <c r="P106" s="30">
        <f>+equipo6!O35</f>
        <v>0</v>
      </c>
      <c r="Q106" s="30">
        <f>+equipo6!P35</f>
        <v>0</v>
      </c>
      <c r="R106" s="30">
        <f>+equipo6!Q35</f>
        <v>0</v>
      </c>
      <c r="S106" s="30">
        <f>+equipo6!R35</f>
        <v>3</v>
      </c>
      <c r="T106" s="30">
        <f>+equipo6!S35</f>
        <v>0</v>
      </c>
      <c r="U106" s="30">
        <f>+equipo6!T35</f>
        <v>0</v>
      </c>
      <c r="V106" s="30">
        <f>+equipo6!U35</f>
        <v>0</v>
      </c>
    </row>
    <row r="107" spans="1:22" x14ac:dyDescent="0.25">
      <c r="A107" s="30" t="str">
        <f>+equipo6!A36</f>
        <v>DANIEL LIENDO</v>
      </c>
      <c r="B107" s="30" t="str">
        <f>+equipo6!B36</f>
        <v/>
      </c>
      <c r="C107" s="31" t="str">
        <f>+equipo5!$A$6</f>
        <v>equipo5</v>
      </c>
      <c r="D107" s="30">
        <f>+equipo6!C36</f>
        <v>1</v>
      </c>
      <c r="E107" s="30">
        <f>+equipo6!D36</f>
        <v>0</v>
      </c>
      <c r="F107" s="30">
        <f>+equipo6!E36</f>
        <v>0</v>
      </c>
      <c r="G107" s="30">
        <f>+equipo6!F36</f>
        <v>0</v>
      </c>
      <c r="H107" s="30">
        <f>+equipo6!G36</f>
        <v>0</v>
      </c>
      <c r="I107" s="30">
        <f>+equipo6!H36</f>
        <v>0</v>
      </c>
      <c r="J107" s="30">
        <f>+equipo6!I36</f>
        <v>0</v>
      </c>
      <c r="K107" s="30">
        <f>+equipo6!J36</f>
        <v>0</v>
      </c>
      <c r="L107" s="30">
        <f>+equipo6!K36</f>
        <v>0</v>
      </c>
      <c r="M107" s="30">
        <f>+equipo6!L36</f>
        <v>0</v>
      </c>
      <c r="N107" s="30">
        <f>+equipo6!M36</f>
        <v>0</v>
      </c>
      <c r="O107" s="30">
        <f>+equipo6!N36</f>
        <v>0</v>
      </c>
      <c r="P107" s="30">
        <f>+equipo6!O36</f>
        <v>0</v>
      </c>
      <c r="Q107" s="30">
        <f>+equipo6!P36</f>
        <v>0</v>
      </c>
      <c r="R107" s="30">
        <f>+equipo6!Q36</f>
        <v>0</v>
      </c>
      <c r="S107" s="30">
        <f>+equipo6!R36</f>
        <v>1</v>
      </c>
      <c r="T107" s="30">
        <f>+equipo6!S36</f>
        <v>0</v>
      </c>
      <c r="U107" s="30">
        <f>+equipo6!T36</f>
        <v>0</v>
      </c>
      <c r="V107" s="30">
        <f>+equipo6!U36</f>
        <v>0</v>
      </c>
    </row>
    <row r="108" spans="1:22" x14ac:dyDescent="0.25">
      <c r="A108" s="30" t="str">
        <f>+equipo6!A37</f>
        <v>SEBASTIAN MUJICA</v>
      </c>
      <c r="B108" s="30" t="str">
        <f>+equipo6!B37</f>
        <v/>
      </c>
      <c r="C108" s="31" t="str">
        <f>+equipo5!$A$6</f>
        <v>equipo5</v>
      </c>
      <c r="D108" s="30">
        <f>+equipo6!C37</f>
        <v>2</v>
      </c>
      <c r="E108" s="30">
        <f>+equipo6!D37</f>
        <v>0</v>
      </c>
      <c r="F108" s="30">
        <f>+equipo6!E37</f>
        <v>0</v>
      </c>
      <c r="G108" s="30">
        <f>+equipo6!F37</f>
        <v>0</v>
      </c>
      <c r="H108" s="30">
        <f>+equipo6!G37</f>
        <v>0</v>
      </c>
      <c r="I108" s="30">
        <f>+equipo6!H37</f>
        <v>0</v>
      </c>
      <c r="J108" s="30">
        <f>+equipo6!I37</f>
        <v>0</v>
      </c>
      <c r="K108" s="30">
        <f>+equipo6!J37</f>
        <v>1</v>
      </c>
      <c r="L108" s="30">
        <f>+equipo6!K37</f>
        <v>0</v>
      </c>
      <c r="M108" s="30">
        <f>+equipo6!L37</f>
        <v>0</v>
      </c>
      <c r="N108" s="30">
        <f>+equipo6!M37</f>
        <v>0</v>
      </c>
      <c r="O108" s="30">
        <f>+equipo6!N37</f>
        <v>0</v>
      </c>
      <c r="P108" s="30">
        <f>+equipo6!O37</f>
        <v>0</v>
      </c>
      <c r="Q108" s="30">
        <f>+equipo6!P37</f>
        <v>0</v>
      </c>
      <c r="R108" s="30">
        <f>+equipo6!Q37</f>
        <v>0</v>
      </c>
      <c r="S108" s="30">
        <f>+equipo6!R37</f>
        <v>2</v>
      </c>
      <c r="T108" s="30">
        <f>+equipo6!S37</f>
        <v>0</v>
      </c>
      <c r="U108" s="30">
        <f>+equipo6!T37</f>
        <v>0</v>
      </c>
      <c r="V108" s="30">
        <f>+equipo6!U37</f>
        <v>0</v>
      </c>
    </row>
    <row r="109" spans="1:22" x14ac:dyDescent="0.25">
      <c r="A109" s="30" t="str">
        <f>+equipo6!A38</f>
        <v>ANGEL RODRIGUEZ</v>
      </c>
      <c r="B109" s="30" t="str">
        <f>+equipo6!B38</f>
        <v/>
      </c>
      <c r="C109" s="31" t="str">
        <f>+equipo5!$A$6</f>
        <v>equipo5</v>
      </c>
      <c r="D109" s="30">
        <f>+equipo6!C38</f>
        <v>3</v>
      </c>
      <c r="E109" s="30">
        <f>+equipo6!D38</f>
        <v>2</v>
      </c>
      <c r="F109" s="30">
        <f>+equipo6!E38</f>
        <v>2</v>
      </c>
      <c r="G109" s="30">
        <f>+equipo6!F38</f>
        <v>0</v>
      </c>
      <c r="H109" s="30">
        <f>+equipo6!G38</f>
        <v>0</v>
      </c>
      <c r="I109" s="30">
        <f>+equipo6!H38</f>
        <v>0</v>
      </c>
      <c r="J109" s="30">
        <f>+equipo6!I38</f>
        <v>1</v>
      </c>
      <c r="K109" s="30">
        <f>+equipo6!J38</f>
        <v>1</v>
      </c>
      <c r="L109" s="30">
        <f>+equipo6!K38</f>
        <v>0</v>
      </c>
      <c r="M109" s="30">
        <f>+equipo6!L38</f>
        <v>1</v>
      </c>
      <c r="N109" s="30">
        <f>+equipo6!M38</f>
        <v>0</v>
      </c>
      <c r="O109" s="30">
        <f>+equipo6!N38</f>
        <v>0</v>
      </c>
      <c r="P109" s="30">
        <f>+equipo6!O38</f>
        <v>0</v>
      </c>
      <c r="Q109" s="30">
        <f>+equipo6!P38</f>
        <v>0</v>
      </c>
      <c r="R109" s="30">
        <f>+equipo6!Q38</f>
        <v>2</v>
      </c>
      <c r="S109" s="30">
        <f>+equipo6!R38</f>
        <v>3</v>
      </c>
      <c r="T109" s="30">
        <f>+equipo6!S38</f>
        <v>0</v>
      </c>
      <c r="U109" s="30">
        <f>+equipo6!T38</f>
        <v>666.66666666666663</v>
      </c>
      <c r="V109" s="30">
        <f>+equipo6!U38</f>
        <v>666.66666666666663</v>
      </c>
    </row>
    <row r="110" spans="1:22" x14ac:dyDescent="0.25">
      <c r="A110" s="30" t="str">
        <f>+equipo6!A39</f>
        <v>FRANCISCO MONASTERIO</v>
      </c>
      <c r="B110" s="30" t="str">
        <f>+equipo6!B39</f>
        <v/>
      </c>
      <c r="C110" s="31" t="str">
        <f>+equipo5!$A$6</f>
        <v>equipo5</v>
      </c>
      <c r="D110" s="30">
        <f>+equipo6!C39</f>
        <v>3</v>
      </c>
      <c r="E110" s="30">
        <f>+equipo6!D39</f>
        <v>1</v>
      </c>
      <c r="F110" s="30">
        <f>+equipo6!E39</f>
        <v>2</v>
      </c>
      <c r="G110" s="30">
        <f>+equipo6!F39</f>
        <v>0</v>
      </c>
      <c r="H110" s="30">
        <f>+equipo6!G39</f>
        <v>1</v>
      </c>
      <c r="I110" s="30">
        <f>+equipo6!H39</f>
        <v>0</v>
      </c>
      <c r="J110" s="30">
        <f>+equipo6!I39</f>
        <v>0</v>
      </c>
      <c r="K110" s="30">
        <f>+equipo6!J39</f>
        <v>0</v>
      </c>
      <c r="L110" s="30">
        <f>+equipo6!K39</f>
        <v>0</v>
      </c>
      <c r="M110" s="30">
        <f>+equipo6!L39</f>
        <v>0</v>
      </c>
      <c r="N110" s="30">
        <f>+equipo6!M39</f>
        <v>0</v>
      </c>
      <c r="O110" s="30">
        <f>+equipo6!N39</f>
        <v>0</v>
      </c>
      <c r="P110" s="30">
        <f>+equipo6!O39</f>
        <v>0</v>
      </c>
      <c r="Q110" s="30">
        <f>+equipo6!P39</f>
        <v>0</v>
      </c>
      <c r="R110" s="30">
        <f>+equipo6!Q39</f>
        <v>4</v>
      </c>
      <c r="S110" s="30">
        <f>+equipo6!R39</f>
        <v>3</v>
      </c>
      <c r="T110" s="30">
        <f>+equipo6!S39</f>
        <v>0</v>
      </c>
      <c r="U110" s="30">
        <f>+equipo6!T39</f>
        <v>666.66666666666663</v>
      </c>
      <c r="V110" s="30">
        <f>+equipo6!U39</f>
        <v>1333.3333333333333</v>
      </c>
    </row>
    <row r="111" spans="1:22" x14ac:dyDescent="0.25">
      <c r="A111" s="30" t="str">
        <f>+equipo6!A40</f>
        <v>MARCOS MORALES</v>
      </c>
      <c r="B111" s="30" t="str">
        <f>+equipo6!B40</f>
        <v/>
      </c>
      <c r="C111" s="31" t="str">
        <f>+equipo5!$A$6</f>
        <v>equipo5</v>
      </c>
      <c r="D111" s="30">
        <f>+equipo6!C40</f>
        <v>3</v>
      </c>
      <c r="E111" s="30">
        <f>+equipo6!D40</f>
        <v>2</v>
      </c>
      <c r="F111" s="30">
        <f>+equipo6!E40</f>
        <v>2</v>
      </c>
      <c r="G111" s="30">
        <f>+equipo6!F40</f>
        <v>1</v>
      </c>
      <c r="H111" s="30">
        <f>+equipo6!G40</f>
        <v>0</v>
      </c>
      <c r="I111" s="30">
        <f>+equipo6!H40</f>
        <v>0</v>
      </c>
      <c r="J111" s="30">
        <f>+equipo6!I40</f>
        <v>2</v>
      </c>
      <c r="K111" s="30">
        <f>+equipo6!J40</f>
        <v>1</v>
      </c>
      <c r="L111" s="30">
        <f>+equipo6!K40</f>
        <v>0</v>
      </c>
      <c r="M111" s="30">
        <f>+equipo6!L40</f>
        <v>3</v>
      </c>
      <c r="N111" s="30">
        <f>+equipo6!M40</f>
        <v>0</v>
      </c>
      <c r="O111" s="30">
        <f>+equipo6!N40</f>
        <v>0</v>
      </c>
      <c r="P111" s="30">
        <f>+equipo6!O40</f>
        <v>0</v>
      </c>
      <c r="Q111" s="30">
        <f>+equipo6!P40</f>
        <v>0</v>
      </c>
      <c r="R111" s="30">
        <f>+equipo6!Q40</f>
        <v>3</v>
      </c>
      <c r="S111" s="30">
        <f>+equipo6!R40</f>
        <v>3</v>
      </c>
      <c r="T111" s="30">
        <f>+equipo6!S40</f>
        <v>0</v>
      </c>
      <c r="U111" s="30">
        <f>+equipo6!T40</f>
        <v>666.66666666666663</v>
      </c>
      <c r="V111" s="30">
        <f>+equipo6!U40</f>
        <v>1000</v>
      </c>
    </row>
    <row r="112" spans="1:22" x14ac:dyDescent="0.25">
      <c r="A112" s="30" t="str">
        <f>+equipo6!A41</f>
        <v>ADRIAN MURILLO</v>
      </c>
      <c r="B112" s="30" t="str">
        <f>+equipo6!B41</f>
        <v/>
      </c>
      <c r="C112" s="31" t="str">
        <f>+equipo5!$A$6</f>
        <v>equipo5</v>
      </c>
      <c r="D112" s="30">
        <f>+equipo6!C41</f>
        <v>2</v>
      </c>
      <c r="E112" s="30">
        <f>+equipo6!D41</f>
        <v>1</v>
      </c>
      <c r="F112" s="30">
        <f>+equipo6!E41</f>
        <v>0</v>
      </c>
      <c r="G112" s="30">
        <f>+equipo6!F41</f>
        <v>0</v>
      </c>
      <c r="H112" s="30">
        <f>+equipo6!G41</f>
        <v>0</v>
      </c>
      <c r="I112" s="30">
        <f>+equipo6!H41</f>
        <v>0</v>
      </c>
      <c r="J112" s="30">
        <f>+equipo6!I41</f>
        <v>0</v>
      </c>
      <c r="K112" s="30">
        <f>+equipo6!J41</f>
        <v>1</v>
      </c>
      <c r="L112" s="30">
        <f>+equipo6!K41</f>
        <v>1</v>
      </c>
      <c r="M112" s="30">
        <f>+equipo6!L41</f>
        <v>1</v>
      </c>
      <c r="N112" s="30">
        <f>+equipo6!M41</f>
        <v>0</v>
      </c>
      <c r="O112" s="30">
        <f>+equipo6!N41</f>
        <v>0</v>
      </c>
      <c r="P112" s="30">
        <f>+equipo6!O41</f>
        <v>0</v>
      </c>
      <c r="Q112" s="30">
        <f>+equipo6!P41</f>
        <v>0</v>
      </c>
      <c r="R112" s="30">
        <f>+equipo6!Q41</f>
        <v>0</v>
      </c>
      <c r="S112" s="30">
        <f>+equipo6!R41</f>
        <v>3</v>
      </c>
      <c r="T112" s="30">
        <f>+equipo6!S41</f>
        <v>0</v>
      </c>
      <c r="U112" s="30">
        <f>+equipo6!T41</f>
        <v>0</v>
      </c>
      <c r="V112" s="30">
        <f>+equipo6!U41</f>
        <v>0</v>
      </c>
    </row>
    <row r="113" spans="1:22" x14ac:dyDescent="0.25">
      <c r="A113" s="30" t="str">
        <f>+equipo6!A42</f>
        <v>DARGREYBER RODRIGUEZ</v>
      </c>
      <c r="B113" s="30" t="str">
        <f>+equipo6!B42</f>
        <v/>
      </c>
      <c r="C113" s="31" t="str">
        <f>+equipo5!$A$6</f>
        <v>equipo5</v>
      </c>
      <c r="D113" s="30">
        <f>+equipo6!C42</f>
        <v>0</v>
      </c>
      <c r="E113" s="30">
        <f>+equipo6!D42</f>
        <v>0</v>
      </c>
      <c r="F113" s="30">
        <f>+equipo6!E42</f>
        <v>0</v>
      </c>
      <c r="G113" s="30">
        <f>+equipo6!F42</f>
        <v>0</v>
      </c>
      <c r="H113" s="30">
        <f>+equipo6!G42</f>
        <v>0</v>
      </c>
      <c r="I113" s="30">
        <f>+equipo6!H42</f>
        <v>0</v>
      </c>
      <c r="J113" s="30">
        <f>+equipo6!I42</f>
        <v>0</v>
      </c>
      <c r="K113" s="30">
        <f>+equipo6!J42</f>
        <v>0</v>
      </c>
      <c r="L113" s="30">
        <f>+equipo6!K42</f>
        <v>0</v>
      </c>
      <c r="M113" s="30">
        <f>+equipo6!L42</f>
        <v>0</v>
      </c>
      <c r="N113" s="30">
        <f>+equipo6!M42</f>
        <v>0</v>
      </c>
      <c r="O113" s="30">
        <f>+equipo6!N42</f>
        <v>0</v>
      </c>
      <c r="P113" s="30">
        <f>+equipo6!O42</f>
        <v>0</v>
      </c>
      <c r="Q113" s="30">
        <f>+equipo6!P42</f>
        <v>0</v>
      </c>
      <c r="R113" s="30">
        <f>+equipo6!Q42</f>
        <v>0</v>
      </c>
      <c r="S113" s="30">
        <f>+equipo6!R42</f>
        <v>0</v>
      </c>
      <c r="T113" s="30">
        <f>+equipo6!S42</f>
        <v>0</v>
      </c>
      <c r="U113" s="30">
        <f>+equipo6!T42</f>
        <v>0</v>
      </c>
      <c r="V113" s="30">
        <f>+equipo6!U42</f>
        <v>0</v>
      </c>
    </row>
    <row r="114" spans="1:22" x14ac:dyDescent="0.25">
      <c r="A114" s="30" t="str">
        <f>+equipo6!A43</f>
        <v>JENSE FLORES</v>
      </c>
      <c r="B114" s="30" t="str">
        <f>+equipo6!B43</f>
        <v/>
      </c>
      <c r="C114" s="31" t="str">
        <f>+equipo5!$A$6</f>
        <v>equipo5</v>
      </c>
      <c r="D114" s="30">
        <f>+equipo6!C43</f>
        <v>0</v>
      </c>
      <c r="E114" s="30">
        <f>+equipo6!D43</f>
        <v>0</v>
      </c>
      <c r="F114" s="30">
        <f>+equipo6!E43</f>
        <v>0</v>
      </c>
      <c r="G114" s="30">
        <f>+equipo6!F43</f>
        <v>0</v>
      </c>
      <c r="H114" s="30">
        <f>+equipo6!G43</f>
        <v>0</v>
      </c>
      <c r="I114" s="30">
        <f>+equipo6!H43</f>
        <v>0</v>
      </c>
      <c r="J114" s="30">
        <f>+equipo6!I43</f>
        <v>0</v>
      </c>
      <c r="K114" s="30">
        <f>+equipo6!J43</f>
        <v>0</v>
      </c>
      <c r="L114" s="30">
        <f>+equipo6!K43</f>
        <v>0</v>
      </c>
      <c r="M114" s="30">
        <f>+equipo6!L43</f>
        <v>0</v>
      </c>
      <c r="N114" s="30">
        <f>+equipo6!M43</f>
        <v>0</v>
      </c>
      <c r="O114" s="30">
        <f>+equipo6!N43</f>
        <v>0</v>
      </c>
      <c r="P114" s="30">
        <f>+equipo6!O43</f>
        <v>0</v>
      </c>
      <c r="Q114" s="30">
        <f>+equipo6!P43</f>
        <v>0</v>
      </c>
      <c r="R114" s="30">
        <f>+equipo6!Q43</f>
        <v>0</v>
      </c>
      <c r="S114" s="30">
        <f>+equipo6!R43</f>
        <v>0</v>
      </c>
      <c r="T114" s="30">
        <f>+equipo6!S43</f>
        <v>0</v>
      </c>
      <c r="U114" s="30">
        <f>+equipo6!T43</f>
        <v>0</v>
      </c>
      <c r="V114" s="30">
        <f>+equipo6!U43</f>
        <v>0</v>
      </c>
    </row>
    <row r="115" spans="1:22" x14ac:dyDescent="0.25">
      <c r="A115" s="30" t="str">
        <f>+equipo6!A44</f>
        <v/>
      </c>
      <c r="B115" s="30" t="str">
        <f>+equipo6!B44</f>
        <v/>
      </c>
      <c r="C115" s="31" t="str">
        <f>+equipo5!$A$6</f>
        <v>equipo5</v>
      </c>
      <c r="D115" s="30">
        <f>+equipo6!C44</f>
        <v>0</v>
      </c>
      <c r="E115" s="30">
        <f>+equipo6!D44</f>
        <v>0</v>
      </c>
      <c r="F115" s="30">
        <f>+equipo6!E44</f>
        <v>0</v>
      </c>
      <c r="G115" s="30">
        <f>+equipo6!F44</f>
        <v>0</v>
      </c>
      <c r="H115" s="30">
        <f>+equipo6!G44</f>
        <v>0</v>
      </c>
      <c r="I115" s="30">
        <f>+equipo6!H44</f>
        <v>0</v>
      </c>
      <c r="J115" s="30">
        <f>+equipo6!I44</f>
        <v>0</v>
      </c>
      <c r="K115" s="30">
        <f>+equipo6!J44</f>
        <v>0</v>
      </c>
      <c r="L115" s="30">
        <f>+equipo6!K44</f>
        <v>0</v>
      </c>
      <c r="M115" s="30">
        <f>+equipo6!L44</f>
        <v>0</v>
      </c>
      <c r="N115" s="30">
        <f>+equipo6!M44</f>
        <v>0</v>
      </c>
      <c r="O115" s="30">
        <f>+equipo6!N44</f>
        <v>0</v>
      </c>
      <c r="P115" s="30">
        <f>+equipo6!O44</f>
        <v>0</v>
      </c>
      <c r="Q115" s="30">
        <f>+equipo6!P44</f>
        <v>0</v>
      </c>
      <c r="R115" s="30">
        <f>+equipo6!Q44</f>
        <v>0</v>
      </c>
      <c r="S115" s="30">
        <f>+equipo6!R44</f>
        <v>0</v>
      </c>
      <c r="T115" s="30">
        <f>+equipo6!S44</f>
        <v>0</v>
      </c>
      <c r="U115" s="30">
        <f>+equipo6!T44</f>
        <v>0</v>
      </c>
      <c r="V115" s="30">
        <f>+equipo6!U44</f>
        <v>0</v>
      </c>
    </row>
    <row r="116" spans="1:22" x14ac:dyDescent="0.25">
      <c r="A116" s="30" t="str">
        <f>+equipo6!A45</f>
        <v/>
      </c>
      <c r="B116" s="30" t="str">
        <f>+equipo6!B45</f>
        <v/>
      </c>
      <c r="C116" s="31" t="str">
        <f>+equipo5!$A$6</f>
        <v>equipo5</v>
      </c>
      <c r="D116" s="30">
        <f>+equipo6!C45</f>
        <v>0</v>
      </c>
      <c r="E116" s="30">
        <f>+equipo6!D45</f>
        <v>0</v>
      </c>
      <c r="F116" s="30">
        <f>+equipo6!E45</f>
        <v>0</v>
      </c>
      <c r="G116" s="30">
        <f>+equipo6!F45</f>
        <v>0</v>
      </c>
      <c r="H116" s="30">
        <f>+equipo6!G45</f>
        <v>0</v>
      </c>
      <c r="I116" s="30">
        <f>+equipo6!H45</f>
        <v>0</v>
      </c>
      <c r="J116" s="30">
        <f>+equipo6!I45</f>
        <v>0</v>
      </c>
      <c r="K116" s="30">
        <f>+equipo6!J45</f>
        <v>0</v>
      </c>
      <c r="L116" s="30">
        <f>+equipo6!K45</f>
        <v>0</v>
      </c>
      <c r="M116" s="30">
        <f>+equipo6!L45</f>
        <v>0</v>
      </c>
      <c r="N116" s="30">
        <f>+equipo6!M45</f>
        <v>0</v>
      </c>
      <c r="O116" s="30">
        <f>+equipo6!N45</f>
        <v>0</v>
      </c>
      <c r="P116" s="30">
        <f>+equipo6!O45</f>
        <v>0</v>
      </c>
      <c r="Q116" s="30">
        <f>+equipo6!P45</f>
        <v>0</v>
      </c>
      <c r="R116" s="30">
        <f>+equipo6!Q45</f>
        <v>0</v>
      </c>
      <c r="S116" s="30">
        <f>+equipo6!R45</f>
        <v>0</v>
      </c>
      <c r="T116" s="30">
        <f>+equipo6!S45</f>
        <v>0</v>
      </c>
      <c r="U116" s="30">
        <f>+equipo6!T45</f>
        <v>0</v>
      </c>
      <c r="V116" s="30">
        <f>+equipo6!U45</f>
        <v>0</v>
      </c>
    </row>
    <row r="117" spans="1:22" x14ac:dyDescent="0.25">
      <c r="A117" s="30" t="str">
        <f>+equipo6!A46</f>
        <v/>
      </c>
      <c r="B117" s="30" t="str">
        <f>+equipo6!B46</f>
        <v/>
      </c>
      <c r="C117" s="31" t="str">
        <f>+equipo5!$A$6</f>
        <v>equipo5</v>
      </c>
      <c r="D117" s="30">
        <f>+equipo6!C46</f>
        <v>0</v>
      </c>
      <c r="E117" s="30">
        <f>+equipo6!D46</f>
        <v>0</v>
      </c>
      <c r="F117" s="30">
        <f>+equipo6!E46</f>
        <v>0</v>
      </c>
      <c r="G117" s="30">
        <f>+equipo6!F46</f>
        <v>0</v>
      </c>
      <c r="H117" s="30">
        <f>+equipo6!G46</f>
        <v>0</v>
      </c>
      <c r="I117" s="30">
        <f>+equipo6!H46</f>
        <v>0</v>
      </c>
      <c r="J117" s="30">
        <f>+equipo6!I46</f>
        <v>0</v>
      </c>
      <c r="K117" s="30">
        <f>+equipo6!J46</f>
        <v>0</v>
      </c>
      <c r="L117" s="30">
        <f>+equipo6!K46</f>
        <v>0</v>
      </c>
      <c r="M117" s="30">
        <f>+equipo6!L46</f>
        <v>0</v>
      </c>
      <c r="N117" s="30">
        <f>+equipo6!M46</f>
        <v>0</v>
      </c>
      <c r="O117" s="30">
        <f>+equipo6!N46</f>
        <v>0</v>
      </c>
      <c r="P117" s="30">
        <f>+equipo6!O46</f>
        <v>0</v>
      </c>
      <c r="Q117" s="30">
        <f>+equipo6!P46</f>
        <v>0</v>
      </c>
      <c r="R117" s="30">
        <f>+equipo6!Q46</f>
        <v>0</v>
      </c>
      <c r="S117" s="30">
        <f>+equipo6!R46</f>
        <v>0</v>
      </c>
      <c r="T117" s="30">
        <f>+equipo6!S46</f>
        <v>0</v>
      </c>
      <c r="U117" s="30">
        <f>+equipo6!T46</f>
        <v>0</v>
      </c>
      <c r="V117" s="30">
        <f>+equipo6!U46</f>
        <v>0</v>
      </c>
    </row>
    <row r="118" spans="1:22" x14ac:dyDescent="0.25">
      <c r="A118" s="30" t="str">
        <f>+equipo6!A47</f>
        <v/>
      </c>
      <c r="B118" s="30" t="str">
        <f>+equipo6!B47</f>
        <v/>
      </c>
      <c r="C118" s="31" t="str">
        <f>+equipo5!$A$6</f>
        <v>equipo5</v>
      </c>
      <c r="D118" s="30">
        <f>+equipo6!C47</f>
        <v>0</v>
      </c>
      <c r="E118" s="30">
        <f>+equipo6!D47</f>
        <v>0</v>
      </c>
      <c r="F118" s="30">
        <f>+equipo6!E47</f>
        <v>0</v>
      </c>
      <c r="G118" s="30">
        <f>+equipo6!F47</f>
        <v>0</v>
      </c>
      <c r="H118" s="30">
        <f>+equipo6!G47</f>
        <v>0</v>
      </c>
      <c r="I118" s="30">
        <f>+equipo6!H47</f>
        <v>0</v>
      </c>
      <c r="J118" s="30">
        <f>+equipo6!I47</f>
        <v>0</v>
      </c>
      <c r="K118" s="30">
        <f>+equipo6!J47</f>
        <v>0</v>
      </c>
      <c r="L118" s="30">
        <f>+equipo6!K47</f>
        <v>0</v>
      </c>
      <c r="M118" s="30">
        <f>+equipo6!L47</f>
        <v>0</v>
      </c>
      <c r="N118" s="30">
        <f>+equipo6!M47</f>
        <v>0</v>
      </c>
      <c r="O118" s="30">
        <f>+equipo6!N47</f>
        <v>0</v>
      </c>
      <c r="P118" s="30">
        <f>+equipo6!O47</f>
        <v>0</v>
      </c>
      <c r="Q118" s="30">
        <f>+equipo6!P47</f>
        <v>0</v>
      </c>
      <c r="R118" s="30">
        <f>+equipo6!Q47</f>
        <v>0</v>
      </c>
      <c r="S118" s="30">
        <f>+equipo6!R47</f>
        <v>0</v>
      </c>
      <c r="T118" s="30">
        <f>+equipo6!S47</f>
        <v>0</v>
      </c>
      <c r="U118" s="30">
        <f>+equipo6!T47</f>
        <v>0</v>
      </c>
      <c r="V118" s="30">
        <f>+equipo6!U47</f>
        <v>0</v>
      </c>
    </row>
    <row r="119" spans="1:22" x14ac:dyDescent="0.25">
      <c r="A119" s="30" t="str">
        <f>+equipo6!A48</f>
        <v/>
      </c>
      <c r="B119" s="30" t="str">
        <f>+equipo6!B48</f>
        <v/>
      </c>
      <c r="C119" s="31" t="str">
        <f>+equipo5!$A$6</f>
        <v>equipo5</v>
      </c>
      <c r="D119" s="30">
        <f>+equipo6!C48</f>
        <v>0</v>
      </c>
      <c r="E119" s="30">
        <f>+equipo6!D48</f>
        <v>0</v>
      </c>
      <c r="F119" s="30">
        <f>+equipo6!E48</f>
        <v>0</v>
      </c>
      <c r="G119" s="30">
        <f>+equipo6!F48</f>
        <v>0</v>
      </c>
      <c r="H119" s="30">
        <f>+equipo6!G48</f>
        <v>0</v>
      </c>
      <c r="I119" s="30">
        <f>+equipo6!H48</f>
        <v>0</v>
      </c>
      <c r="J119" s="30">
        <f>+equipo6!I48</f>
        <v>0</v>
      </c>
      <c r="K119" s="30">
        <f>+equipo6!J48</f>
        <v>0</v>
      </c>
      <c r="L119" s="30">
        <f>+equipo6!K48</f>
        <v>0</v>
      </c>
      <c r="M119" s="30">
        <f>+equipo6!L48</f>
        <v>0</v>
      </c>
      <c r="N119" s="30">
        <f>+equipo6!M48</f>
        <v>0</v>
      </c>
      <c r="O119" s="30">
        <f>+equipo6!N48</f>
        <v>0</v>
      </c>
      <c r="P119" s="30">
        <f>+equipo6!O48</f>
        <v>0</v>
      </c>
      <c r="Q119" s="30">
        <f>+equipo6!P48</f>
        <v>0</v>
      </c>
      <c r="R119" s="30">
        <f>+equipo6!Q48</f>
        <v>0</v>
      </c>
      <c r="S119" s="30">
        <f>+equipo6!R48</f>
        <v>0</v>
      </c>
      <c r="T119" s="30">
        <f>+equipo6!S48</f>
        <v>0</v>
      </c>
      <c r="U119" s="30">
        <f>+equipo6!T48</f>
        <v>0</v>
      </c>
      <c r="V119" s="30">
        <f>+equipo6!U48</f>
        <v>0</v>
      </c>
    </row>
    <row r="120" spans="1:22" x14ac:dyDescent="0.25">
      <c r="A120" s="30" t="str">
        <f>+equipo6!A49</f>
        <v/>
      </c>
      <c r="B120" s="30" t="str">
        <f>+equipo6!B49</f>
        <v/>
      </c>
      <c r="C120" s="31" t="str">
        <f>+equipo5!$A$6</f>
        <v>equipo5</v>
      </c>
      <c r="D120" s="30">
        <f>+equipo6!C49</f>
        <v>0</v>
      </c>
      <c r="E120" s="30">
        <f>+equipo6!D49</f>
        <v>0</v>
      </c>
      <c r="F120" s="30">
        <f>+equipo6!E49</f>
        <v>0</v>
      </c>
      <c r="G120" s="30">
        <f>+equipo6!F49</f>
        <v>0</v>
      </c>
      <c r="H120" s="30">
        <f>+equipo6!G49</f>
        <v>0</v>
      </c>
      <c r="I120" s="30">
        <f>+equipo6!H49</f>
        <v>0</v>
      </c>
      <c r="J120" s="30">
        <f>+equipo6!I49</f>
        <v>0</v>
      </c>
      <c r="K120" s="30">
        <f>+equipo6!J49</f>
        <v>0</v>
      </c>
      <c r="L120" s="30">
        <f>+equipo6!K49</f>
        <v>0</v>
      </c>
      <c r="M120" s="30">
        <f>+equipo6!L49</f>
        <v>0</v>
      </c>
      <c r="N120" s="30">
        <f>+equipo6!M49</f>
        <v>0</v>
      </c>
      <c r="O120" s="30">
        <f>+equipo6!N49</f>
        <v>0</v>
      </c>
      <c r="P120" s="30">
        <f>+equipo6!O49</f>
        <v>0</v>
      </c>
      <c r="Q120" s="30">
        <f>+equipo6!P49</f>
        <v>0</v>
      </c>
      <c r="R120" s="30">
        <f>+equipo6!Q49</f>
        <v>0</v>
      </c>
      <c r="S120" s="30">
        <f>+equipo6!R49</f>
        <v>0</v>
      </c>
      <c r="T120" s="30">
        <f>+equipo6!S49</f>
        <v>0</v>
      </c>
      <c r="U120" s="30">
        <f>+equipo6!T49</f>
        <v>0</v>
      </c>
      <c r="V120" s="30">
        <f>+equipo6!U49</f>
        <v>0</v>
      </c>
    </row>
    <row r="121" spans="1:22" x14ac:dyDescent="0.25">
      <c r="A121" s="30" t="str">
        <f>+equipo6!A50</f>
        <v/>
      </c>
      <c r="B121" s="30" t="str">
        <f>+equipo6!B50</f>
        <v/>
      </c>
      <c r="C121" s="31" t="str">
        <f>+equipo5!$A$6</f>
        <v>equipo5</v>
      </c>
      <c r="D121" s="30">
        <f>+equipo6!C50</f>
        <v>0</v>
      </c>
      <c r="E121" s="30">
        <f>+equipo6!D50</f>
        <v>0</v>
      </c>
      <c r="F121" s="30">
        <f>+equipo6!E50</f>
        <v>0</v>
      </c>
      <c r="G121" s="30">
        <f>+equipo6!F50</f>
        <v>0</v>
      </c>
      <c r="H121" s="30">
        <f>+equipo6!G50</f>
        <v>0</v>
      </c>
      <c r="I121" s="30">
        <f>+equipo6!H50</f>
        <v>0</v>
      </c>
      <c r="J121" s="30">
        <f>+equipo6!I50</f>
        <v>0</v>
      </c>
      <c r="K121" s="30">
        <f>+equipo6!J50</f>
        <v>0</v>
      </c>
      <c r="L121" s="30">
        <f>+equipo6!K50</f>
        <v>0</v>
      </c>
      <c r="M121" s="30">
        <f>+equipo6!L50</f>
        <v>0</v>
      </c>
      <c r="N121" s="30">
        <f>+equipo6!M50</f>
        <v>0</v>
      </c>
      <c r="O121" s="30">
        <f>+equipo6!N50</f>
        <v>0</v>
      </c>
      <c r="P121" s="30">
        <f>+equipo6!O50</f>
        <v>0</v>
      </c>
      <c r="Q121" s="30">
        <f>+equipo6!P50</f>
        <v>0</v>
      </c>
      <c r="R121" s="30">
        <f>+equipo6!Q50</f>
        <v>0</v>
      </c>
      <c r="S121" s="30">
        <f>+equipo6!R50</f>
        <v>0</v>
      </c>
      <c r="T121" s="30">
        <f>+equipo6!S50</f>
        <v>0</v>
      </c>
      <c r="U121" s="30">
        <f>+equipo6!T50</f>
        <v>0</v>
      </c>
      <c r="V121" s="30">
        <f>+equipo6!U50</f>
        <v>0</v>
      </c>
    </row>
    <row r="122" spans="1:22" x14ac:dyDescent="0.25">
      <c r="A122" s="30" t="str">
        <f>+equipo6!A32</f>
        <v>JESUS MENDOZA EQUIPO6</v>
      </c>
      <c r="B122" s="30">
        <f>+equipo6!B32</f>
        <v>5</v>
      </c>
      <c r="C122" s="31" t="str">
        <f>+equipo6!$A$6</f>
        <v>equipo6</v>
      </c>
      <c r="D122" s="30">
        <f>+equipo6!C32</f>
        <v>4</v>
      </c>
      <c r="E122" s="30">
        <f>+equipo6!D32</f>
        <v>2</v>
      </c>
      <c r="F122" s="30">
        <f>+equipo6!E32</f>
        <v>1</v>
      </c>
      <c r="G122" s="30">
        <f>+equipo6!F32</f>
        <v>0</v>
      </c>
      <c r="H122" s="30">
        <f>+equipo6!G32</f>
        <v>0</v>
      </c>
      <c r="I122" s="30">
        <f>+equipo6!H32</f>
        <v>0</v>
      </c>
      <c r="J122" s="30">
        <f>+equipo6!I32</f>
        <v>0</v>
      </c>
      <c r="K122" s="30">
        <f>+equipo6!J32</f>
        <v>0</v>
      </c>
      <c r="L122" s="30">
        <f>+equipo6!K32</f>
        <v>0</v>
      </c>
      <c r="M122" s="30">
        <f>+equipo6!L32</f>
        <v>1</v>
      </c>
      <c r="N122" s="30">
        <f>+equipo6!M32</f>
        <v>0</v>
      </c>
      <c r="O122" s="30">
        <f>+equipo6!N32</f>
        <v>0</v>
      </c>
      <c r="P122" s="30">
        <f>+equipo6!O32</f>
        <v>0</v>
      </c>
      <c r="Q122" s="30">
        <f>+equipo6!P32</f>
        <v>0</v>
      </c>
      <c r="R122" s="30">
        <f>+equipo6!Q32</f>
        <v>1</v>
      </c>
      <c r="S122" s="30">
        <f>+equipo6!R32</f>
        <v>4</v>
      </c>
      <c r="T122" s="30">
        <f>+equipo6!S32</f>
        <v>0</v>
      </c>
      <c r="U122" s="30">
        <f>+equipo6!T32</f>
        <v>250</v>
      </c>
      <c r="V122" s="30">
        <f>+equipo6!U32</f>
        <v>250</v>
      </c>
    </row>
    <row r="123" spans="1:22" x14ac:dyDescent="0.25">
      <c r="A123" s="30" t="str">
        <f>+equipo6!A33</f>
        <v>JOSEPH MENDOZA</v>
      </c>
      <c r="B123" s="30">
        <f>+equipo6!B33</f>
        <v>6</v>
      </c>
      <c r="C123" s="31" t="str">
        <f>+equipo6!$A$6</f>
        <v>equipo6</v>
      </c>
      <c r="D123" s="30">
        <f>+equipo6!C33</f>
        <v>3</v>
      </c>
      <c r="E123" s="30">
        <f>+equipo6!D33</f>
        <v>1</v>
      </c>
      <c r="F123" s="30">
        <f>+equipo6!E33</f>
        <v>1</v>
      </c>
      <c r="G123" s="30">
        <f>+equipo6!F33</f>
        <v>1</v>
      </c>
      <c r="H123" s="30">
        <f>+equipo6!G33</f>
        <v>0</v>
      </c>
      <c r="I123" s="30">
        <f>+equipo6!H33</f>
        <v>0</v>
      </c>
      <c r="J123" s="30">
        <f>+equipo6!I33</f>
        <v>0</v>
      </c>
      <c r="K123" s="30">
        <f>+equipo6!J33</f>
        <v>0</v>
      </c>
      <c r="L123" s="30">
        <f>+equipo6!K33</f>
        <v>1</v>
      </c>
      <c r="M123" s="30">
        <f>+equipo6!L33</f>
        <v>0</v>
      </c>
      <c r="N123" s="30">
        <f>+equipo6!M33</f>
        <v>0</v>
      </c>
      <c r="O123" s="30">
        <f>+equipo6!N33</f>
        <v>0</v>
      </c>
      <c r="P123" s="30">
        <f>+equipo6!O33</f>
        <v>0</v>
      </c>
      <c r="Q123" s="30">
        <f>+equipo6!P33</f>
        <v>0</v>
      </c>
      <c r="R123" s="30">
        <f>+equipo6!Q33</f>
        <v>2</v>
      </c>
      <c r="S123" s="30">
        <f>+equipo6!R33</f>
        <v>4</v>
      </c>
      <c r="T123" s="30">
        <f>+equipo6!S33</f>
        <v>0</v>
      </c>
      <c r="U123" s="30">
        <f>+equipo6!T33</f>
        <v>333.33333333333331</v>
      </c>
      <c r="V123" s="30">
        <f>+equipo6!U33</f>
        <v>666.66666666666663</v>
      </c>
    </row>
    <row r="124" spans="1:22" x14ac:dyDescent="0.25">
      <c r="A124" s="30" t="str">
        <f>+equipo6!A34</f>
        <v>ABRAHAN RODRIGUZ</v>
      </c>
      <c r="B124" s="30" t="str">
        <f>+equipo6!B34</f>
        <v/>
      </c>
      <c r="C124" s="31" t="str">
        <f>+equipo6!$A$6</f>
        <v>equipo6</v>
      </c>
      <c r="D124" s="30">
        <f>+equipo6!C34</f>
        <v>4</v>
      </c>
      <c r="E124" s="30">
        <f>+equipo6!D34</f>
        <v>0</v>
      </c>
      <c r="F124" s="30">
        <f>+equipo6!E34</f>
        <v>1</v>
      </c>
      <c r="G124" s="30">
        <f>+equipo6!F34</f>
        <v>0</v>
      </c>
      <c r="H124" s="30">
        <f>+equipo6!G34</f>
        <v>0</v>
      </c>
      <c r="I124" s="30">
        <f>+equipo6!H34</f>
        <v>0</v>
      </c>
      <c r="J124" s="30">
        <f>+equipo6!I34</f>
        <v>0</v>
      </c>
      <c r="K124" s="30">
        <f>+equipo6!J34</f>
        <v>0</v>
      </c>
      <c r="L124" s="30">
        <f>+equipo6!K34</f>
        <v>0</v>
      </c>
      <c r="M124" s="30">
        <f>+equipo6!L34</f>
        <v>0</v>
      </c>
      <c r="N124" s="30">
        <f>+equipo6!M34</f>
        <v>0</v>
      </c>
      <c r="O124" s="30">
        <f>+equipo6!N34</f>
        <v>0</v>
      </c>
      <c r="P124" s="30">
        <f>+equipo6!O34</f>
        <v>0</v>
      </c>
      <c r="Q124" s="30">
        <f>+equipo6!P34</f>
        <v>0</v>
      </c>
      <c r="R124" s="30">
        <f>+equipo6!Q34</f>
        <v>1</v>
      </c>
      <c r="S124" s="30">
        <f>+equipo6!R34</f>
        <v>4</v>
      </c>
      <c r="T124" s="30">
        <f>+equipo6!S34</f>
        <v>0</v>
      </c>
      <c r="U124" s="30">
        <f>+equipo6!T34</f>
        <v>250</v>
      </c>
      <c r="V124" s="30">
        <f>+equipo6!U34</f>
        <v>250</v>
      </c>
    </row>
    <row r="125" spans="1:22" x14ac:dyDescent="0.25">
      <c r="A125" s="30" t="str">
        <f>+equipo6!A35</f>
        <v>ALEXANDER HERNANDEZ</v>
      </c>
      <c r="B125" s="30" t="str">
        <f>+equipo6!B35</f>
        <v/>
      </c>
      <c r="C125" s="31" t="str">
        <f>+equipo6!$A$6</f>
        <v>equipo6</v>
      </c>
      <c r="D125" s="30">
        <f>+equipo6!C35</f>
        <v>0</v>
      </c>
      <c r="E125" s="30">
        <f>+equipo6!D35</f>
        <v>1</v>
      </c>
      <c r="F125" s="30">
        <f>+equipo6!E35</f>
        <v>0</v>
      </c>
      <c r="G125" s="30">
        <f>+equipo6!F35</f>
        <v>0</v>
      </c>
      <c r="H125" s="30">
        <f>+equipo6!G35</f>
        <v>0</v>
      </c>
      <c r="I125" s="30">
        <f>+equipo6!H35</f>
        <v>0</v>
      </c>
      <c r="J125" s="30">
        <f>+equipo6!I35</f>
        <v>1</v>
      </c>
      <c r="K125" s="30">
        <f>+equipo6!J35</f>
        <v>0</v>
      </c>
      <c r="L125" s="30">
        <f>+equipo6!K35</f>
        <v>3</v>
      </c>
      <c r="M125" s="30">
        <f>+equipo6!L35</f>
        <v>3</v>
      </c>
      <c r="N125" s="30">
        <f>+equipo6!M35</f>
        <v>0</v>
      </c>
      <c r="O125" s="30">
        <f>+equipo6!N35</f>
        <v>0</v>
      </c>
      <c r="P125" s="30">
        <f>+equipo6!O35</f>
        <v>0</v>
      </c>
      <c r="Q125" s="30">
        <f>+equipo6!P35</f>
        <v>0</v>
      </c>
      <c r="R125" s="30">
        <f>+equipo6!Q35</f>
        <v>0</v>
      </c>
      <c r="S125" s="30">
        <f>+equipo6!R35</f>
        <v>3</v>
      </c>
      <c r="T125" s="30">
        <f>+equipo6!S35</f>
        <v>0</v>
      </c>
      <c r="U125" s="30">
        <f>+equipo6!T35</f>
        <v>0</v>
      </c>
      <c r="V125" s="30">
        <f>+equipo6!U35</f>
        <v>0</v>
      </c>
    </row>
    <row r="126" spans="1:22" x14ac:dyDescent="0.25">
      <c r="A126" s="30" t="str">
        <f>+equipo6!A36</f>
        <v>DANIEL LIENDO</v>
      </c>
      <c r="B126" s="30" t="str">
        <f>+equipo6!B36</f>
        <v/>
      </c>
      <c r="C126" s="31" t="str">
        <f>+equipo6!$A$6</f>
        <v>equipo6</v>
      </c>
      <c r="D126" s="30">
        <f>+equipo6!C36</f>
        <v>1</v>
      </c>
      <c r="E126" s="30">
        <f>+equipo6!D36</f>
        <v>0</v>
      </c>
      <c r="F126" s="30">
        <f>+equipo6!E36</f>
        <v>0</v>
      </c>
      <c r="G126" s="30">
        <f>+equipo6!F36</f>
        <v>0</v>
      </c>
      <c r="H126" s="30">
        <f>+equipo6!G36</f>
        <v>0</v>
      </c>
      <c r="I126" s="30">
        <f>+equipo6!H36</f>
        <v>0</v>
      </c>
      <c r="J126" s="30">
        <f>+equipo6!I36</f>
        <v>0</v>
      </c>
      <c r="K126" s="30">
        <f>+equipo6!J36</f>
        <v>0</v>
      </c>
      <c r="L126" s="30">
        <f>+equipo6!K36</f>
        <v>0</v>
      </c>
      <c r="M126" s="30">
        <f>+equipo6!L36</f>
        <v>0</v>
      </c>
      <c r="N126" s="30">
        <f>+equipo6!M36</f>
        <v>0</v>
      </c>
      <c r="O126" s="30">
        <f>+equipo6!N36</f>
        <v>0</v>
      </c>
      <c r="P126" s="30">
        <f>+equipo6!O36</f>
        <v>0</v>
      </c>
      <c r="Q126" s="30">
        <f>+equipo6!P36</f>
        <v>0</v>
      </c>
      <c r="R126" s="30">
        <f>+equipo6!Q36</f>
        <v>0</v>
      </c>
      <c r="S126" s="30">
        <f>+equipo6!R36</f>
        <v>1</v>
      </c>
      <c r="T126" s="30">
        <f>+equipo6!S36</f>
        <v>0</v>
      </c>
      <c r="U126" s="30">
        <f>+equipo6!T36</f>
        <v>0</v>
      </c>
      <c r="V126" s="30">
        <f>+equipo6!U36</f>
        <v>0</v>
      </c>
    </row>
    <row r="127" spans="1:22" x14ac:dyDescent="0.25">
      <c r="A127" s="30" t="str">
        <f>+equipo6!A37</f>
        <v>SEBASTIAN MUJICA</v>
      </c>
      <c r="B127" s="30" t="str">
        <f>+equipo6!B37</f>
        <v/>
      </c>
      <c r="C127" s="31" t="str">
        <f>+equipo6!$A$6</f>
        <v>equipo6</v>
      </c>
      <c r="D127" s="30">
        <f>+equipo6!C37</f>
        <v>2</v>
      </c>
      <c r="E127" s="30">
        <f>+equipo6!D37</f>
        <v>0</v>
      </c>
      <c r="F127" s="30">
        <f>+equipo6!E37</f>
        <v>0</v>
      </c>
      <c r="G127" s="30">
        <f>+equipo6!F37</f>
        <v>0</v>
      </c>
      <c r="H127" s="30">
        <f>+equipo6!G37</f>
        <v>0</v>
      </c>
      <c r="I127" s="30">
        <f>+equipo6!H37</f>
        <v>0</v>
      </c>
      <c r="J127" s="30">
        <f>+equipo6!I37</f>
        <v>0</v>
      </c>
      <c r="K127" s="30">
        <f>+equipo6!J37</f>
        <v>1</v>
      </c>
      <c r="L127" s="30">
        <f>+equipo6!K37</f>
        <v>0</v>
      </c>
      <c r="M127" s="30">
        <f>+equipo6!L37</f>
        <v>0</v>
      </c>
      <c r="N127" s="30">
        <f>+equipo6!M37</f>
        <v>0</v>
      </c>
      <c r="O127" s="30">
        <f>+equipo6!N37</f>
        <v>0</v>
      </c>
      <c r="P127" s="30">
        <f>+equipo6!O37</f>
        <v>0</v>
      </c>
      <c r="Q127" s="30">
        <f>+equipo6!P37</f>
        <v>0</v>
      </c>
      <c r="R127" s="30">
        <f>+equipo6!Q37</f>
        <v>0</v>
      </c>
      <c r="S127" s="30">
        <f>+equipo6!R37</f>
        <v>2</v>
      </c>
      <c r="T127" s="30">
        <f>+equipo6!S37</f>
        <v>0</v>
      </c>
      <c r="U127" s="30">
        <f>+equipo6!T37</f>
        <v>0</v>
      </c>
      <c r="V127" s="30">
        <f>+equipo6!U37</f>
        <v>0</v>
      </c>
    </row>
    <row r="128" spans="1:22" x14ac:dyDescent="0.25">
      <c r="A128" s="30" t="str">
        <f>+equipo6!A38</f>
        <v>ANGEL RODRIGUEZ</v>
      </c>
      <c r="B128" s="30" t="str">
        <f>+equipo6!B38</f>
        <v/>
      </c>
      <c r="C128" s="31" t="str">
        <f>+equipo6!$A$6</f>
        <v>equipo6</v>
      </c>
      <c r="D128" s="30">
        <f>+equipo6!C38</f>
        <v>3</v>
      </c>
      <c r="E128" s="30">
        <f>+equipo6!D38</f>
        <v>2</v>
      </c>
      <c r="F128" s="30">
        <f>+equipo6!E38</f>
        <v>2</v>
      </c>
      <c r="G128" s="30">
        <f>+equipo6!F38</f>
        <v>0</v>
      </c>
      <c r="H128" s="30">
        <f>+equipo6!G38</f>
        <v>0</v>
      </c>
      <c r="I128" s="30">
        <f>+equipo6!H38</f>
        <v>0</v>
      </c>
      <c r="J128" s="30">
        <f>+equipo6!I38</f>
        <v>1</v>
      </c>
      <c r="K128" s="30">
        <f>+equipo6!J38</f>
        <v>1</v>
      </c>
      <c r="L128" s="30">
        <f>+equipo6!K38</f>
        <v>0</v>
      </c>
      <c r="M128" s="30">
        <f>+equipo6!L38</f>
        <v>1</v>
      </c>
      <c r="N128" s="30">
        <f>+equipo6!M38</f>
        <v>0</v>
      </c>
      <c r="O128" s="30">
        <f>+equipo6!N38</f>
        <v>0</v>
      </c>
      <c r="P128" s="30">
        <f>+equipo6!O38</f>
        <v>0</v>
      </c>
      <c r="Q128" s="30">
        <f>+equipo6!P38</f>
        <v>0</v>
      </c>
      <c r="R128" s="30">
        <f>+equipo6!Q38</f>
        <v>2</v>
      </c>
      <c r="S128" s="30">
        <f>+equipo6!R38</f>
        <v>3</v>
      </c>
      <c r="T128" s="30">
        <f>+equipo6!S38</f>
        <v>0</v>
      </c>
      <c r="U128" s="30">
        <f>+equipo6!T38</f>
        <v>666.66666666666663</v>
      </c>
      <c r="V128" s="30">
        <f>+equipo6!U38</f>
        <v>666.66666666666663</v>
      </c>
    </row>
    <row r="129" spans="1:22" x14ac:dyDescent="0.25">
      <c r="A129" s="30" t="str">
        <f>+equipo6!A39</f>
        <v>FRANCISCO MONASTERIO</v>
      </c>
      <c r="B129" s="30" t="str">
        <f>+equipo6!B39</f>
        <v/>
      </c>
      <c r="C129" s="31" t="str">
        <f>+equipo6!$A$6</f>
        <v>equipo6</v>
      </c>
      <c r="D129" s="30">
        <f>+equipo6!C39</f>
        <v>3</v>
      </c>
      <c r="E129" s="30">
        <f>+equipo6!D39</f>
        <v>1</v>
      </c>
      <c r="F129" s="30">
        <f>+equipo6!E39</f>
        <v>2</v>
      </c>
      <c r="G129" s="30">
        <f>+equipo6!F39</f>
        <v>0</v>
      </c>
      <c r="H129" s="30">
        <f>+equipo6!G39</f>
        <v>1</v>
      </c>
      <c r="I129" s="30">
        <f>+equipo6!H39</f>
        <v>0</v>
      </c>
      <c r="J129" s="30">
        <f>+equipo6!I39</f>
        <v>0</v>
      </c>
      <c r="K129" s="30">
        <f>+equipo6!J39</f>
        <v>0</v>
      </c>
      <c r="L129" s="30">
        <f>+equipo6!K39</f>
        <v>0</v>
      </c>
      <c r="M129" s="30">
        <f>+equipo6!L39</f>
        <v>0</v>
      </c>
      <c r="N129" s="30">
        <f>+equipo6!M39</f>
        <v>0</v>
      </c>
      <c r="O129" s="30">
        <f>+equipo6!N39</f>
        <v>0</v>
      </c>
      <c r="P129" s="30">
        <f>+equipo6!O39</f>
        <v>0</v>
      </c>
      <c r="Q129" s="30">
        <f>+equipo6!P39</f>
        <v>0</v>
      </c>
      <c r="R129" s="30">
        <f>+equipo6!Q39</f>
        <v>4</v>
      </c>
      <c r="S129" s="30">
        <f>+equipo6!R39</f>
        <v>3</v>
      </c>
      <c r="T129" s="30">
        <f>+equipo6!S39</f>
        <v>0</v>
      </c>
      <c r="U129" s="30">
        <f>+equipo6!T39</f>
        <v>666.66666666666663</v>
      </c>
      <c r="V129" s="30">
        <f>+equipo6!U39</f>
        <v>1333.3333333333333</v>
      </c>
    </row>
    <row r="130" spans="1:22" x14ac:dyDescent="0.25">
      <c r="A130" s="30" t="str">
        <f>+equipo6!A40</f>
        <v>MARCOS MORALES</v>
      </c>
      <c r="B130" s="30" t="str">
        <f>+equipo6!B40</f>
        <v/>
      </c>
      <c r="C130" s="31" t="str">
        <f>+equipo6!$A$6</f>
        <v>equipo6</v>
      </c>
      <c r="D130" s="30">
        <f>+equipo6!C40</f>
        <v>3</v>
      </c>
      <c r="E130" s="30">
        <f>+equipo6!D40</f>
        <v>2</v>
      </c>
      <c r="F130" s="30">
        <f>+equipo6!E40</f>
        <v>2</v>
      </c>
      <c r="G130" s="30">
        <f>+equipo6!F40</f>
        <v>1</v>
      </c>
      <c r="H130" s="30">
        <f>+equipo6!G40</f>
        <v>0</v>
      </c>
      <c r="I130" s="30">
        <f>+equipo6!H40</f>
        <v>0</v>
      </c>
      <c r="J130" s="30">
        <f>+equipo6!I40</f>
        <v>2</v>
      </c>
      <c r="K130" s="30">
        <f>+equipo6!J40</f>
        <v>1</v>
      </c>
      <c r="L130" s="30">
        <f>+equipo6!K40</f>
        <v>0</v>
      </c>
      <c r="M130" s="30">
        <f>+equipo6!L40</f>
        <v>3</v>
      </c>
      <c r="N130" s="30">
        <f>+equipo6!M40</f>
        <v>0</v>
      </c>
      <c r="O130" s="30">
        <f>+equipo6!N40</f>
        <v>0</v>
      </c>
      <c r="P130" s="30">
        <f>+equipo6!O40</f>
        <v>0</v>
      </c>
      <c r="Q130" s="30">
        <f>+equipo6!P40</f>
        <v>0</v>
      </c>
      <c r="R130" s="30">
        <f>+equipo6!Q40</f>
        <v>3</v>
      </c>
      <c r="S130" s="30">
        <f>+equipo6!R40</f>
        <v>3</v>
      </c>
      <c r="T130" s="30">
        <f>+equipo6!S40</f>
        <v>0</v>
      </c>
      <c r="U130" s="30">
        <f>+equipo6!T40</f>
        <v>666.66666666666663</v>
      </c>
      <c r="V130" s="30">
        <f>+equipo6!U40</f>
        <v>1000</v>
      </c>
    </row>
    <row r="131" spans="1:22" x14ac:dyDescent="0.25">
      <c r="A131" s="30" t="str">
        <f>+equipo6!A41</f>
        <v>ADRIAN MURILLO</v>
      </c>
      <c r="B131" s="30" t="str">
        <f>+equipo6!B41</f>
        <v/>
      </c>
      <c r="C131" s="31" t="str">
        <f>+equipo6!$A$6</f>
        <v>equipo6</v>
      </c>
      <c r="D131" s="30">
        <f>+equipo6!C41</f>
        <v>2</v>
      </c>
      <c r="E131" s="30">
        <f>+equipo6!D41</f>
        <v>1</v>
      </c>
      <c r="F131" s="30">
        <f>+equipo6!E41</f>
        <v>0</v>
      </c>
      <c r="G131" s="30">
        <f>+equipo6!F41</f>
        <v>0</v>
      </c>
      <c r="H131" s="30">
        <f>+equipo6!G41</f>
        <v>0</v>
      </c>
      <c r="I131" s="30">
        <f>+equipo6!H41</f>
        <v>0</v>
      </c>
      <c r="J131" s="30">
        <f>+equipo6!I41</f>
        <v>0</v>
      </c>
      <c r="K131" s="30">
        <f>+equipo6!J41</f>
        <v>1</v>
      </c>
      <c r="L131" s="30">
        <f>+equipo6!K41</f>
        <v>1</v>
      </c>
      <c r="M131" s="30">
        <f>+equipo6!L41</f>
        <v>1</v>
      </c>
      <c r="N131" s="30">
        <f>+equipo6!M41</f>
        <v>0</v>
      </c>
      <c r="O131" s="30">
        <f>+equipo6!N41</f>
        <v>0</v>
      </c>
      <c r="P131" s="30">
        <f>+equipo6!O41</f>
        <v>0</v>
      </c>
      <c r="Q131" s="30">
        <f>+equipo6!P41</f>
        <v>0</v>
      </c>
      <c r="R131" s="30">
        <f>+equipo6!Q41</f>
        <v>0</v>
      </c>
      <c r="S131" s="30">
        <f>+equipo6!R41</f>
        <v>3</v>
      </c>
      <c r="T131" s="30">
        <f>+equipo6!S41</f>
        <v>0</v>
      </c>
      <c r="U131" s="30">
        <f>+equipo6!T41</f>
        <v>0</v>
      </c>
      <c r="V131" s="30">
        <f>+equipo6!U41</f>
        <v>0</v>
      </c>
    </row>
    <row r="132" spans="1:22" x14ac:dyDescent="0.25">
      <c r="A132" s="30" t="str">
        <f>+equipo6!A42</f>
        <v>DARGREYBER RODRIGUEZ</v>
      </c>
      <c r="B132" s="30" t="str">
        <f>+equipo6!B42</f>
        <v/>
      </c>
      <c r="C132" s="31" t="str">
        <f>+equipo6!$A$6</f>
        <v>equipo6</v>
      </c>
      <c r="D132" s="30">
        <f>+equipo6!C42</f>
        <v>0</v>
      </c>
      <c r="E132" s="30">
        <f>+equipo6!D42</f>
        <v>0</v>
      </c>
      <c r="F132" s="30">
        <f>+equipo6!E42</f>
        <v>0</v>
      </c>
      <c r="G132" s="30">
        <f>+equipo6!F42</f>
        <v>0</v>
      </c>
      <c r="H132" s="30">
        <f>+equipo6!G42</f>
        <v>0</v>
      </c>
      <c r="I132" s="30">
        <f>+equipo6!H42</f>
        <v>0</v>
      </c>
      <c r="J132" s="30">
        <f>+equipo6!I42</f>
        <v>0</v>
      </c>
      <c r="K132" s="30">
        <f>+equipo6!J42</f>
        <v>0</v>
      </c>
      <c r="L132" s="30">
        <f>+equipo6!K42</f>
        <v>0</v>
      </c>
      <c r="M132" s="30">
        <f>+equipo6!L42</f>
        <v>0</v>
      </c>
      <c r="N132" s="30">
        <f>+equipo6!M42</f>
        <v>0</v>
      </c>
      <c r="O132" s="30">
        <f>+equipo6!N42</f>
        <v>0</v>
      </c>
      <c r="P132" s="30">
        <f>+equipo6!O42</f>
        <v>0</v>
      </c>
      <c r="Q132" s="30">
        <f>+equipo6!P42</f>
        <v>0</v>
      </c>
      <c r="R132" s="30">
        <f>+equipo6!Q42</f>
        <v>0</v>
      </c>
      <c r="S132" s="30">
        <f>+equipo6!R42</f>
        <v>0</v>
      </c>
      <c r="T132" s="30">
        <f>+equipo6!S42</f>
        <v>0</v>
      </c>
      <c r="U132" s="30">
        <f>+equipo6!T42</f>
        <v>0</v>
      </c>
      <c r="V132" s="30">
        <f>+equipo6!U42</f>
        <v>0</v>
      </c>
    </row>
    <row r="133" spans="1:22" x14ac:dyDescent="0.25">
      <c r="A133" s="30" t="str">
        <f>+equipo6!A43</f>
        <v>JENSE FLORES</v>
      </c>
      <c r="B133" s="30" t="str">
        <f>+equipo6!B43</f>
        <v/>
      </c>
      <c r="C133" s="31" t="str">
        <f>+equipo6!$A$6</f>
        <v>equipo6</v>
      </c>
      <c r="D133" s="30">
        <f>+equipo6!C43</f>
        <v>0</v>
      </c>
      <c r="E133" s="30">
        <f>+equipo6!D43</f>
        <v>0</v>
      </c>
      <c r="F133" s="30">
        <f>+equipo6!E43</f>
        <v>0</v>
      </c>
      <c r="G133" s="30">
        <f>+equipo6!F43</f>
        <v>0</v>
      </c>
      <c r="H133" s="30">
        <f>+equipo6!G43</f>
        <v>0</v>
      </c>
      <c r="I133" s="30">
        <f>+equipo6!H43</f>
        <v>0</v>
      </c>
      <c r="J133" s="30">
        <f>+equipo6!I43</f>
        <v>0</v>
      </c>
      <c r="K133" s="30">
        <f>+equipo6!J43</f>
        <v>0</v>
      </c>
      <c r="L133" s="30">
        <f>+equipo6!K43</f>
        <v>0</v>
      </c>
      <c r="M133" s="30">
        <f>+equipo6!L43</f>
        <v>0</v>
      </c>
      <c r="N133" s="30">
        <f>+equipo6!M43</f>
        <v>0</v>
      </c>
      <c r="O133" s="30">
        <f>+equipo6!N43</f>
        <v>0</v>
      </c>
      <c r="P133" s="30">
        <f>+equipo6!O43</f>
        <v>0</v>
      </c>
      <c r="Q133" s="30">
        <f>+equipo6!P43</f>
        <v>0</v>
      </c>
      <c r="R133" s="30">
        <f>+equipo6!Q43</f>
        <v>0</v>
      </c>
      <c r="S133" s="30">
        <f>+equipo6!R43</f>
        <v>0</v>
      </c>
      <c r="T133" s="30">
        <f>+equipo6!S43</f>
        <v>0</v>
      </c>
      <c r="U133" s="30">
        <f>+equipo6!T43</f>
        <v>0</v>
      </c>
      <c r="V133" s="30">
        <f>+equipo6!U43</f>
        <v>0</v>
      </c>
    </row>
    <row r="134" spans="1:22" x14ac:dyDescent="0.25">
      <c r="A134" s="30" t="str">
        <f>+equipo6!A44</f>
        <v/>
      </c>
      <c r="B134" s="30" t="str">
        <f>+equipo6!B44</f>
        <v/>
      </c>
      <c r="C134" s="31" t="str">
        <f>+equipo6!$A$6</f>
        <v>equipo6</v>
      </c>
      <c r="D134" s="30">
        <f>+equipo6!C44</f>
        <v>0</v>
      </c>
      <c r="E134" s="30">
        <f>+equipo6!D44</f>
        <v>0</v>
      </c>
      <c r="F134" s="30">
        <f>+equipo6!E44</f>
        <v>0</v>
      </c>
      <c r="G134" s="30">
        <f>+equipo6!F44</f>
        <v>0</v>
      </c>
      <c r="H134" s="30">
        <f>+equipo6!G44</f>
        <v>0</v>
      </c>
      <c r="I134" s="30">
        <f>+equipo6!H44</f>
        <v>0</v>
      </c>
      <c r="J134" s="30">
        <f>+equipo6!I44</f>
        <v>0</v>
      </c>
      <c r="K134" s="30">
        <f>+equipo6!J44</f>
        <v>0</v>
      </c>
      <c r="L134" s="30">
        <f>+equipo6!K44</f>
        <v>0</v>
      </c>
      <c r="M134" s="30">
        <f>+equipo6!L44</f>
        <v>0</v>
      </c>
      <c r="N134" s="30">
        <f>+equipo6!M44</f>
        <v>0</v>
      </c>
      <c r="O134" s="30">
        <f>+equipo6!N44</f>
        <v>0</v>
      </c>
      <c r="P134" s="30">
        <f>+equipo6!O44</f>
        <v>0</v>
      </c>
      <c r="Q134" s="30">
        <f>+equipo6!P44</f>
        <v>0</v>
      </c>
      <c r="R134" s="30">
        <f>+equipo6!Q44</f>
        <v>0</v>
      </c>
      <c r="S134" s="30">
        <f>+equipo6!R44</f>
        <v>0</v>
      </c>
      <c r="T134" s="30">
        <f>+equipo6!S44</f>
        <v>0</v>
      </c>
      <c r="U134" s="30">
        <f>+equipo6!T44</f>
        <v>0</v>
      </c>
      <c r="V134" s="30">
        <f>+equipo6!U44</f>
        <v>0</v>
      </c>
    </row>
    <row r="135" spans="1:22" x14ac:dyDescent="0.25">
      <c r="A135" s="30" t="str">
        <f>+equipo6!A45</f>
        <v/>
      </c>
      <c r="B135" s="30" t="str">
        <f>+equipo6!B45</f>
        <v/>
      </c>
      <c r="C135" s="31" t="str">
        <f>+equipo6!$A$6</f>
        <v>equipo6</v>
      </c>
      <c r="D135" s="30">
        <f>+equipo6!C45</f>
        <v>0</v>
      </c>
      <c r="E135" s="30">
        <f>+equipo6!D45</f>
        <v>0</v>
      </c>
      <c r="F135" s="30">
        <f>+equipo6!E45</f>
        <v>0</v>
      </c>
      <c r="G135" s="30">
        <f>+equipo6!F45</f>
        <v>0</v>
      </c>
      <c r="H135" s="30">
        <f>+equipo6!G45</f>
        <v>0</v>
      </c>
      <c r="I135" s="30">
        <f>+equipo6!H45</f>
        <v>0</v>
      </c>
      <c r="J135" s="30">
        <f>+equipo6!I45</f>
        <v>0</v>
      </c>
      <c r="K135" s="30">
        <f>+equipo6!J45</f>
        <v>0</v>
      </c>
      <c r="L135" s="30">
        <f>+equipo6!K45</f>
        <v>0</v>
      </c>
      <c r="M135" s="30">
        <f>+equipo6!L45</f>
        <v>0</v>
      </c>
      <c r="N135" s="30">
        <f>+equipo6!M45</f>
        <v>0</v>
      </c>
      <c r="O135" s="30">
        <f>+equipo6!N45</f>
        <v>0</v>
      </c>
      <c r="P135" s="30">
        <f>+equipo6!O45</f>
        <v>0</v>
      </c>
      <c r="Q135" s="30">
        <f>+equipo6!P45</f>
        <v>0</v>
      </c>
      <c r="R135" s="30">
        <f>+equipo6!Q45</f>
        <v>0</v>
      </c>
      <c r="S135" s="30">
        <f>+equipo6!R45</f>
        <v>0</v>
      </c>
      <c r="T135" s="30">
        <f>+equipo6!S45</f>
        <v>0</v>
      </c>
      <c r="U135" s="30">
        <f>+equipo6!T45</f>
        <v>0</v>
      </c>
      <c r="V135" s="30">
        <f>+equipo6!U45</f>
        <v>0</v>
      </c>
    </row>
    <row r="136" spans="1:22" x14ac:dyDescent="0.25">
      <c r="A136" s="30" t="str">
        <f>+equipo6!A46</f>
        <v/>
      </c>
      <c r="B136" s="30" t="str">
        <f>+equipo6!B46</f>
        <v/>
      </c>
      <c r="C136" s="31" t="str">
        <f>+equipo6!$A$6</f>
        <v>equipo6</v>
      </c>
      <c r="D136" s="30">
        <f>+equipo6!C46</f>
        <v>0</v>
      </c>
      <c r="E136" s="30">
        <f>+equipo6!D46</f>
        <v>0</v>
      </c>
      <c r="F136" s="30">
        <f>+equipo6!E46</f>
        <v>0</v>
      </c>
      <c r="G136" s="30">
        <f>+equipo6!F46</f>
        <v>0</v>
      </c>
      <c r="H136" s="30">
        <f>+equipo6!G46</f>
        <v>0</v>
      </c>
      <c r="I136" s="30">
        <f>+equipo6!H46</f>
        <v>0</v>
      </c>
      <c r="J136" s="30">
        <f>+equipo6!I46</f>
        <v>0</v>
      </c>
      <c r="K136" s="30">
        <f>+equipo6!J46</f>
        <v>0</v>
      </c>
      <c r="L136" s="30">
        <f>+equipo6!K46</f>
        <v>0</v>
      </c>
      <c r="M136" s="30">
        <f>+equipo6!L46</f>
        <v>0</v>
      </c>
      <c r="N136" s="30">
        <f>+equipo6!M46</f>
        <v>0</v>
      </c>
      <c r="O136" s="30">
        <f>+equipo6!N46</f>
        <v>0</v>
      </c>
      <c r="P136" s="30">
        <f>+equipo6!O46</f>
        <v>0</v>
      </c>
      <c r="Q136" s="30">
        <f>+equipo6!P46</f>
        <v>0</v>
      </c>
      <c r="R136" s="30">
        <f>+equipo6!Q46</f>
        <v>0</v>
      </c>
      <c r="S136" s="30">
        <f>+equipo6!R46</f>
        <v>0</v>
      </c>
      <c r="T136" s="30">
        <f>+equipo6!S46</f>
        <v>0</v>
      </c>
      <c r="U136" s="30">
        <f>+equipo6!T46</f>
        <v>0</v>
      </c>
      <c r="V136" s="30">
        <f>+equipo6!U46</f>
        <v>0</v>
      </c>
    </row>
    <row r="137" spans="1:22" x14ac:dyDescent="0.25">
      <c r="A137" s="30" t="str">
        <f>+equipo6!A47</f>
        <v/>
      </c>
      <c r="B137" s="30" t="str">
        <f>+equipo6!B47</f>
        <v/>
      </c>
      <c r="C137" s="31" t="str">
        <f>+equipo6!$A$6</f>
        <v>equipo6</v>
      </c>
      <c r="D137" s="30">
        <f>+equipo6!C47</f>
        <v>0</v>
      </c>
      <c r="E137" s="30">
        <f>+equipo6!D47</f>
        <v>0</v>
      </c>
      <c r="F137" s="30">
        <f>+equipo6!E47</f>
        <v>0</v>
      </c>
      <c r="G137" s="30">
        <f>+equipo6!F47</f>
        <v>0</v>
      </c>
      <c r="H137" s="30">
        <f>+equipo6!G47</f>
        <v>0</v>
      </c>
      <c r="I137" s="30">
        <f>+equipo6!H47</f>
        <v>0</v>
      </c>
      <c r="J137" s="30">
        <f>+equipo6!I47</f>
        <v>0</v>
      </c>
      <c r="K137" s="30">
        <f>+equipo6!J47</f>
        <v>0</v>
      </c>
      <c r="L137" s="30">
        <f>+equipo6!K47</f>
        <v>0</v>
      </c>
      <c r="M137" s="30">
        <f>+equipo6!L47</f>
        <v>0</v>
      </c>
      <c r="N137" s="30">
        <f>+equipo6!M47</f>
        <v>0</v>
      </c>
      <c r="O137" s="30">
        <f>+equipo6!N47</f>
        <v>0</v>
      </c>
      <c r="P137" s="30">
        <f>+equipo6!O47</f>
        <v>0</v>
      </c>
      <c r="Q137" s="30">
        <f>+equipo6!P47</f>
        <v>0</v>
      </c>
      <c r="R137" s="30">
        <f>+equipo6!Q47</f>
        <v>0</v>
      </c>
      <c r="S137" s="30">
        <f>+equipo6!R47</f>
        <v>0</v>
      </c>
      <c r="T137" s="30">
        <f>+equipo6!S47</f>
        <v>0</v>
      </c>
      <c r="U137" s="30">
        <f>+equipo6!T47</f>
        <v>0</v>
      </c>
      <c r="V137" s="30">
        <f>+equipo6!U47</f>
        <v>0</v>
      </c>
    </row>
    <row r="138" spans="1:22" x14ac:dyDescent="0.25">
      <c r="A138" s="30" t="str">
        <f>+equipo6!A48</f>
        <v/>
      </c>
      <c r="B138" s="30" t="str">
        <f>+equipo6!B48</f>
        <v/>
      </c>
      <c r="C138" s="31" t="str">
        <f>+equipo6!$A$6</f>
        <v>equipo6</v>
      </c>
      <c r="D138" s="30">
        <f>+equipo6!C48</f>
        <v>0</v>
      </c>
      <c r="E138" s="30">
        <f>+equipo6!D48</f>
        <v>0</v>
      </c>
      <c r="F138" s="30">
        <f>+equipo6!E48</f>
        <v>0</v>
      </c>
      <c r="G138" s="30">
        <f>+equipo6!F48</f>
        <v>0</v>
      </c>
      <c r="H138" s="30">
        <f>+equipo6!G48</f>
        <v>0</v>
      </c>
      <c r="I138" s="30">
        <f>+equipo6!H48</f>
        <v>0</v>
      </c>
      <c r="J138" s="30">
        <f>+equipo6!I48</f>
        <v>0</v>
      </c>
      <c r="K138" s="30">
        <f>+equipo6!J48</f>
        <v>0</v>
      </c>
      <c r="L138" s="30">
        <f>+equipo6!K48</f>
        <v>0</v>
      </c>
      <c r="M138" s="30">
        <f>+equipo6!L48</f>
        <v>0</v>
      </c>
      <c r="N138" s="30">
        <f>+equipo6!M48</f>
        <v>0</v>
      </c>
      <c r="O138" s="30">
        <f>+equipo6!N48</f>
        <v>0</v>
      </c>
      <c r="P138" s="30">
        <f>+equipo6!O48</f>
        <v>0</v>
      </c>
      <c r="Q138" s="30">
        <f>+equipo6!P48</f>
        <v>0</v>
      </c>
      <c r="R138" s="30">
        <f>+equipo6!Q48</f>
        <v>0</v>
      </c>
      <c r="S138" s="30">
        <f>+equipo6!R48</f>
        <v>0</v>
      </c>
      <c r="T138" s="30">
        <f>+equipo6!S48</f>
        <v>0</v>
      </c>
      <c r="U138" s="30">
        <f>+equipo6!T48</f>
        <v>0</v>
      </c>
      <c r="V138" s="30">
        <f>+equipo6!U48</f>
        <v>0</v>
      </c>
    </row>
    <row r="139" spans="1:22" x14ac:dyDescent="0.25">
      <c r="A139" s="30" t="str">
        <f>+equipo6!A49</f>
        <v/>
      </c>
      <c r="B139" s="30" t="str">
        <f>+equipo6!B49</f>
        <v/>
      </c>
      <c r="C139" s="31" t="str">
        <f>+equipo6!$A$6</f>
        <v>equipo6</v>
      </c>
      <c r="D139" s="30">
        <f>+equipo6!C49</f>
        <v>0</v>
      </c>
      <c r="E139" s="30">
        <f>+equipo6!D49</f>
        <v>0</v>
      </c>
      <c r="F139" s="30">
        <f>+equipo6!E49</f>
        <v>0</v>
      </c>
      <c r="G139" s="30">
        <f>+equipo6!F49</f>
        <v>0</v>
      </c>
      <c r="H139" s="30">
        <f>+equipo6!G49</f>
        <v>0</v>
      </c>
      <c r="I139" s="30">
        <f>+equipo6!H49</f>
        <v>0</v>
      </c>
      <c r="J139" s="30">
        <f>+equipo6!I49</f>
        <v>0</v>
      </c>
      <c r="K139" s="30">
        <f>+equipo6!J49</f>
        <v>0</v>
      </c>
      <c r="L139" s="30">
        <f>+equipo6!K49</f>
        <v>0</v>
      </c>
      <c r="M139" s="30">
        <f>+equipo6!L49</f>
        <v>0</v>
      </c>
      <c r="N139" s="30">
        <f>+equipo6!M49</f>
        <v>0</v>
      </c>
      <c r="O139" s="30">
        <f>+equipo6!N49</f>
        <v>0</v>
      </c>
      <c r="P139" s="30">
        <f>+equipo6!O49</f>
        <v>0</v>
      </c>
      <c r="Q139" s="30">
        <f>+equipo6!P49</f>
        <v>0</v>
      </c>
      <c r="R139" s="30">
        <f>+equipo6!Q49</f>
        <v>0</v>
      </c>
      <c r="S139" s="30">
        <f>+equipo6!R49</f>
        <v>0</v>
      </c>
      <c r="T139" s="30">
        <f>+equipo6!S49</f>
        <v>0</v>
      </c>
      <c r="U139" s="30">
        <f>+equipo6!T49</f>
        <v>0</v>
      </c>
      <c r="V139" s="30">
        <f>+equipo6!U49</f>
        <v>0</v>
      </c>
    </row>
    <row r="140" spans="1:22" x14ac:dyDescent="0.25">
      <c r="A140" s="30" t="str">
        <f>+equipo6!A50</f>
        <v/>
      </c>
      <c r="B140" s="30" t="str">
        <f>+equipo6!B50</f>
        <v/>
      </c>
      <c r="C140" s="31" t="str">
        <f>+equipo6!$A$6</f>
        <v>equipo6</v>
      </c>
      <c r="D140" s="30">
        <f>+equipo6!C50</f>
        <v>0</v>
      </c>
      <c r="E140" s="30">
        <f>+equipo6!D50</f>
        <v>0</v>
      </c>
      <c r="F140" s="30">
        <f>+equipo6!E50</f>
        <v>0</v>
      </c>
      <c r="G140" s="30">
        <f>+equipo6!F50</f>
        <v>0</v>
      </c>
      <c r="H140" s="30">
        <f>+equipo6!G50</f>
        <v>0</v>
      </c>
      <c r="I140" s="30">
        <f>+equipo6!H50</f>
        <v>0</v>
      </c>
      <c r="J140" s="30">
        <f>+equipo6!I50</f>
        <v>0</v>
      </c>
      <c r="K140" s="30">
        <f>+equipo6!J50</f>
        <v>0</v>
      </c>
      <c r="L140" s="30">
        <f>+equipo6!K50</f>
        <v>0</v>
      </c>
      <c r="M140" s="30">
        <f>+equipo6!L50</f>
        <v>0</v>
      </c>
      <c r="N140" s="30">
        <f>+equipo6!M50</f>
        <v>0</v>
      </c>
      <c r="O140" s="30">
        <f>+equipo6!N50</f>
        <v>0</v>
      </c>
      <c r="P140" s="30">
        <f>+equipo6!O50</f>
        <v>0</v>
      </c>
      <c r="Q140" s="30">
        <f>+equipo6!P50</f>
        <v>0</v>
      </c>
      <c r="R140" s="30">
        <f>+equipo6!Q50</f>
        <v>0</v>
      </c>
      <c r="S140" s="30">
        <f>+equipo6!R50</f>
        <v>0</v>
      </c>
      <c r="T140" s="30">
        <f>+equipo6!S50</f>
        <v>0</v>
      </c>
      <c r="U140" s="30">
        <f>+equipo6!T50</f>
        <v>0</v>
      </c>
      <c r="V140" s="30">
        <f>+equipo6!U50</f>
        <v>0</v>
      </c>
    </row>
    <row r="141" spans="1:22" x14ac:dyDescent="0.25">
      <c r="A141" s="30" t="str">
        <f>+equipo7!A32</f>
        <v>LUIS HERNANDEZ EQUIPO7</v>
      </c>
      <c r="B141" s="30">
        <f>+equipo7!B32</f>
        <v>5</v>
      </c>
      <c r="C141" s="31" t="str">
        <f>+equipo7!$A$6</f>
        <v>equipo7</v>
      </c>
      <c r="D141" s="30">
        <f>+equipo7!C32</f>
        <v>4</v>
      </c>
      <c r="E141" s="30">
        <f>+equipo7!D32</f>
        <v>2</v>
      </c>
      <c r="F141" s="30">
        <f>+equipo7!E32</f>
        <v>1</v>
      </c>
      <c r="G141" s="30">
        <f>+equipo7!F32</f>
        <v>0</v>
      </c>
      <c r="H141" s="30">
        <f>+equipo7!G32</f>
        <v>0</v>
      </c>
      <c r="I141" s="30">
        <f>+equipo7!H32</f>
        <v>0</v>
      </c>
      <c r="J141" s="30">
        <f>+equipo7!I32</f>
        <v>0</v>
      </c>
      <c r="K141" s="30">
        <f>+equipo7!J32</f>
        <v>0</v>
      </c>
      <c r="L141" s="30">
        <f>+equipo7!K32</f>
        <v>0</v>
      </c>
      <c r="M141" s="30">
        <f>+equipo7!L32</f>
        <v>1</v>
      </c>
      <c r="N141" s="30">
        <f>+equipo7!M32</f>
        <v>0</v>
      </c>
      <c r="O141" s="30">
        <f>+equipo7!N32</f>
        <v>0</v>
      </c>
      <c r="P141" s="30">
        <f>+equipo7!O32</f>
        <v>0</v>
      </c>
      <c r="Q141" s="30">
        <f>+equipo7!P32</f>
        <v>0</v>
      </c>
      <c r="R141" s="30">
        <f>+equipo7!Q32</f>
        <v>1</v>
      </c>
      <c r="S141" s="30">
        <f>+equipo7!R32</f>
        <v>4</v>
      </c>
      <c r="T141" s="30">
        <f>+equipo7!S32</f>
        <v>0</v>
      </c>
      <c r="U141" s="30">
        <f>+equipo7!T32</f>
        <v>250</v>
      </c>
      <c r="V141" s="30">
        <f>+equipo7!U32</f>
        <v>250</v>
      </c>
    </row>
    <row r="142" spans="1:22" x14ac:dyDescent="0.25">
      <c r="A142" s="30" t="str">
        <f>+equipo7!A33</f>
        <v>JOSEPH MENDOZA</v>
      </c>
      <c r="B142" s="30">
        <f>+equipo7!B33</f>
        <v>6</v>
      </c>
      <c r="C142" s="31" t="str">
        <f>+equipo7!$A$6</f>
        <v>equipo7</v>
      </c>
      <c r="D142" s="30">
        <f>+equipo7!C33</f>
        <v>3</v>
      </c>
      <c r="E142" s="30">
        <f>+equipo7!D33</f>
        <v>1</v>
      </c>
      <c r="F142" s="30">
        <f>+equipo7!E33</f>
        <v>1</v>
      </c>
      <c r="G142" s="30">
        <f>+equipo7!F33</f>
        <v>1</v>
      </c>
      <c r="H142" s="30">
        <f>+equipo7!G33</f>
        <v>0</v>
      </c>
      <c r="I142" s="30">
        <f>+equipo7!H33</f>
        <v>0</v>
      </c>
      <c r="J142" s="30">
        <f>+equipo7!I33</f>
        <v>0</v>
      </c>
      <c r="K142" s="30">
        <f>+equipo7!J33</f>
        <v>0</v>
      </c>
      <c r="L142" s="30">
        <f>+equipo7!K33</f>
        <v>1</v>
      </c>
      <c r="M142" s="30">
        <f>+equipo7!L33</f>
        <v>0</v>
      </c>
      <c r="N142" s="30">
        <f>+equipo7!M33</f>
        <v>0</v>
      </c>
      <c r="O142" s="30">
        <f>+equipo7!N33</f>
        <v>0</v>
      </c>
      <c r="P142" s="30">
        <f>+equipo7!O33</f>
        <v>0</v>
      </c>
      <c r="Q142" s="30">
        <f>+equipo7!P33</f>
        <v>0</v>
      </c>
      <c r="R142" s="30">
        <f>+equipo7!Q33</f>
        <v>2</v>
      </c>
      <c r="S142" s="30">
        <f>+equipo7!R33</f>
        <v>4</v>
      </c>
      <c r="T142" s="30">
        <f>+equipo7!S33</f>
        <v>0</v>
      </c>
      <c r="U142" s="30">
        <f>+equipo7!T33</f>
        <v>333.33333333333331</v>
      </c>
      <c r="V142" s="30">
        <f>+equipo7!U33</f>
        <v>666.66666666666663</v>
      </c>
    </row>
    <row r="143" spans="1:22" x14ac:dyDescent="0.25">
      <c r="A143" s="30" t="str">
        <f>+equipo7!A34</f>
        <v>ABRAHAN RODRIGUZ</v>
      </c>
      <c r="B143" s="30" t="str">
        <f>+equipo7!B34</f>
        <v/>
      </c>
      <c r="C143" s="31" t="str">
        <f>+equipo7!$A$6</f>
        <v>equipo7</v>
      </c>
      <c r="D143" s="30">
        <f>+equipo7!C34</f>
        <v>4</v>
      </c>
      <c r="E143" s="30">
        <f>+equipo7!D34</f>
        <v>0</v>
      </c>
      <c r="F143" s="30">
        <f>+equipo7!E34</f>
        <v>1</v>
      </c>
      <c r="G143" s="30">
        <f>+equipo7!F34</f>
        <v>0</v>
      </c>
      <c r="H143" s="30">
        <f>+equipo7!G34</f>
        <v>0</v>
      </c>
      <c r="I143" s="30">
        <f>+equipo7!H34</f>
        <v>0</v>
      </c>
      <c r="J143" s="30">
        <f>+equipo7!I34</f>
        <v>0</v>
      </c>
      <c r="K143" s="30">
        <f>+equipo7!J34</f>
        <v>0</v>
      </c>
      <c r="L143" s="30">
        <f>+equipo7!K34</f>
        <v>0</v>
      </c>
      <c r="M143" s="30">
        <f>+equipo7!L34</f>
        <v>0</v>
      </c>
      <c r="N143" s="30">
        <f>+equipo7!M34</f>
        <v>0</v>
      </c>
      <c r="O143" s="30">
        <f>+equipo7!N34</f>
        <v>0</v>
      </c>
      <c r="P143" s="30">
        <f>+equipo7!O34</f>
        <v>0</v>
      </c>
      <c r="Q143" s="30">
        <f>+equipo7!P34</f>
        <v>0</v>
      </c>
      <c r="R143" s="30">
        <f>+equipo7!Q34</f>
        <v>1</v>
      </c>
      <c r="S143" s="30">
        <f>+equipo7!R34</f>
        <v>4</v>
      </c>
      <c r="T143" s="30">
        <f>+equipo7!S34</f>
        <v>0</v>
      </c>
      <c r="U143" s="30">
        <f>+equipo7!T34</f>
        <v>250</v>
      </c>
      <c r="V143" s="30">
        <f>+equipo7!U34</f>
        <v>250</v>
      </c>
    </row>
    <row r="144" spans="1:22" x14ac:dyDescent="0.25">
      <c r="A144" s="30" t="str">
        <f>+equipo7!A35</f>
        <v>ALEXANDER HERNANDEZ</v>
      </c>
      <c r="B144" s="30" t="str">
        <f>+equipo7!B35</f>
        <v/>
      </c>
      <c r="C144" s="31" t="str">
        <f>+equipo7!$A$6</f>
        <v>equipo7</v>
      </c>
      <c r="D144" s="30">
        <f>+equipo7!C35</f>
        <v>0</v>
      </c>
      <c r="E144" s="30">
        <f>+equipo7!D35</f>
        <v>1</v>
      </c>
      <c r="F144" s="30">
        <f>+equipo7!E35</f>
        <v>0</v>
      </c>
      <c r="G144" s="30">
        <f>+equipo7!F35</f>
        <v>0</v>
      </c>
      <c r="H144" s="30">
        <f>+equipo7!G35</f>
        <v>0</v>
      </c>
      <c r="I144" s="30">
        <f>+equipo7!H35</f>
        <v>0</v>
      </c>
      <c r="J144" s="30">
        <f>+equipo7!I35</f>
        <v>1</v>
      </c>
      <c r="K144" s="30">
        <f>+equipo7!J35</f>
        <v>0</v>
      </c>
      <c r="L144" s="30">
        <f>+equipo7!K35</f>
        <v>3</v>
      </c>
      <c r="M144" s="30">
        <f>+equipo7!L35</f>
        <v>3</v>
      </c>
      <c r="N144" s="30">
        <f>+equipo7!M35</f>
        <v>0</v>
      </c>
      <c r="O144" s="30">
        <f>+equipo7!N35</f>
        <v>0</v>
      </c>
      <c r="P144" s="30">
        <f>+equipo7!O35</f>
        <v>0</v>
      </c>
      <c r="Q144" s="30">
        <f>+equipo7!P35</f>
        <v>0</v>
      </c>
      <c r="R144" s="30">
        <f>+equipo7!Q35</f>
        <v>0</v>
      </c>
      <c r="S144" s="30">
        <f>+equipo7!R35</f>
        <v>3</v>
      </c>
      <c r="T144" s="30">
        <f>+equipo7!S35</f>
        <v>0</v>
      </c>
      <c r="U144" s="30">
        <f>+equipo7!T35</f>
        <v>0</v>
      </c>
      <c r="V144" s="30">
        <f>+equipo7!U35</f>
        <v>0</v>
      </c>
    </row>
    <row r="145" spans="1:22" x14ac:dyDescent="0.25">
      <c r="A145" s="30" t="str">
        <f>+equipo7!A36</f>
        <v>DANIEL LIENDO</v>
      </c>
      <c r="B145" s="30" t="str">
        <f>+equipo7!B36</f>
        <v/>
      </c>
      <c r="C145" s="31" t="str">
        <f>+equipo7!$A$6</f>
        <v>equipo7</v>
      </c>
      <c r="D145" s="30">
        <f>+equipo7!C36</f>
        <v>1</v>
      </c>
      <c r="E145" s="30">
        <f>+equipo7!D36</f>
        <v>0</v>
      </c>
      <c r="F145" s="30">
        <f>+equipo7!E36</f>
        <v>0</v>
      </c>
      <c r="G145" s="30">
        <f>+equipo7!F36</f>
        <v>0</v>
      </c>
      <c r="H145" s="30">
        <f>+equipo7!G36</f>
        <v>0</v>
      </c>
      <c r="I145" s="30">
        <f>+equipo7!H36</f>
        <v>0</v>
      </c>
      <c r="J145" s="30">
        <f>+equipo7!I36</f>
        <v>0</v>
      </c>
      <c r="K145" s="30">
        <f>+equipo7!J36</f>
        <v>0</v>
      </c>
      <c r="L145" s="30">
        <f>+equipo7!K36</f>
        <v>0</v>
      </c>
      <c r="M145" s="30">
        <f>+equipo7!L36</f>
        <v>0</v>
      </c>
      <c r="N145" s="30">
        <f>+equipo7!M36</f>
        <v>0</v>
      </c>
      <c r="O145" s="30">
        <f>+equipo7!N36</f>
        <v>0</v>
      </c>
      <c r="P145" s="30">
        <f>+equipo7!O36</f>
        <v>0</v>
      </c>
      <c r="Q145" s="30">
        <f>+equipo7!P36</f>
        <v>0</v>
      </c>
      <c r="R145" s="30">
        <f>+equipo7!Q36</f>
        <v>0</v>
      </c>
      <c r="S145" s="30">
        <f>+equipo7!R36</f>
        <v>1</v>
      </c>
      <c r="T145" s="30">
        <f>+equipo7!S36</f>
        <v>0</v>
      </c>
      <c r="U145" s="30">
        <f>+equipo7!T36</f>
        <v>0</v>
      </c>
      <c r="V145" s="30">
        <f>+equipo7!U36</f>
        <v>0</v>
      </c>
    </row>
    <row r="146" spans="1:22" x14ac:dyDescent="0.25">
      <c r="A146" s="30" t="str">
        <f>+equipo7!A37</f>
        <v>SEBASTIAN MUJICA</v>
      </c>
      <c r="B146" s="30" t="str">
        <f>+equipo7!B37</f>
        <v/>
      </c>
      <c r="C146" s="31" t="str">
        <f>+equipo7!$A$6</f>
        <v>equipo7</v>
      </c>
      <c r="D146" s="30">
        <f>+equipo7!C37</f>
        <v>2</v>
      </c>
      <c r="E146" s="30">
        <f>+equipo7!D37</f>
        <v>0</v>
      </c>
      <c r="F146" s="30">
        <f>+equipo7!E37</f>
        <v>0</v>
      </c>
      <c r="G146" s="30">
        <f>+equipo7!F37</f>
        <v>0</v>
      </c>
      <c r="H146" s="30">
        <f>+equipo7!G37</f>
        <v>0</v>
      </c>
      <c r="I146" s="30">
        <f>+equipo7!H37</f>
        <v>0</v>
      </c>
      <c r="J146" s="30">
        <f>+equipo7!I37</f>
        <v>0</v>
      </c>
      <c r="K146" s="30">
        <f>+equipo7!J37</f>
        <v>1</v>
      </c>
      <c r="L146" s="30">
        <f>+equipo7!K37</f>
        <v>0</v>
      </c>
      <c r="M146" s="30">
        <f>+equipo7!L37</f>
        <v>0</v>
      </c>
      <c r="N146" s="30">
        <f>+equipo7!M37</f>
        <v>0</v>
      </c>
      <c r="O146" s="30">
        <f>+equipo7!N37</f>
        <v>0</v>
      </c>
      <c r="P146" s="30">
        <f>+equipo7!O37</f>
        <v>0</v>
      </c>
      <c r="Q146" s="30">
        <f>+equipo7!P37</f>
        <v>0</v>
      </c>
      <c r="R146" s="30">
        <f>+equipo7!Q37</f>
        <v>0</v>
      </c>
      <c r="S146" s="30">
        <f>+equipo7!R37</f>
        <v>2</v>
      </c>
      <c r="T146" s="30">
        <f>+equipo7!S37</f>
        <v>0</v>
      </c>
      <c r="U146" s="30">
        <f>+equipo7!T37</f>
        <v>0</v>
      </c>
      <c r="V146" s="30">
        <f>+equipo7!U37</f>
        <v>0</v>
      </c>
    </row>
    <row r="147" spans="1:22" x14ac:dyDescent="0.25">
      <c r="A147" s="30" t="str">
        <f>+equipo7!A38</f>
        <v>ANGEL RODRIGUEZ</v>
      </c>
      <c r="B147" s="30" t="str">
        <f>+equipo7!B38</f>
        <v/>
      </c>
      <c r="C147" s="31" t="str">
        <f>+equipo7!$A$6</f>
        <v>equipo7</v>
      </c>
      <c r="D147" s="30">
        <f>+equipo7!C38</f>
        <v>3</v>
      </c>
      <c r="E147" s="30">
        <f>+equipo7!D38</f>
        <v>2</v>
      </c>
      <c r="F147" s="30">
        <f>+equipo7!E38</f>
        <v>2</v>
      </c>
      <c r="G147" s="30">
        <f>+equipo7!F38</f>
        <v>0</v>
      </c>
      <c r="H147" s="30">
        <f>+equipo7!G38</f>
        <v>0</v>
      </c>
      <c r="I147" s="30">
        <f>+equipo7!H38</f>
        <v>0</v>
      </c>
      <c r="J147" s="30">
        <f>+equipo7!I38</f>
        <v>1</v>
      </c>
      <c r="K147" s="30">
        <f>+equipo7!J38</f>
        <v>1</v>
      </c>
      <c r="L147" s="30">
        <f>+equipo7!K38</f>
        <v>0</v>
      </c>
      <c r="M147" s="30">
        <f>+equipo7!L38</f>
        <v>1</v>
      </c>
      <c r="N147" s="30">
        <f>+equipo7!M38</f>
        <v>0</v>
      </c>
      <c r="O147" s="30">
        <f>+equipo7!N38</f>
        <v>0</v>
      </c>
      <c r="P147" s="30">
        <f>+equipo7!O38</f>
        <v>0</v>
      </c>
      <c r="Q147" s="30">
        <f>+equipo7!P38</f>
        <v>0</v>
      </c>
      <c r="R147" s="30">
        <f>+equipo7!Q38</f>
        <v>2</v>
      </c>
      <c r="S147" s="30">
        <f>+equipo7!R38</f>
        <v>3</v>
      </c>
      <c r="T147" s="30">
        <f>+equipo7!S38</f>
        <v>0</v>
      </c>
      <c r="U147" s="30">
        <f>+equipo7!T38</f>
        <v>666.66666666666663</v>
      </c>
      <c r="V147" s="30">
        <f>+equipo7!U38</f>
        <v>666.66666666666663</v>
      </c>
    </row>
    <row r="148" spans="1:22" x14ac:dyDescent="0.25">
      <c r="A148" s="30" t="str">
        <f>+equipo7!A39</f>
        <v>FRANCISCO MONASTERIO</v>
      </c>
      <c r="B148" s="30" t="str">
        <f>+equipo7!B39</f>
        <v/>
      </c>
      <c r="C148" s="31" t="str">
        <f>+equipo7!$A$6</f>
        <v>equipo7</v>
      </c>
      <c r="D148" s="30">
        <f>+equipo7!C39</f>
        <v>3</v>
      </c>
      <c r="E148" s="30">
        <f>+equipo7!D39</f>
        <v>1</v>
      </c>
      <c r="F148" s="30">
        <f>+equipo7!E39</f>
        <v>2</v>
      </c>
      <c r="G148" s="30">
        <f>+equipo7!F39</f>
        <v>0</v>
      </c>
      <c r="H148" s="30">
        <f>+equipo7!G39</f>
        <v>1</v>
      </c>
      <c r="I148" s="30">
        <f>+equipo7!H39</f>
        <v>0</v>
      </c>
      <c r="J148" s="30">
        <f>+equipo7!I39</f>
        <v>0</v>
      </c>
      <c r="K148" s="30">
        <f>+equipo7!J39</f>
        <v>0</v>
      </c>
      <c r="L148" s="30">
        <f>+equipo7!K39</f>
        <v>0</v>
      </c>
      <c r="M148" s="30">
        <f>+equipo7!L39</f>
        <v>0</v>
      </c>
      <c r="N148" s="30">
        <f>+equipo7!M39</f>
        <v>0</v>
      </c>
      <c r="O148" s="30">
        <f>+equipo7!N39</f>
        <v>0</v>
      </c>
      <c r="P148" s="30">
        <f>+equipo7!O39</f>
        <v>0</v>
      </c>
      <c r="Q148" s="30">
        <f>+equipo7!P39</f>
        <v>0</v>
      </c>
      <c r="R148" s="30">
        <f>+equipo7!Q39</f>
        <v>4</v>
      </c>
      <c r="S148" s="30">
        <f>+equipo7!R39</f>
        <v>3</v>
      </c>
      <c r="T148" s="30">
        <f>+equipo7!S39</f>
        <v>0</v>
      </c>
      <c r="U148" s="30">
        <f>+equipo7!T39</f>
        <v>666.66666666666663</v>
      </c>
      <c r="V148" s="30">
        <f>+equipo7!U39</f>
        <v>1333.3333333333333</v>
      </c>
    </row>
    <row r="149" spans="1:22" x14ac:dyDescent="0.25">
      <c r="A149" s="30" t="str">
        <f>+equipo7!A40</f>
        <v>MARCOS MORALES</v>
      </c>
      <c r="B149" s="30" t="str">
        <f>+equipo7!B40</f>
        <v/>
      </c>
      <c r="C149" s="31" t="str">
        <f>+equipo7!$A$6</f>
        <v>equipo7</v>
      </c>
      <c r="D149" s="30">
        <f>+equipo7!C40</f>
        <v>3</v>
      </c>
      <c r="E149" s="30">
        <f>+equipo7!D40</f>
        <v>2</v>
      </c>
      <c r="F149" s="30">
        <f>+equipo7!E40</f>
        <v>2</v>
      </c>
      <c r="G149" s="30">
        <f>+equipo7!F40</f>
        <v>1</v>
      </c>
      <c r="H149" s="30">
        <f>+equipo7!G40</f>
        <v>0</v>
      </c>
      <c r="I149" s="30">
        <f>+equipo7!H40</f>
        <v>0</v>
      </c>
      <c r="J149" s="30">
        <f>+equipo7!I40</f>
        <v>2</v>
      </c>
      <c r="K149" s="30">
        <f>+equipo7!J40</f>
        <v>1</v>
      </c>
      <c r="L149" s="30">
        <f>+equipo7!K40</f>
        <v>0</v>
      </c>
      <c r="M149" s="30">
        <f>+equipo7!L40</f>
        <v>3</v>
      </c>
      <c r="N149" s="30">
        <f>+equipo7!M40</f>
        <v>0</v>
      </c>
      <c r="O149" s="30">
        <f>+equipo7!N40</f>
        <v>0</v>
      </c>
      <c r="P149" s="30">
        <f>+equipo7!O40</f>
        <v>0</v>
      </c>
      <c r="Q149" s="30">
        <f>+equipo7!P40</f>
        <v>0</v>
      </c>
      <c r="R149" s="30">
        <f>+equipo7!Q40</f>
        <v>3</v>
      </c>
      <c r="S149" s="30">
        <f>+equipo7!R40</f>
        <v>3</v>
      </c>
      <c r="T149" s="30">
        <f>+equipo7!S40</f>
        <v>0</v>
      </c>
      <c r="U149" s="30">
        <f>+equipo7!T40</f>
        <v>666.66666666666663</v>
      </c>
      <c r="V149" s="30">
        <f>+equipo7!U40</f>
        <v>1000</v>
      </c>
    </row>
    <row r="150" spans="1:22" x14ac:dyDescent="0.25">
      <c r="A150" s="30" t="str">
        <f>+equipo7!A41</f>
        <v>ADRIAN MURILLO</v>
      </c>
      <c r="B150" s="30" t="str">
        <f>+equipo7!B41</f>
        <v/>
      </c>
      <c r="C150" s="31" t="str">
        <f>+equipo7!$A$6</f>
        <v>equipo7</v>
      </c>
      <c r="D150" s="30">
        <f>+equipo7!C41</f>
        <v>2</v>
      </c>
      <c r="E150" s="30">
        <f>+equipo7!D41</f>
        <v>1</v>
      </c>
      <c r="F150" s="30">
        <f>+equipo7!E41</f>
        <v>0</v>
      </c>
      <c r="G150" s="30">
        <f>+equipo7!F41</f>
        <v>0</v>
      </c>
      <c r="H150" s="30">
        <f>+equipo7!G41</f>
        <v>0</v>
      </c>
      <c r="I150" s="30">
        <f>+equipo7!H41</f>
        <v>0</v>
      </c>
      <c r="J150" s="30">
        <f>+equipo7!I41</f>
        <v>0</v>
      </c>
      <c r="K150" s="30">
        <f>+equipo7!J41</f>
        <v>1</v>
      </c>
      <c r="L150" s="30">
        <f>+equipo7!K41</f>
        <v>1</v>
      </c>
      <c r="M150" s="30">
        <f>+equipo7!L41</f>
        <v>1</v>
      </c>
      <c r="N150" s="30">
        <f>+equipo7!M41</f>
        <v>0</v>
      </c>
      <c r="O150" s="30">
        <f>+equipo7!N41</f>
        <v>0</v>
      </c>
      <c r="P150" s="30">
        <f>+equipo7!O41</f>
        <v>0</v>
      </c>
      <c r="Q150" s="30">
        <f>+equipo7!P41</f>
        <v>0</v>
      </c>
      <c r="R150" s="30">
        <f>+equipo7!Q41</f>
        <v>0</v>
      </c>
      <c r="S150" s="30">
        <f>+equipo7!R41</f>
        <v>3</v>
      </c>
      <c r="T150" s="30">
        <f>+equipo7!S41</f>
        <v>0</v>
      </c>
      <c r="U150" s="30">
        <f>+equipo7!T41</f>
        <v>0</v>
      </c>
      <c r="V150" s="30">
        <f>+equipo7!U41</f>
        <v>0</v>
      </c>
    </row>
    <row r="151" spans="1:22" x14ac:dyDescent="0.25">
      <c r="A151" s="30" t="str">
        <f>+equipo7!A42</f>
        <v>DARGREYBER RODRIGUEZ</v>
      </c>
      <c r="B151" s="30" t="str">
        <f>+equipo7!B42</f>
        <v/>
      </c>
      <c r="C151" s="31" t="str">
        <f>+equipo7!$A$6</f>
        <v>equipo7</v>
      </c>
      <c r="D151" s="30">
        <f>+equipo7!C42</f>
        <v>0</v>
      </c>
      <c r="E151" s="30">
        <f>+equipo7!D42</f>
        <v>0</v>
      </c>
      <c r="F151" s="30">
        <f>+equipo7!E42</f>
        <v>0</v>
      </c>
      <c r="G151" s="30">
        <f>+equipo7!F42</f>
        <v>0</v>
      </c>
      <c r="H151" s="30">
        <f>+equipo7!G42</f>
        <v>0</v>
      </c>
      <c r="I151" s="30">
        <f>+equipo7!H42</f>
        <v>0</v>
      </c>
      <c r="J151" s="30">
        <f>+equipo7!I42</f>
        <v>0</v>
      </c>
      <c r="K151" s="30">
        <f>+equipo7!J42</f>
        <v>0</v>
      </c>
      <c r="L151" s="30">
        <f>+equipo7!K42</f>
        <v>0</v>
      </c>
      <c r="M151" s="30">
        <f>+equipo7!L42</f>
        <v>0</v>
      </c>
      <c r="N151" s="30">
        <f>+equipo7!M42</f>
        <v>0</v>
      </c>
      <c r="O151" s="30">
        <f>+equipo7!N42</f>
        <v>0</v>
      </c>
      <c r="P151" s="30">
        <f>+equipo7!O42</f>
        <v>0</v>
      </c>
      <c r="Q151" s="30">
        <f>+equipo7!P42</f>
        <v>0</v>
      </c>
      <c r="R151" s="30">
        <f>+equipo7!Q42</f>
        <v>0</v>
      </c>
      <c r="S151" s="30">
        <f>+equipo7!R42</f>
        <v>0</v>
      </c>
      <c r="T151" s="30">
        <f>+equipo7!S42</f>
        <v>0</v>
      </c>
      <c r="U151" s="30">
        <f>+equipo7!T42</f>
        <v>0</v>
      </c>
      <c r="V151" s="30">
        <f>+equipo7!U42</f>
        <v>0</v>
      </c>
    </row>
    <row r="152" spans="1:22" x14ac:dyDescent="0.25">
      <c r="A152" s="30" t="str">
        <f>+equipo7!A43</f>
        <v>JENSE FLORES</v>
      </c>
      <c r="B152" s="30" t="str">
        <f>+equipo7!B43</f>
        <v/>
      </c>
      <c r="C152" s="31" t="str">
        <f>+equipo7!$A$6</f>
        <v>equipo7</v>
      </c>
      <c r="D152" s="30">
        <f>+equipo7!C43</f>
        <v>0</v>
      </c>
      <c r="E152" s="30">
        <f>+equipo7!D43</f>
        <v>0</v>
      </c>
      <c r="F152" s="30">
        <f>+equipo7!E43</f>
        <v>0</v>
      </c>
      <c r="G152" s="30">
        <f>+equipo7!F43</f>
        <v>0</v>
      </c>
      <c r="H152" s="30">
        <f>+equipo7!G43</f>
        <v>0</v>
      </c>
      <c r="I152" s="30">
        <f>+equipo7!H43</f>
        <v>0</v>
      </c>
      <c r="J152" s="30">
        <f>+equipo7!I43</f>
        <v>0</v>
      </c>
      <c r="K152" s="30">
        <f>+equipo7!J43</f>
        <v>0</v>
      </c>
      <c r="L152" s="30">
        <f>+equipo7!K43</f>
        <v>0</v>
      </c>
      <c r="M152" s="30">
        <f>+equipo7!L43</f>
        <v>0</v>
      </c>
      <c r="N152" s="30">
        <f>+equipo7!M43</f>
        <v>0</v>
      </c>
      <c r="O152" s="30">
        <f>+equipo7!N43</f>
        <v>0</v>
      </c>
      <c r="P152" s="30">
        <f>+equipo7!O43</f>
        <v>0</v>
      </c>
      <c r="Q152" s="30">
        <f>+equipo7!P43</f>
        <v>0</v>
      </c>
      <c r="R152" s="30">
        <f>+equipo7!Q43</f>
        <v>0</v>
      </c>
      <c r="S152" s="30">
        <f>+equipo7!R43</f>
        <v>0</v>
      </c>
      <c r="T152" s="30">
        <f>+equipo7!S43</f>
        <v>0</v>
      </c>
      <c r="U152" s="30">
        <f>+equipo7!T43</f>
        <v>0</v>
      </c>
      <c r="V152" s="30">
        <f>+equipo7!U43</f>
        <v>0</v>
      </c>
    </row>
    <row r="153" spans="1:22" x14ac:dyDescent="0.25">
      <c r="A153" s="30" t="str">
        <f>+equipo7!A44</f>
        <v/>
      </c>
      <c r="B153" s="30" t="str">
        <f>+equipo7!B44</f>
        <v/>
      </c>
      <c r="C153" s="31" t="str">
        <f>+equipo7!$A$6</f>
        <v>equipo7</v>
      </c>
      <c r="D153" s="30">
        <f>+equipo7!C44</f>
        <v>0</v>
      </c>
      <c r="E153" s="30">
        <f>+equipo7!D44</f>
        <v>0</v>
      </c>
      <c r="F153" s="30">
        <f>+equipo7!E44</f>
        <v>0</v>
      </c>
      <c r="G153" s="30">
        <f>+equipo7!F44</f>
        <v>0</v>
      </c>
      <c r="H153" s="30">
        <f>+equipo7!G44</f>
        <v>0</v>
      </c>
      <c r="I153" s="30">
        <f>+equipo7!H44</f>
        <v>0</v>
      </c>
      <c r="J153" s="30">
        <f>+equipo7!I44</f>
        <v>0</v>
      </c>
      <c r="K153" s="30">
        <f>+equipo7!J44</f>
        <v>0</v>
      </c>
      <c r="L153" s="30">
        <f>+equipo7!K44</f>
        <v>0</v>
      </c>
      <c r="M153" s="30">
        <f>+equipo7!L44</f>
        <v>0</v>
      </c>
      <c r="N153" s="30">
        <f>+equipo7!M44</f>
        <v>0</v>
      </c>
      <c r="O153" s="30">
        <f>+equipo7!N44</f>
        <v>0</v>
      </c>
      <c r="P153" s="30">
        <f>+equipo7!O44</f>
        <v>0</v>
      </c>
      <c r="Q153" s="30">
        <f>+equipo7!P44</f>
        <v>0</v>
      </c>
      <c r="R153" s="30">
        <f>+equipo7!Q44</f>
        <v>0</v>
      </c>
      <c r="S153" s="30">
        <f>+equipo7!R44</f>
        <v>0</v>
      </c>
      <c r="T153" s="30">
        <f>+equipo7!S44</f>
        <v>0</v>
      </c>
      <c r="U153" s="30">
        <f>+equipo7!T44</f>
        <v>0</v>
      </c>
      <c r="V153" s="30">
        <f>+equipo7!U44</f>
        <v>0</v>
      </c>
    </row>
    <row r="154" spans="1:22" x14ac:dyDescent="0.25">
      <c r="A154" s="30" t="str">
        <f>+equipo7!A45</f>
        <v/>
      </c>
      <c r="B154" s="30" t="str">
        <f>+equipo7!B45</f>
        <v/>
      </c>
      <c r="C154" s="31" t="str">
        <f>+equipo7!$A$6</f>
        <v>equipo7</v>
      </c>
      <c r="D154" s="30">
        <f>+equipo7!C45</f>
        <v>0</v>
      </c>
      <c r="E154" s="30">
        <f>+equipo7!D45</f>
        <v>0</v>
      </c>
      <c r="F154" s="30">
        <f>+equipo7!E45</f>
        <v>0</v>
      </c>
      <c r="G154" s="30">
        <f>+equipo7!F45</f>
        <v>0</v>
      </c>
      <c r="H154" s="30">
        <f>+equipo7!G45</f>
        <v>0</v>
      </c>
      <c r="I154" s="30">
        <f>+equipo7!H45</f>
        <v>0</v>
      </c>
      <c r="J154" s="30">
        <f>+equipo7!I45</f>
        <v>0</v>
      </c>
      <c r="K154" s="30">
        <f>+equipo7!J45</f>
        <v>0</v>
      </c>
      <c r="L154" s="30">
        <f>+equipo7!K45</f>
        <v>0</v>
      </c>
      <c r="M154" s="30">
        <f>+equipo7!L45</f>
        <v>0</v>
      </c>
      <c r="N154" s="30">
        <f>+equipo7!M45</f>
        <v>0</v>
      </c>
      <c r="O154" s="30">
        <f>+equipo7!N45</f>
        <v>0</v>
      </c>
      <c r="P154" s="30">
        <f>+equipo7!O45</f>
        <v>0</v>
      </c>
      <c r="Q154" s="30">
        <f>+equipo7!P45</f>
        <v>0</v>
      </c>
      <c r="R154" s="30">
        <f>+equipo7!Q45</f>
        <v>0</v>
      </c>
      <c r="S154" s="30">
        <f>+equipo7!R45</f>
        <v>0</v>
      </c>
      <c r="T154" s="30">
        <f>+equipo7!S45</f>
        <v>0</v>
      </c>
      <c r="U154" s="30">
        <f>+equipo7!T45</f>
        <v>0</v>
      </c>
      <c r="V154" s="30">
        <f>+equipo7!U45</f>
        <v>0</v>
      </c>
    </row>
    <row r="155" spans="1:22" x14ac:dyDescent="0.25">
      <c r="A155" s="30" t="str">
        <f>+equipo7!A46</f>
        <v/>
      </c>
      <c r="B155" s="30" t="str">
        <f>+equipo7!B46</f>
        <v/>
      </c>
      <c r="C155" s="31" t="str">
        <f>+equipo7!$A$6</f>
        <v>equipo7</v>
      </c>
      <c r="D155" s="30">
        <f>+equipo7!C46</f>
        <v>0</v>
      </c>
      <c r="E155" s="30">
        <f>+equipo7!D46</f>
        <v>0</v>
      </c>
      <c r="F155" s="30">
        <f>+equipo7!E46</f>
        <v>0</v>
      </c>
      <c r="G155" s="30">
        <f>+equipo7!F46</f>
        <v>0</v>
      </c>
      <c r="H155" s="30">
        <f>+equipo7!G46</f>
        <v>0</v>
      </c>
      <c r="I155" s="30">
        <f>+equipo7!H46</f>
        <v>0</v>
      </c>
      <c r="J155" s="30">
        <f>+equipo7!I46</f>
        <v>0</v>
      </c>
      <c r="K155" s="30">
        <f>+equipo7!J46</f>
        <v>0</v>
      </c>
      <c r="L155" s="30">
        <f>+equipo7!K46</f>
        <v>0</v>
      </c>
      <c r="M155" s="30">
        <f>+equipo7!L46</f>
        <v>0</v>
      </c>
      <c r="N155" s="30">
        <f>+equipo7!M46</f>
        <v>0</v>
      </c>
      <c r="O155" s="30">
        <f>+equipo7!N46</f>
        <v>0</v>
      </c>
      <c r="P155" s="30">
        <f>+equipo7!O46</f>
        <v>0</v>
      </c>
      <c r="Q155" s="30">
        <f>+equipo7!P46</f>
        <v>0</v>
      </c>
      <c r="R155" s="30">
        <f>+equipo7!Q46</f>
        <v>0</v>
      </c>
      <c r="S155" s="30">
        <f>+equipo7!R46</f>
        <v>0</v>
      </c>
      <c r="T155" s="30">
        <f>+equipo7!S46</f>
        <v>0</v>
      </c>
      <c r="U155" s="30">
        <f>+equipo7!T46</f>
        <v>0</v>
      </c>
      <c r="V155" s="30">
        <f>+equipo7!U46</f>
        <v>0</v>
      </c>
    </row>
    <row r="156" spans="1:22" x14ac:dyDescent="0.25">
      <c r="A156" s="30" t="str">
        <f>+equipo7!A47</f>
        <v/>
      </c>
      <c r="B156" s="30" t="str">
        <f>+equipo7!B47</f>
        <v/>
      </c>
      <c r="C156" s="31" t="str">
        <f>+equipo7!$A$6</f>
        <v>equipo7</v>
      </c>
      <c r="D156" s="30">
        <f>+equipo7!C47</f>
        <v>0</v>
      </c>
      <c r="E156" s="30">
        <f>+equipo7!D47</f>
        <v>0</v>
      </c>
      <c r="F156" s="30">
        <f>+equipo7!E47</f>
        <v>0</v>
      </c>
      <c r="G156" s="30">
        <f>+equipo7!F47</f>
        <v>0</v>
      </c>
      <c r="H156" s="30">
        <f>+equipo7!G47</f>
        <v>0</v>
      </c>
      <c r="I156" s="30">
        <f>+equipo7!H47</f>
        <v>0</v>
      </c>
      <c r="J156" s="30">
        <f>+equipo7!I47</f>
        <v>0</v>
      </c>
      <c r="K156" s="30">
        <f>+equipo7!J47</f>
        <v>0</v>
      </c>
      <c r="L156" s="30">
        <f>+equipo7!K47</f>
        <v>0</v>
      </c>
      <c r="M156" s="30">
        <f>+equipo7!L47</f>
        <v>0</v>
      </c>
      <c r="N156" s="30">
        <f>+equipo7!M47</f>
        <v>0</v>
      </c>
      <c r="O156" s="30">
        <f>+equipo7!N47</f>
        <v>0</v>
      </c>
      <c r="P156" s="30">
        <f>+equipo7!O47</f>
        <v>0</v>
      </c>
      <c r="Q156" s="30">
        <f>+equipo7!P47</f>
        <v>0</v>
      </c>
      <c r="R156" s="30">
        <f>+equipo7!Q47</f>
        <v>0</v>
      </c>
      <c r="S156" s="30">
        <f>+equipo7!R47</f>
        <v>0</v>
      </c>
      <c r="T156" s="30">
        <f>+equipo7!S47</f>
        <v>0</v>
      </c>
      <c r="U156" s="30">
        <f>+equipo7!T47</f>
        <v>0</v>
      </c>
      <c r="V156" s="30">
        <f>+equipo7!U47</f>
        <v>0</v>
      </c>
    </row>
    <row r="157" spans="1:22" x14ac:dyDescent="0.25">
      <c r="A157" s="30" t="str">
        <f>+equipo7!A48</f>
        <v/>
      </c>
      <c r="B157" s="30" t="str">
        <f>+equipo7!B48</f>
        <v/>
      </c>
      <c r="C157" s="31" t="str">
        <f>+equipo7!$A$6</f>
        <v>equipo7</v>
      </c>
      <c r="D157" s="30">
        <f>+equipo7!C48</f>
        <v>0</v>
      </c>
      <c r="E157" s="30">
        <f>+equipo7!D48</f>
        <v>0</v>
      </c>
      <c r="F157" s="30">
        <f>+equipo7!E48</f>
        <v>0</v>
      </c>
      <c r="G157" s="30">
        <f>+equipo7!F48</f>
        <v>0</v>
      </c>
      <c r="H157" s="30">
        <f>+equipo7!G48</f>
        <v>0</v>
      </c>
      <c r="I157" s="30">
        <f>+equipo7!H48</f>
        <v>0</v>
      </c>
      <c r="J157" s="30">
        <f>+equipo7!I48</f>
        <v>0</v>
      </c>
      <c r="K157" s="30">
        <f>+equipo7!J48</f>
        <v>0</v>
      </c>
      <c r="L157" s="30">
        <f>+equipo7!K48</f>
        <v>0</v>
      </c>
      <c r="M157" s="30">
        <f>+equipo7!L48</f>
        <v>0</v>
      </c>
      <c r="N157" s="30">
        <f>+equipo7!M48</f>
        <v>0</v>
      </c>
      <c r="O157" s="30">
        <f>+equipo7!N48</f>
        <v>0</v>
      </c>
      <c r="P157" s="30">
        <f>+equipo7!O48</f>
        <v>0</v>
      </c>
      <c r="Q157" s="30">
        <f>+equipo7!P48</f>
        <v>0</v>
      </c>
      <c r="R157" s="30">
        <f>+equipo7!Q48</f>
        <v>0</v>
      </c>
      <c r="S157" s="30">
        <f>+equipo7!R48</f>
        <v>0</v>
      </c>
      <c r="T157" s="30">
        <f>+equipo7!S48</f>
        <v>0</v>
      </c>
      <c r="U157" s="30">
        <f>+equipo7!T48</f>
        <v>0</v>
      </c>
      <c r="V157" s="30">
        <f>+equipo7!U48</f>
        <v>0</v>
      </c>
    </row>
    <row r="158" spans="1:22" x14ac:dyDescent="0.25">
      <c r="A158" s="30" t="str">
        <f>+equipo7!A49</f>
        <v/>
      </c>
      <c r="B158" s="30" t="str">
        <f>+equipo7!B49</f>
        <v/>
      </c>
      <c r="C158" s="31" t="str">
        <f>+equipo7!$A$6</f>
        <v>equipo7</v>
      </c>
      <c r="D158" s="30">
        <f>+equipo7!C49</f>
        <v>0</v>
      </c>
      <c r="E158" s="30">
        <f>+equipo7!D49</f>
        <v>0</v>
      </c>
      <c r="F158" s="30">
        <f>+equipo7!E49</f>
        <v>0</v>
      </c>
      <c r="G158" s="30">
        <f>+equipo7!F49</f>
        <v>0</v>
      </c>
      <c r="H158" s="30">
        <f>+equipo7!G49</f>
        <v>0</v>
      </c>
      <c r="I158" s="30">
        <f>+equipo7!H49</f>
        <v>0</v>
      </c>
      <c r="J158" s="30">
        <f>+equipo7!I49</f>
        <v>0</v>
      </c>
      <c r="K158" s="30">
        <f>+equipo7!J49</f>
        <v>0</v>
      </c>
      <c r="L158" s="30">
        <f>+equipo7!K49</f>
        <v>0</v>
      </c>
      <c r="M158" s="30">
        <f>+equipo7!L49</f>
        <v>0</v>
      </c>
      <c r="N158" s="30">
        <f>+equipo7!M49</f>
        <v>0</v>
      </c>
      <c r="O158" s="30">
        <f>+equipo7!N49</f>
        <v>0</v>
      </c>
      <c r="P158" s="30">
        <f>+equipo7!O49</f>
        <v>0</v>
      </c>
      <c r="Q158" s="30">
        <f>+equipo7!P49</f>
        <v>0</v>
      </c>
      <c r="R158" s="30">
        <f>+equipo7!Q49</f>
        <v>0</v>
      </c>
      <c r="S158" s="30">
        <f>+equipo7!R49</f>
        <v>0</v>
      </c>
      <c r="T158" s="30">
        <f>+equipo7!S49</f>
        <v>0</v>
      </c>
      <c r="U158" s="30">
        <f>+equipo7!T49</f>
        <v>0</v>
      </c>
      <c r="V158" s="30">
        <f>+equipo7!U49</f>
        <v>0</v>
      </c>
    </row>
    <row r="159" spans="1:22" x14ac:dyDescent="0.25">
      <c r="A159" s="30" t="str">
        <f>+equipo7!A50</f>
        <v/>
      </c>
      <c r="B159" s="30" t="str">
        <f>+equipo7!B50</f>
        <v/>
      </c>
      <c r="C159" s="31" t="str">
        <f>+equipo7!$A$6</f>
        <v>equipo7</v>
      </c>
      <c r="D159" s="30">
        <f>+equipo7!C50</f>
        <v>0</v>
      </c>
      <c r="E159" s="30">
        <f>+equipo7!D50</f>
        <v>0</v>
      </c>
      <c r="F159" s="30">
        <f>+equipo7!E50</f>
        <v>0</v>
      </c>
      <c r="G159" s="30">
        <f>+equipo7!F50</f>
        <v>0</v>
      </c>
      <c r="H159" s="30">
        <f>+equipo7!G50</f>
        <v>0</v>
      </c>
      <c r="I159" s="30">
        <f>+equipo7!H50</f>
        <v>0</v>
      </c>
      <c r="J159" s="30">
        <f>+equipo7!I50</f>
        <v>0</v>
      </c>
      <c r="K159" s="30">
        <f>+equipo7!J50</f>
        <v>0</v>
      </c>
      <c r="L159" s="30">
        <f>+equipo7!K50</f>
        <v>0</v>
      </c>
      <c r="M159" s="30">
        <f>+equipo7!L50</f>
        <v>0</v>
      </c>
      <c r="N159" s="30">
        <f>+equipo7!M50</f>
        <v>0</v>
      </c>
      <c r="O159" s="30">
        <f>+equipo7!N50</f>
        <v>0</v>
      </c>
      <c r="P159" s="30">
        <f>+equipo7!O50</f>
        <v>0</v>
      </c>
      <c r="Q159" s="30">
        <f>+equipo7!P50</f>
        <v>0</v>
      </c>
      <c r="R159" s="30">
        <f>+equipo7!Q50</f>
        <v>0</v>
      </c>
      <c r="S159" s="30">
        <f>+equipo7!R50</f>
        <v>0</v>
      </c>
      <c r="T159" s="30">
        <f>+equipo7!S50</f>
        <v>0</v>
      </c>
      <c r="U159" s="30">
        <f>+equipo7!T50</f>
        <v>0</v>
      </c>
      <c r="V159" s="30">
        <f>+equipo7!U50</f>
        <v>0</v>
      </c>
    </row>
    <row r="160" spans="1:22" x14ac:dyDescent="0.25">
      <c r="A160" s="30" t="str">
        <f>+equipo8!A32</f>
        <v>ALI GOMEZ EQUIPO8</v>
      </c>
      <c r="B160" s="30">
        <f>+equipo8!B32</f>
        <v>8</v>
      </c>
      <c r="C160" s="31" t="str">
        <f>+equipo8!$A$6</f>
        <v>equipo8</v>
      </c>
      <c r="D160" s="30">
        <f>+equipo8!C32</f>
        <v>4</v>
      </c>
      <c r="E160" s="30">
        <f>+equipo8!D32</f>
        <v>2</v>
      </c>
      <c r="F160" s="30">
        <f>+equipo8!E32</f>
        <v>1</v>
      </c>
      <c r="G160" s="30">
        <f>+equipo8!F32</f>
        <v>0</v>
      </c>
      <c r="H160" s="30">
        <f>+equipo8!G32</f>
        <v>0</v>
      </c>
      <c r="I160" s="30">
        <f>+equipo8!H32</f>
        <v>0</v>
      </c>
      <c r="J160" s="30">
        <f>+equipo8!I32</f>
        <v>0</v>
      </c>
      <c r="K160" s="30">
        <f>+equipo8!J32</f>
        <v>0</v>
      </c>
      <c r="L160" s="30">
        <f>+equipo8!K32</f>
        <v>0</v>
      </c>
      <c r="M160" s="30">
        <f>+equipo8!L32</f>
        <v>1</v>
      </c>
      <c r="N160" s="30">
        <f>+equipo8!M32</f>
        <v>0</v>
      </c>
      <c r="O160" s="30">
        <f>+equipo8!N32</f>
        <v>0</v>
      </c>
      <c r="P160" s="30">
        <f>+equipo8!O32</f>
        <v>0</v>
      </c>
      <c r="Q160" s="30">
        <f>+equipo8!P32</f>
        <v>0</v>
      </c>
      <c r="R160" s="30">
        <f>+equipo8!Q32</f>
        <v>1</v>
      </c>
      <c r="S160" s="30">
        <f>+equipo8!R32</f>
        <v>4</v>
      </c>
      <c r="T160" s="30">
        <f>+equipo8!S32</f>
        <v>0</v>
      </c>
      <c r="U160" s="30">
        <f>+equipo8!T32</f>
        <v>250</v>
      </c>
      <c r="V160" s="30">
        <f>+equipo8!U32</f>
        <v>250</v>
      </c>
    </row>
    <row r="161" spans="1:22" x14ac:dyDescent="0.25">
      <c r="A161" s="30" t="str">
        <f>+equipo8!A33</f>
        <v>JOSEPH MENDOZA</v>
      </c>
      <c r="B161" s="30">
        <f>+equipo8!B33</f>
        <v>99</v>
      </c>
      <c r="C161" s="31" t="str">
        <f>+equipo8!$A$6</f>
        <v>equipo8</v>
      </c>
      <c r="D161" s="30">
        <f>+equipo8!C33</f>
        <v>3</v>
      </c>
      <c r="E161" s="30">
        <f>+equipo8!D33</f>
        <v>1</v>
      </c>
      <c r="F161" s="30">
        <f>+equipo8!E33</f>
        <v>1</v>
      </c>
      <c r="G161" s="30">
        <f>+equipo8!F33</f>
        <v>1</v>
      </c>
      <c r="H161" s="30">
        <f>+equipo8!G33</f>
        <v>0</v>
      </c>
      <c r="I161" s="30">
        <f>+equipo8!H33</f>
        <v>0</v>
      </c>
      <c r="J161" s="30">
        <f>+equipo8!I33</f>
        <v>0</v>
      </c>
      <c r="K161" s="30">
        <f>+equipo8!J33</f>
        <v>0</v>
      </c>
      <c r="L161" s="30">
        <f>+equipo8!K33</f>
        <v>1</v>
      </c>
      <c r="M161" s="30">
        <f>+equipo8!L33</f>
        <v>0</v>
      </c>
      <c r="N161" s="30">
        <f>+equipo8!M33</f>
        <v>0</v>
      </c>
      <c r="O161" s="30">
        <f>+equipo8!N33</f>
        <v>0</v>
      </c>
      <c r="P161" s="30">
        <f>+equipo8!O33</f>
        <v>0</v>
      </c>
      <c r="Q161" s="30">
        <f>+equipo8!P33</f>
        <v>0</v>
      </c>
      <c r="R161" s="30">
        <f>+equipo8!Q33</f>
        <v>2</v>
      </c>
      <c r="S161" s="30">
        <f>+equipo8!R33</f>
        <v>4</v>
      </c>
      <c r="T161" s="30">
        <f>+equipo8!S33</f>
        <v>0</v>
      </c>
      <c r="U161" s="30">
        <f>+equipo8!T33</f>
        <v>333.33333333333331</v>
      </c>
      <c r="V161" s="30">
        <f>+equipo8!U33</f>
        <v>666.66666666666663</v>
      </c>
    </row>
    <row r="162" spans="1:22" x14ac:dyDescent="0.25">
      <c r="A162" s="30" t="str">
        <f>+equipo8!A34</f>
        <v>ABRAHAN RODRIGUZ</v>
      </c>
      <c r="B162" s="30" t="str">
        <f>+equipo8!B34</f>
        <v/>
      </c>
      <c r="C162" s="31" t="str">
        <f>+equipo8!$A$6</f>
        <v>equipo8</v>
      </c>
      <c r="D162" s="30">
        <f>+equipo8!C34</f>
        <v>4</v>
      </c>
      <c r="E162" s="30">
        <f>+equipo8!D34</f>
        <v>0</v>
      </c>
      <c r="F162" s="30">
        <f>+equipo8!E34</f>
        <v>1</v>
      </c>
      <c r="G162" s="30">
        <f>+equipo8!F34</f>
        <v>0</v>
      </c>
      <c r="H162" s="30">
        <f>+equipo8!G34</f>
        <v>0</v>
      </c>
      <c r="I162" s="30">
        <f>+equipo8!H34</f>
        <v>0</v>
      </c>
      <c r="J162" s="30">
        <f>+equipo8!I34</f>
        <v>0</v>
      </c>
      <c r="K162" s="30">
        <f>+equipo8!J34</f>
        <v>0</v>
      </c>
      <c r="L162" s="30">
        <f>+equipo8!K34</f>
        <v>0</v>
      </c>
      <c r="M162" s="30">
        <f>+equipo8!L34</f>
        <v>0</v>
      </c>
      <c r="N162" s="30">
        <f>+equipo8!M34</f>
        <v>0</v>
      </c>
      <c r="O162" s="30">
        <f>+equipo8!N34</f>
        <v>0</v>
      </c>
      <c r="P162" s="30">
        <f>+equipo8!O34</f>
        <v>0</v>
      </c>
      <c r="Q162" s="30">
        <f>+equipo8!P34</f>
        <v>0</v>
      </c>
      <c r="R162" s="30">
        <f>+equipo8!Q34</f>
        <v>1</v>
      </c>
      <c r="S162" s="30">
        <f>+equipo8!R34</f>
        <v>4</v>
      </c>
      <c r="T162" s="30">
        <f>+equipo8!S34</f>
        <v>0</v>
      </c>
      <c r="U162" s="30">
        <f>+equipo8!T34</f>
        <v>250</v>
      </c>
      <c r="V162" s="30">
        <f>+equipo8!U34</f>
        <v>250</v>
      </c>
    </row>
    <row r="163" spans="1:22" x14ac:dyDescent="0.25">
      <c r="A163" s="30" t="str">
        <f>+equipo8!A35</f>
        <v>ALEXANDER HERNANDEZ</v>
      </c>
      <c r="B163" s="30" t="str">
        <f>+equipo8!B35</f>
        <v/>
      </c>
      <c r="C163" s="31" t="str">
        <f>+equipo8!$A$6</f>
        <v>equipo8</v>
      </c>
      <c r="D163" s="30">
        <f>+equipo8!C35</f>
        <v>0</v>
      </c>
      <c r="E163" s="30">
        <f>+equipo8!D35</f>
        <v>1</v>
      </c>
      <c r="F163" s="30">
        <f>+equipo8!E35</f>
        <v>0</v>
      </c>
      <c r="G163" s="30">
        <f>+equipo8!F35</f>
        <v>0</v>
      </c>
      <c r="H163" s="30">
        <f>+equipo8!G35</f>
        <v>0</v>
      </c>
      <c r="I163" s="30">
        <f>+equipo8!H35</f>
        <v>0</v>
      </c>
      <c r="J163" s="30">
        <f>+equipo8!I35</f>
        <v>1</v>
      </c>
      <c r="K163" s="30">
        <f>+equipo8!J35</f>
        <v>0</v>
      </c>
      <c r="L163" s="30">
        <f>+equipo8!K35</f>
        <v>3</v>
      </c>
      <c r="M163" s="30">
        <f>+equipo8!L35</f>
        <v>3</v>
      </c>
      <c r="N163" s="30">
        <f>+equipo8!M35</f>
        <v>0</v>
      </c>
      <c r="O163" s="30">
        <f>+equipo8!N35</f>
        <v>0</v>
      </c>
      <c r="P163" s="30">
        <f>+equipo8!O35</f>
        <v>0</v>
      </c>
      <c r="Q163" s="30">
        <f>+equipo8!P35</f>
        <v>0</v>
      </c>
      <c r="R163" s="30">
        <f>+equipo8!Q35</f>
        <v>0</v>
      </c>
      <c r="S163" s="30">
        <f>+equipo8!R35</f>
        <v>3</v>
      </c>
      <c r="T163" s="30">
        <f>+equipo8!S35</f>
        <v>0</v>
      </c>
      <c r="U163" s="30">
        <f>+equipo8!T35</f>
        <v>0</v>
      </c>
      <c r="V163" s="30">
        <f>+equipo8!U35</f>
        <v>0</v>
      </c>
    </row>
    <row r="164" spans="1:22" x14ac:dyDescent="0.25">
      <c r="A164" s="30" t="str">
        <f>+equipo8!A36</f>
        <v>DANIEL LIENDO</v>
      </c>
      <c r="B164" s="30" t="str">
        <f>+equipo8!B36</f>
        <v/>
      </c>
      <c r="C164" s="31" t="str">
        <f>+equipo8!$A$6</f>
        <v>equipo8</v>
      </c>
      <c r="D164" s="30">
        <f>+equipo8!C36</f>
        <v>1</v>
      </c>
      <c r="E164" s="30">
        <f>+equipo8!D36</f>
        <v>0</v>
      </c>
      <c r="F164" s="30">
        <f>+equipo8!E36</f>
        <v>0</v>
      </c>
      <c r="G164" s="30">
        <f>+equipo8!F36</f>
        <v>0</v>
      </c>
      <c r="H164" s="30">
        <f>+equipo8!G36</f>
        <v>0</v>
      </c>
      <c r="I164" s="30">
        <f>+equipo8!H36</f>
        <v>0</v>
      </c>
      <c r="J164" s="30">
        <f>+equipo8!I36</f>
        <v>0</v>
      </c>
      <c r="K164" s="30">
        <f>+equipo8!J36</f>
        <v>0</v>
      </c>
      <c r="L164" s="30">
        <f>+equipo8!K36</f>
        <v>0</v>
      </c>
      <c r="M164" s="30">
        <f>+equipo8!L36</f>
        <v>0</v>
      </c>
      <c r="N164" s="30">
        <f>+equipo8!M36</f>
        <v>0</v>
      </c>
      <c r="O164" s="30">
        <f>+equipo8!N36</f>
        <v>0</v>
      </c>
      <c r="P164" s="30">
        <f>+equipo8!O36</f>
        <v>0</v>
      </c>
      <c r="Q164" s="30">
        <f>+equipo8!P36</f>
        <v>0</v>
      </c>
      <c r="R164" s="30">
        <f>+equipo8!Q36</f>
        <v>0</v>
      </c>
      <c r="S164" s="30">
        <f>+equipo8!R36</f>
        <v>1</v>
      </c>
      <c r="T164" s="30">
        <f>+equipo8!S36</f>
        <v>0</v>
      </c>
      <c r="U164" s="30">
        <f>+equipo8!T36</f>
        <v>0</v>
      </c>
      <c r="V164" s="30">
        <f>+equipo8!U36</f>
        <v>0</v>
      </c>
    </row>
    <row r="165" spans="1:22" x14ac:dyDescent="0.25">
      <c r="A165" s="30" t="str">
        <f>+equipo8!A37</f>
        <v>SEBASTIAN MUJICA</v>
      </c>
      <c r="B165" s="30" t="str">
        <f>+equipo8!B37</f>
        <v/>
      </c>
      <c r="C165" s="31" t="str">
        <f>+equipo8!$A$6</f>
        <v>equipo8</v>
      </c>
      <c r="D165" s="30">
        <f>+equipo8!C37</f>
        <v>2</v>
      </c>
      <c r="E165" s="30">
        <f>+equipo8!D37</f>
        <v>0</v>
      </c>
      <c r="F165" s="30">
        <f>+equipo8!E37</f>
        <v>0</v>
      </c>
      <c r="G165" s="30">
        <f>+equipo8!F37</f>
        <v>0</v>
      </c>
      <c r="H165" s="30">
        <f>+equipo8!G37</f>
        <v>0</v>
      </c>
      <c r="I165" s="30">
        <f>+equipo8!H37</f>
        <v>0</v>
      </c>
      <c r="J165" s="30">
        <f>+equipo8!I37</f>
        <v>0</v>
      </c>
      <c r="K165" s="30">
        <f>+equipo8!J37</f>
        <v>1</v>
      </c>
      <c r="L165" s="30">
        <f>+equipo8!K37</f>
        <v>0</v>
      </c>
      <c r="M165" s="30">
        <f>+equipo8!L37</f>
        <v>0</v>
      </c>
      <c r="N165" s="30">
        <f>+equipo8!M37</f>
        <v>0</v>
      </c>
      <c r="O165" s="30">
        <f>+equipo8!N37</f>
        <v>0</v>
      </c>
      <c r="P165" s="30">
        <f>+equipo8!O37</f>
        <v>0</v>
      </c>
      <c r="Q165" s="30">
        <f>+equipo8!P37</f>
        <v>0</v>
      </c>
      <c r="R165" s="30">
        <f>+equipo8!Q37</f>
        <v>0</v>
      </c>
      <c r="S165" s="30">
        <f>+equipo8!R37</f>
        <v>2</v>
      </c>
      <c r="T165" s="30">
        <f>+equipo8!S37</f>
        <v>0</v>
      </c>
      <c r="U165" s="30">
        <f>+equipo8!T37</f>
        <v>0</v>
      </c>
      <c r="V165" s="30">
        <f>+equipo8!U37</f>
        <v>0</v>
      </c>
    </row>
    <row r="166" spans="1:22" x14ac:dyDescent="0.25">
      <c r="A166" s="30" t="str">
        <f>+equipo8!A38</f>
        <v>ANGEL RODRIGUEZ</v>
      </c>
      <c r="B166" s="30" t="str">
        <f>+equipo8!B38</f>
        <v/>
      </c>
      <c r="C166" s="31" t="str">
        <f>+equipo8!$A$6</f>
        <v>equipo8</v>
      </c>
      <c r="D166" s="30">
        <f>+equipo8!C38</f>
        <v>3</v>
      </c>
      <c r="E166" s="30">
        <f>+equipo8!D38</f>
        <v>2</v>
      </c>
      <c r="F166" s="30">
        <f>+equipo8!E38</f>
        <v>2</v>
      </c>
      <c r="G166" s="30">
        <f>+equipo8!F38</f>
        <v>0</v>
      </c>
      <c r="H166" s="30">
        <f>+equipo8!G38</f>
        <v>0</v>
      </c>
      <c r="I166" s="30">
        <f>+equipo8!H38</f>
        <v>0</v>
      </c>
      <c r="J166" s="30">
        <f>+equipo8!I38</f>
        <v>1</v>
      </c>
      <c r="K166" s="30">
        <f>+equipo8!J38</f>
        <v>1</v>
      </c>
      <c r="L166" s="30">
        <f>+equipo8!K38</f>
        <v>0</v>
      </c>
      <c r="M166" s="30">
        <f>+equipo8!L38</f>
        <v>1</v>
      </c>
      <c r="N166" s="30">
        <f>+equipo8!M38</f>
        <v>0</v>
      </c>
      <c r="O166" s="30">
        <f>+equipo8!N38</f>
        <v>0</v>
      </c>
      <c r="P166" s="30">
        <f>+equipo8!O38</f>
        <v>0</v>
      </c>
      <c r="Q166" s="30">
        <f>+equipo8!P38</f>
        <v>0</v>
      </c>
      <c r="R166" s="30">
        <f>+equipo8!Q38</f>
        <v>2</v>
      </c>
      <c r="S166" s="30">
        <f>+equipo8!R38</f>
        <v>3</v>
      </c>
      <c r="T166" s="30">
        <f>+equipo8!S38</f>
        <v>0</v>
      </c>
      <c r="U166" s="30">
        <f>+equipo8!T38</f>
        <v>666.66666666666663</v>
      </c>
      <c r="V166" s="30">
        <f>+equipo8!U38</f>
        <v>666.66666666666663</v>
      </c>
    </row>
    <row r="167" spans="1:22" x14ac:dyDescent="0.25">
      <c r="A167" s="30" t="str">
        <f>+equipo8!A39</f>
        <v>FRANCISCO MONASTERIO</v>
      </c>
      <c r="B167" s="30" t="str">
        <f>+equipo8!B39</f>
        <v/>
      </c>
      <c r="C167" s="31" t="str">
        <f>+equipo8!$A$6</f>
        <v>equipo8</v>
      </c>
      <c r="D167" s="30">
        <f>+equipo8!C39</f>
        <v>3</v>
      </c>
      <c r="E167" s="30">
        <f>+equipo8!D39</f>
        <v>1</v>
      </c>
      <c r="F167" s="30">
        <f>+equipo8!E39</f>
        <v>2</v>
      </c>
      <c r="G167" s="30">
        <f>+equipo8!F39</f>
        <v>0</v>
      </c>
      <c r="H167" s="30">
        <f>+equipo8!G39</f>
        <v>1</v>
      </c>
      <c r="I167" s="30">
        <f>+equipo8!H39</f>
        <v>0</v>
      </c>
      <c r="J167" s="30">
        <f>+equipo8!I39</f>
        <v>0</v>
      </c>
      <c r="K167" s="30">
        <f>+equipo8!J39</f>
        <v>0</v>
      </c>
      <c r="L167" s="30">
        <f>+equipo8!K39</f>
        <v>0</v>
      </c>
      <c r="M167" s="30">
        <f>+equipo8!L39</f>
        <v>0</v>
      </c>
      <c r="N167" s="30">
        <f>+equipo8!M39</f>
        <v>0</v>
      </c>
      <c r="O167" s="30">
        <f>+equipo8!N39</f>
        <v>0</v>
      </c>
      <c r="P167" s="30">
        <f>+equipo8!O39</f>
        <v>0</v>
      </c>
      <c r="Q167" s="30">
        <f>+equipo8!P39</f>
        <v>0</v>
      </c>
      <c r="R167" s="30">
        <f>+equipo8!Q39</f>
        <v>4</v>
      </c>
      <c r="S167" s="30">
        <f>+equipo8!R39</f>
        <v>3</v>
      </c>
      <c r="T167" s="30">
        <f>+equipo8!S39</f>
        <v>0</v>
      </c>
      <c r="U167" s="30">
        <f>+equipo8!T39</f>
        <v>666.66666666666663</v>
      </c>
      <c r="V167" s="30">
        <f>+equipo8!U39</f>
        <v>1333.3333333333333</v>
      </c>
    </row>
    <row r="168" spans="1:22" x14ac:dyDescent="0.25">
      <c r="A168" s="30" t="str">
        <f>+equipo8!A40</f>
        <v>MARCOS MORALES</v>
      </c>
      <c r="B168" s="30" t="str">
        <f>+equipo8!B40</f>
        <v/>
      </c>
      <c r="C168" s="31" t="str">
        <f>+equipo8!$A$6</f>
        <v>equipo8</v>
      </c>
      <c r="D168" s="30">
        <f>+equipo8!C40</f>
        <v>3</v>
      </c>
      <c r="E168" s="30">
        <f>+equipo8!D40</f>
        <v>2</v>
      </c>
      <c r="F168" s="30">
        <f>+equipo8!E40</f>
        <v>2</v>
      </c>
      <c r="G168" s="30">
        <f>+equipo8!F40</f>
        <v>1</v>
      </c>
      <c r="H168" s="30">
        <f>+equipo8!G40</f>
        <v>0</v>
      </c>
      <c r="I168" s="30">
        <f>+equipo8!H40</f>
        <v>0</v>
      </c>
      <c r="J168" s="30">
        <f>+equipo8!I40</f>
        <v>2</v>
      </c>
      <c r="K168" s="30">
        <f>+equipo8!J40</f>
        <v>1</v>
      </c>
      <c r="L168" s="30">
        <f>+equipo8!K40</f>
        <v>0</v>
      </c>
      <c r="M168" s="30">
        <f>+equipo8!L40</f>
        <v>3</v>
      </c>
      <c r="N168" s="30">
        <f>+equipo8!M40</f>
        <v>0</v>
      </c>
      <c r="O168" s="30">
        <f>+equipo8!N40</f>
        <v>0</v>
      </c>
      <c r="P168" s="30">
        <f>+equipo8!O40</f>
        <v>0</v>
      </c>
      <c r="Q168" s="30">
        <f>+equipo8!P40</f>
        <v>0</v>
      </c>
      <c r="R168" s="30">
        <f>+equipo8!Q40</f>
        <v>3</v>
      </c>
      <c r="S168" s="30">
        <f>+equipo8!R40</f>
        <v>3</v>
      </c>
      <c r="T168" s="30">
        <f>+equipo8!S40</f>
        <v>0</v>
      </c>
      <c r="U168" s="30">
        <f>+equipo8!T40</f>
        <v>666.66666666666663</v>
      </c>
      <c r="V168" s="30">
        <f>+equipo8!U40</f>
        <v>1000</v>
      </c>
    </row>
    <row r="169" spans="1:22" x14ac:dyDescent="0.25">
      <c r="A169" s="30" t="str">
        <f>+equipo8!A41</f>
        <v>ADRIAN MURILLO</v>
      </c>
      <c r="B169" s="30" t="str">
        <f>+equipo8!B41</f>
        <v/>
      </c>
      <c r="C169" s="31" t="str">
        <f>+equipo8!$A$6</f>
        <v>equipo8</v>
      </c>
      <c r="D169" s="30">
        <f>+equipo8!C41</f>
        <v>2</v>
      </c>
      <c r="E169" s="30">
        <f>+equipo8!D41</f>
        <v>1</v>
      </c>
      <c r="F169" s="30">
        <f>+equipo8!E41</f>
        <v>0</v>
      </c>
      <c r="G169" s="30">
        <f>+equipo8!F41</f>
        <v>0</v>
      </c>
      <c r="H169" s="30">
        <f>+equipo8!G41</f>
        <v>0</v>
      </c>
      <c r="I169" s="30">
        <f>+equipo8!H41</f>
        <v>0</v>
      </c>
      <c r="J169" s="30">
        <f>+equipo8!I41</f>
        <v>0</v>
      </c>
      <c r="K169" s="30">
        <f>+equipo8!J41</f>
        <v>1</v>
      </c>
      <c r="L169" s="30">
        <f>+equipo8!K41</f>
        <v>1</v>
      </c>
      <c r="M169" s="30">
        <f>+equipo8!L41</f>
        <v>1</v>
      </c>
      <c r="N169" s="30">
        <f>+equipo8!M41</f>
        <v>0</v>
      </c>
      <c r="O169" s="30">
        <f>+equipo8!N41</f>
        <v>0</v>
      </c>
      <c r="P169" s="30">
        <f>+equipo8!O41</f>
        <v>0</v>
      </c>
      <c r="Q169" s="30">
        <f>+equipo8!P41</f>
        <v>0</v>
      </c>
      <c r="R169" s="30">
        <f>+equipo8!Q41</f>
        <v>0</v>
      </c>
      <c r="S169" s="30">
        <f>+equipo8!R41</f>
        <v>3</v>
      </c>
      <c r="T169" s="30">
        <f>+equipo8!S41</f>
        <v>0</v>
      </c>
      <c r="U169" s="30">
        <f>+equipo8!T41</f>
        <v>0</v>
      </c>
      <c r="V169" s="30">
        <f>+equipo8!U41</f>
        <v>0</v>
      </c>
    </row>
    <row r="170" spans="1:22" x14ac:dyDescent="0.25">
      <c r="A170" s="30" t="str">
        <f>+equipo8!A42</f>
        <v>DARGREYBER RODRIGUEZ</v>
      </c>
      <c r="B170" s="30" t="str">
        <f>+equipo8!B42</f>
        <v/>
      </c>
      <c r="C170" s="31" t="str">
        <f>+equipo8!$A$6</f>
        <v>equipo8</v>
      </c>
      <c r="D170" s="30">
        <f>+equipo8!C42</f>
        <v>0</v>
      </c>
      <c r="E170" s="30">
        <f>+equipo8!D42</f>
        <v>0</v>
      </c>
      <c r="F170" s="30">
        <f>+equipo8!E42</f>
        <v>0</v>
      </c>
      <c r="G170" s="30">
        <f>+equipo8!F42</f>
        <v>0</v>
      </c>
      <c r="H170" s="30">
        <f>+equipo8!G42</f>
        <v>0</v>
      </c>
      <c r="I170" s="30">
        <f>+equipo8!H42</f>
        <v>0</v>
      </c>
      <c r="J170" s="30">
        <f>+equipo8!I42</f>
        <v>0</v>
      </c>
      <c r="K170" s="30">
        <f>+equipo8!J42</f>
        <v>0</v>
      </c>
      <c r="L170" s="30">
        <f>+equipo8!K42</f>
        <v>0</v>
      </c>
      <c r="M170" s="30">
        <f>+equipo8!L42</f>
        <v>0</v>
      </c>
      <c r="N170" s="30">
        <f>+equipo8!M42</f>
        <v>0</v>
      </c>
      <c r="O170" s="30">
        <f>+equipo8!N42</f>
        <v>0</v>
      </c>
      <c r="P170" s="30">
        <f>+equipo8!O42</f>
        <v>0</v>
      </c>
      <c r="Q170" s="30">
        <f>+equipo8!P42</f>
        <v>0</v>
      </c>
      <c r="R170" s="30">
        <f>+equipo8!Q42</f>
        <v>0</v>
      </c>
      <c r="S170" s="30">
        <f>+equipo8!R42</f>
        <v>0</v>
      </c>
      <c r="T170" s="30">
        <f>+equipo8!S42</f>
        <v>0</v>
      </c>
      <c r="U170" s="30">
        <f>+equipo8!T42</f>
        <v>0</v>
      </c>
      <c r="V170" s="30">
        <f>+equipo8!U42</f>
        <v>0</v>
      </c>
    </row>
    <row r="171" spans="1:22" x14ac:dyDescent="0.25">
      <c r="A171" s="30" t="str">
        <f>+equipo8!A43</f>
        <v>JENSE FLORES</v>
      </c>
      <c r="B171" s="30" t="str">
        <f>+equipo8!B43</f>
        <v/>
      </c>
      <c r="C171" s="31" t="str">
        <f>+equipo8!$A$6</f>
        <v>equipo8</v>
      </c>
      <c r="D171" s="30">
        <f>+equipo8!C43</f>
        <v>0</v>
      </c>
      <c r="E171" s="30">
        <f>+equipo8!D43</f>
        <v>0</v>
      </c>
      <c r="F171" s="30">
        <f>+equipo8!E43</f>
        <v>0</v>
      </c>
      <c r="G171" s="30">
        <f>+equipo8!F43</f>
        <v>0</v>
      </c>
      <c r="H171" s="30">
        <f>+equipo8!G43</f>
        <v>0</v>
      </c>
      <c r="I171" s="30">
        <f>+equipo8!H43</f>
        <v>0</v>
      </c>
      <c r="J171" s="30">
        <f>+equipo8!I43</f>
        <v>0</v>
      </c>
      <c r="K171" s="30">
        <f>+equipo8!J43</f>
        <v>0</v>
      </c>
      <c r="L171" s="30">
        <f>+equipo8!K43</f>
        <v>0</v>
      </c>
      <c r="M171" s="30">
        <f>+equipo8!L43</f>
        <v>0</v>
      </c>
      <c r="N171" s="30">
        <f>+equipo8!M43</f>
        <v>0</v>
      </c>
      <c r="O171" s="30">
        <f>+equipo8!N43</f>
        <v>0</v>
      </c>
      <c r="P171" s="30">
        <f>+equipo8!O43</f>
        <v>0</v>
      </c>
      <c r="Q171" s="30">
        <f>+equipo8!P43</f>
        <v>0</v>
      </c>
      <c r="R171" s="30">
        <f>+equipo8!Q43</f>
        <v>0</v>
      </c>
      <c r="S171" s="30">
        <f>+equipo8!R43</f>
        <v>0</v>
      </c>
      <c r="T171" s="30">
        <f>+equipo8!S43</f>
        <v>0</v>
      </c>
      <c r="U171" s="30">
        <f>+equipo8!T43</f>
        <v>0</v>
      </c>
      <c r="V171" s="30">
        <f>+equipo8!U43</f>
        <v>0</v>
      </c>
    </row>
    <row r="172" spans="1:22" x14ac:dyDescent="0.25">
      <c r="A172" s="30" t="str">
        <f>+equipo8!A44</f>
        <v/>
      </c>
      <c r="B172" s="30" t="str">
        <f>+equipo8!B44</f>
        <v/>
      </c>
      <c r="C172" s="31" t="str">
        <f>+equipo8!$A$6</f>
        <v>equipo8</v>
      </c>
      <c r="D172" s="30">
        <f>+equipo8!C44</f>
        <v>0</v>
      </c>
      <c r="E172" s="30">
        <f>+equipo8!D44</f>
        <v>0</v>
      </c>
      <c r="F172" s="30">
        <f>+equipo8!E44</f>
        <v>0</v>
      </c>
      <c r="G172" s="30">
        <f>+equipo8!F44</f>
        <v>0</v>
      </c>
      <c r="H172" s="30">
        <f>+equipo8!G44</f>
        <v>0</v>
      </c>
      <c r="I172" s="30">
        <f>+equipo8!H44</f>
        <v>0</v>
      </c>
      <c r="J172" s="30">
        <f>+equipo8!I44</f>
        <v>0</v>
      </c>
      <c r="K172" s="30">
        <f>+equipo8!J44</f>
        <v>0</v>
      </c>
      <c r="L172" s="30">
        <f>+equipo8!K44</f>
        <v>0</v>
      </c>
      <c r="M172" s="30">
        <f>+equipo8!L44</f>
        <v>0</v>
      </c>
      <c r="N172" s="30">
        <f>+equipo8!M44</f>
        <v>0</v>
      </c>
      <c r="O172" s="30">
        <f>+equipo8!N44</f>
        <v>0</v>
      </c>
      <c r="P172" s="30">
        <f>+equipo8!O44</f>
        <v>0</v>
      </c>
      <c r="Q172" s="30">
        <f>+equipo8!P44</f>
        <v>0</v>
      </c>
      <c r="R172" s="30">
        <f>+equipo8!Q44</f>
        <v>0</v>
      </c>
      <c r="S172" s="30">
        <f>+equipo8!R44</f>
        <v>0</v>
      </c>
      <c r="T172" s="30">
        <f>+equipo8!S44</f>
        <v>0</v>
      </c>
      <c r="U172" s="30">
        <f>+equipo8!T44</f>
        <v>0</v>
      </c>
      <c r="V172" s="30">
        <f>+equipo8!U44</f>
        <v>0</v>
      </c>
    </row>
    <row r="173" spans="1:22" x14ac:dyDescent="0.25">
      <c r="A173" s="30" t="str">
        <f>+equipo8!A45</f>
        <v/>
      </c>
      <c r="B173" s="30" t="str">
        <f>+equipo8!B45</f>
        <v/>
      </c>
      <c r="C173" s="31" t="str">
        <f>+equipo8!$A$6</f>
        <v>equipo8</v>
      </c>
      <c r="D173" s="30">
        <f>+equipo8!C45</f>
        <v>0</v>
      </c>
      <c r="E173" s="30">
        <f>+equipo8!D45</f>
        <v>0</v>
      </c>
      <c r="F173" s="30">
        <f>+equipo8!E45</f>
        <v>0</v>
      </c>
      <c r="G173" s="30">
        <f>+equipo8!F45</f>
        <v>0</v>
      </c>
      <c r="H173" s="30">
        <f>+equipo8!G45</f>
        <v>0</v>
      </c>
      <c r="I173" s="30">
        <f>+equipo8!H45</f>
        <v>0</v>
      </c>
      <c r="J173" s="30">
        <f>+equipo8!I45</f>
        <v>0</v>
      </c>
      <c r="K173" s="30">
        <f>+equipo8!J45</f>
        <v>0</v>
      </c>
      <c r="L173" s="30">
        <f>+equipo8!K45</f>
        <v>0</v>
      </c>
      <c r="M173" s="30">
        <f>+equipo8!L45</f>
        <v>0</v>
      </c>
      <c r="N173" s="30">
        <f>+equipo8!M45</f>
        <v>0</v>
      </c>
      <c r="O173" s="30">
        <f>+equipo8!N45</f>
        <v>0</v>
      </c>
      <c r="P173" s="30">
        <f>+equipo8!O45</f>
        <v>0</v>
      </c>
      <c r="Q173" s="30">
        <f>+equipo8!P45</f>
        <v>0</v>
      </c>
      <c r="R173" s="30">
        <f>+equipo8!Q45</f>
        <v>0</v>
      </c>
      <c r="S173" s="30">
        <f>+equipo8!R45</f>
        <v>0</v>
      </c>
      <c r="T173" s="30">
        <f>+equipo8!S45</f>
        <v>0</v>
      </c>
      <c r="U173" s="30">
        <f>+equipo8!T45</f>
        <v>0</v>
      </c>
      <c r="V173" s="30">
        <f>+equipo8!U45</f>
        <v>0</v>
      </c>
    </row>
    <row r="174" spans="1:22" x14ac:dyDescent="0.25">
      <c r="A174" s="30" t="str">
        <f>+equipo8!A46</f>
        <v/>
      </c>
      <c r="B174" s="30" t="str">
        <f>+equipo8!B46</f>
        <v/>
      </c>
      <c r="C174" s="31" t="str">
        <f>+equipo8!$A$6</f>
        <v>equipo8</v>
      </c>
      <c r="D174" s="30">
        <f>+equipo8!C46</f>
        <v>0</v>
      </c>
      <c r="E174" s="30">
        <f>+equipo8!D46</f>
        <v>0</v>
      </c>
      <c r="F174" s="30">
        <f>+equipo8!E46</f>
        <v>0</v>
      </c>
      <c r="G174" s="30">
        <f>+equipo8!F46</f>
        <v>0</v>
      </c>
      <c r="H174" s="30">
        <f>+equipo8!G46</f>
        <v>0</v>
      </c>
      <c r="I174" s="30">
        <f>+equipo8!H46</f>
        <v>0</v>
      </c>
      <c r="J174" s="30">
        <f>+equipo8!I46</f>
        <v>0</v>
      </c>
      <c r="K174" s="30">
        <f>+equipo8!J46</f>
        <v>0</v>
      </c>
      <c r="L174" s="30">
        <f>+equipo8!K46</f>
        <v>0</v>
      </c>
      <c r="M174" s="30">
        <f>+equipo8!L46</f>
        <v>0</v>
      </c>
      <c r="N174" s="30">
        <f>+equipo8!M46</f>
        <v>0</v>
      </c>
      <c r="O174" s="30">
        <f>+equipo8!N46</f>
        <v>0</v>
      </c>
      <c r="P174" s="30">
        <f>+equipo8!O46</f>
        <v>0</v>
      </c>
      <c r="Q174" s="30">
        <f>+equipo8!P46</f>
        <v>0</v>
      </c>
      <c r="R174" s="30">
        <f>+equipo8!Q46</f>
        <v>0</v>
      </c>
      <c r="S174" s="30">
        <f>+equipo8!R46</f>
        <v>0</v>
      </c>
      <c r="T174" s="30">
        <f>+equipo8!S46</f>
        <v>0</v>
      </c>
      <c r="U174" s="30">
        <f>+equipo8!T46</f>
        <v>0</v>
      </c>
      <c r="V174" s="30">
        <f>+equipo8!U46</f>
        <v>0</v>
      </c>
    </row>
    <row r="175" spans="1:22" x14ac:dyDescent="0.25">
      <c r="A175" s="30" t="str">
        <f>+equipo8!A47</f>
        <v/>
      </c>
      <c r="B175" s="30" t="str">
        <f>+equipo8!B47</f>
        <v/>
      </c>
      <c r="C175" s="31" t="str">
        <f>+equipo8!$A$6</f>
        <v>equipo8</v>
      </c>
      <c r="D175" s="30">
        <f>+equipo8!C47</f>
        <v>0</v>
      </c>
      <c r="E175" s="30">
        <f>+equipo8!D47</f>
        <v>0</v>
      </c>
      <c r="F175" s="30">
        <f>+equipo8!E47</f>
        <v>0</v>
      </c>
      <c r="G175" s="30">
        <f>+equipo8!F47</f>
        <v>0</v>
      </c>
      <c r="H175" s="30">
        <f>+equipo8!G47</f>
        <v>0</v>
      </c>
      <c r="I175" s="30">
        <f>+equipo8!H47</f>
        <v>0</v>
      </c>
      <c r="J175" s="30">
        <f>+equipo8!I47</f>
        <v>0</v>
      </c>
      <c r="K175" s="30">
        <f>+equipo8!J47</f>
        <v>0</v>
      </c>
      <c r="L175" s="30">
        <f>+equipo8!K47</f>
        <v>0</v>
      </c>
      <c r="M175" s="30">
        <f>+equipo8!L47</f>
        <v>0</v>
      </c>
      <c r="N175" s="30">
        <f>+equipo8!M47</f>
        <v>0</v>
      </c>
      <c r="O175" s="30">
        <f>+equipo8!N47</f>
        <v>0</v>
      </c>
      <c r="P175" s="30">
        <f>+equipo8!O47</f>
        <v>0</v>
      </c>
      <c r="Q175" s="30">
        <f>+equipo8!P47</f>
        <v>0</v>
      </c>
      <c r="R175" s="30">
        <f>+equipo8!Q47</f>
        <v>0</v>
      </c>
      <c r="S175" s="30">
        <f>+equipo8!R47</f>
        <v>0</v>
      </c>
      <c r="T175" s="30">
        <f>+equipo8!S47</f>
        <v>0</v>
      </c>
      <c r="U175" s="30">
        <f>+equipo8!T47</f>
        <v>0</v>
      </c>
      <c r="V175" s="30">
        <f>+equipo8!U47</f>
        <v>0</v>
      </c>
    </row>
    <row r="176" spans="1:22" x14ac:dyDescent="0.25">
      <c r="A176" s="30" t="str">
        <f>+equipo8!A48</f>
        <v/>
      </c>
      <c r="B176" s="30" t="str">
        <f>+equipo8!B48</f>
        <v/>
      </c>
      <c r="C176" s="31" t="str">
        <f>+equipo8!$A$6</f>
        <v>equipo8</v>
      </c>
      <c r="D176" s="30">
        <f>+equipo8!C48</f>
        <v>0</v>
      </c>
      <c r="E176" s="30">
        <f>+equipo8!D48</f>
        <v>0</v>
      </c>
      <c r="F176" s="30">
        <f>+equipo8!E48</f>
        <v>0</v>
      </c>
      <c r="G176" s="30">
        <f>+equipo8!F48</f>
        <v>0</v>
      </c>
      <c r="H176" s="30">
        <f>+equipo8!G48</f>
        <v>0</v>
      </c>
      <c r="I176" s="30">
        <f>+equipo8!H48</f>
        <v>0</v>
      </c>
      <c r="J176" s="30">
        <f>+equipo8!I48</f>
        <v>0</v>
      </c>
      <c r="K176" s="30">
        <f>+equipo8!J48</f>
        <v>0</v>
      </c>
      <c r="L176" s="30">
        <f>+equipo8!K48</f>
        <v>0</v>
      </c>
      <c r="M176" s="30">
        <f>+equipo8!L48</f>
        <v>0</v>
      </c>
      <c r="N176" s="30">
        <f>+equipo8!M48</f>
        <v>0</v>
      </c>
      <c r="O176" s="30">
        <f>+equipo8!N48</f>
        <v>0</v>
      </c>
      <c r="P176" s="30">
        <f>+equipo8!O48</f>
        <v>0</v>
      </c>
      <c r="Q176" s="30">
        <f>+equipo8!P48</f>
        <v>0</v>
      </c>
      <c r="R176" s="30">
        <f>+equipo8!Q48</f>
        <v>0</v>
      </c>
      <c r="S176" s="30">
        <f>+equipo8!R48</f>
        <v>0</v>
      </c>
      <c r="T176" s="30">
        <f>+equipo8!S48</f>
        <v>0</v>
      </c>
      <c r="U176" s="30">
        <f>+equipo8!T48</f>
        <v>0</v>
      </c>
      <c r="V176" s="30">
        <f>+equipo8!U48</f>
        <v>0</v>
      </c>
    </row>
    <row r="177" spans="1:22" x14ac:dyDescent="0.25">
      <c r="A177" s="30" t="str">
        <f>+equipo8!A49</f>
        <v/>
      </c>
      <c r="B177" s="30" t="str">
        <f>+equipo8!B49</f>
        <v/>
      </c>
      <c r="C177" s="31" t="str">
        <f>+equipo8!$A$6</f>
        <v>equipo8</v>
      </c>
      <c r="D177" s="30">
        <f>+equipo8!C49</f>
        <v>0</v>
      </c>
      <c r="E177" s="30">
        <f>+equipo8!D49</f>
        <v>0</v>
      </c>
      <c r="F177" s="30">
        <f>+equipo8!E49</f>
        <v>0</v>
      </c>
      <c r="G177" s="30">
        <f>+equipo8!F49</f>
        <v>0</v>
      </c>
      <c r="H177" s="30">
        <f>+equipo8!G49</f>
        <v>0</v>
      </c>
      <c r="I177" s="30">
        <f>+equipo8!H49</f>
        <v>0</v>
      </c>
      <c r="J177" s="30">
        <f>+equipo8!I49</f>
        <v>0</v>
      </c>
      <c r="K177" s="30">
        <f>+equipo8!J49</f>
        <v>0</v>
      </c>
      <c r="L177" s="30">
        <f>+equipo8!K49</f>
        <v>0</v>
      </c>
      <c r="M177" s="30">
        <f>+equipo8!L49</f>
        <v>0</v>
      </c>
      <c r="N177" s="30">
        <f>+equipo8!M49</f>
        <v>0</v>
      </c>
      <c r="O177" s="30">
        <f>+equipo8!N49</f>
        <v>0</v>
      </c>
      <c r="P177" s="30">
        <f>+equipo8!O49</f>
        <v>0</v>
      </c>
      <c r="Q177" s="30">
        <f>+equipo8!P49</f>
        <v>0</v>
      </c>
      <c r="R177" s="30">
        <f>+equipo8!Q49</f>
        <v>0</v>
      </c>
      <c r="S177" s="30">
        <f>+equipo8!R49</f>
        <v>0</v>
      </c>
      <c r="T177" s="30">
        <f>+equipo8!S49</f>
        <v>0</v>
      </c>
      <c r="U177" s="30">
        <f>+equipo8!T49</f>
        <v>0</v>
      </c>
      <c r="V177" s="30">
        <f>+equipo8!U49</f>
        <v>0</v>
      </c>
    </row>
    <row r="178" spans="1:22" x14ac:dyDescent="0.25">
      <c r="A178" s="30" t="str">
        <f>+equipo8!A50</f>
        <v/>
      </c>
      <c r="B178" s="30" t="str">
        <f>+equipo8!B50</f>
        <v/>
      </c>
      <c r="C178" s="31" t="str">
        <f>+equipo8!$A$6</f>
        <v>equipo8</v>
      </c>
      <c r="D178" s="30">
        <f>+equipo8!C50</f>
        <v>0</v>
      </c>
      <c r="E178" s="30">
        <f>+equipo8!D50</f>
        <v>0</v>
      </c>
      <c r="F178" s="30">
        <f>+equipo8!E50</f>
        <v>0</v>
      </c>
      <c r="G178" s="30">
        <f>+equipo8!F50</f>
        <v>0</v>
      </c>
      <c r="H178" s="30">
        <f>+equipo8!G50</f>
        <v>0</v>
      </c>
      <c r="I178" s="30">
        <f>+equipo8!H50</f>
        <v>0</v>
      </c>
      <c r="J178" s="30">
        <f>+equipo8!I50</f>
        <v>0</v>
      </c>
      <c r="K178" s="30">
        <f>+equipo8!J50</f>
        <v>0</v>
      </c>
      <c r="L178" s="30">
        <f>+equipo8!K50</f>
        <v>0</v>
      </c>
      <c r="M178" s="30">
        <f>+equipo8!L50</f>
        <v>0</v>
      </c>
      <c r="N178" s="30">
        <f>+equipo8!M50</f>
        <v>0</v>
      </c>
      <c r="O178" s="30">
        <f>+equipo8!N50</f>
        <v>0</v>
      </c>
      <c r="P178" s="30">
        <f>+equipo8!O50</f>
        <v>0</v>
      </c>
      <c r="Q178" s="30">
        <f>+equipo8!P50</f>
        <v>0</v>
      </c>
      <c r="R178" s="30">
        <f>+equipo8!Q50</f>
        <v>0</v>
      </c>
      <c r="S178" s="30">
        <f>+equipo8!R50</f>
        <v>0</v>
      </c>
      <c r="T178" s="30">
        <f>+equipo8!S50</f>
        <v>0</v>
      </c>
      <c r="U178" s="30">
        <f>+equipo8!T50</f>
        <v>0</v>
      </c>
      <c r="V178" s="30">
        <f>+equipo8!U50</f>
        <v>0</v>
      </c>
    </row>
    <row r="179" spans="1:22" x14ac:dyDescent="0.25">
      <c r="A179" s="30" t="str">
        <f>+equipo9!A32</f>
        <v>LUIS TORRENS EQUIPO9</v>
      </c>
      <c r="B179" s="30">
        <f>+equipo9!B32</f>
        <v>22</v>
      </c>
      <c r="C179" s="31" t="str">
        <f>+equipo9!$A$6</f>
        <v>equipo9</v>
      </c>
      <c r="D179" s="30">
        <f>+equipo9!C32</f>
        <v>4</v>
      </c>
      <c r="E179" s="30">
        <f>+equipo9!D32</f>
        <v>2</v>
      </c>
      <c r="F179" s="30">
        <f>+equipo9!E32</f>
        <v>1</v>
      </c>
      <c r="G179" s="30">
        <f>+equipo9!F32</f>
        <v>0</v>
      </c>
      <c r="H179" s="30">
        <f>+equipo9!G32</f>
        <v>0</v>
      </c>
      <c r="I179" s="30">
        <f>+equipo9!H32</f>
        <v>0</v>
      </c>
      <c r="J179" s="30">
        <f>+equipo9!I32</f>
        <v>0</v>
      </c>
      <c r="K179" s="30">
        <f>+equipo9!J32</f>
        <v>0</v>
      </c>
      <c r="L179" s="30">
        <f>+equipo9!K32</f>
        <v>0</v>
      </c>
      <c r="M179" s="30">
        <f>+equipo9!L32</f>
        <v>1</v>
      </c>
      <c r="N179" s="30">
        <f>+equipo9!M32</f>
        <v>0</v>
      </c>
      <c r="O179" s="30">
        <f>+equipo9!N32</f>
        <v>0</v>
      </c>
      <c r="P179" s="30">
        <f>+equipo9!O32</f>
        <v>0</v>
      </c>
      <c r="Q179" s="30">
        <f>+equipo9!P32</f>
        <v>0</v>
      </c>
      <c r="R179" s="30">
        <f>+equipo9!Q32</f>
        <v>1</v>
      </c>
      <c r="S179" s="30">
        <f>+equipo9!R32</f>
        <v>4</v>
      </c>
      <c r="T179" s="30">
        <f>+equipo9!S32</f>
        <v>0</v>
      </c>
      <c r="U179" s="30">
        <f>+equipo9!T32</f>
        <v>250</v>
      </c>
      <c r="V179" s="30">
        <f>+equipo9!U32</f>
        <v>250</v>
      </c>
    </row>
    <row r="180" spans="1:22" x14ac:dyDescent="0.25">
      <c r="A180" s="30" t="str">
        <f>+equipo9!A33</f>
        <v>JOSEPH MENDOZA</v>
      </c>
      <c r="B180" s="30">
        <f>+equipo9!B33</f>
        <v>23</v>
      </c>
      <c r="C180" s="31" t="str">
        <f>+equipo9!$A$6</f>
        <v>equipo9</v>
      </c>
      <c r="D180" s="30">
        <f>+equipo9!C33</f>
        <v>3</v>
      </c>
      <c r="E180" s="30">
        <f>+equipo9!D33</f>
        <v>1</v>
      </c>
      <c r="F180" s="30">
        <f>+equipo9!E33</f>
        <v>1</v>
      </c>
      <c r="G180" s="30">
        <f>+equipo9!F33</f>
        <v>1</v>
      </c>
      <c r="H180" s="30">
        <f>+equipo9!G33</f>
        <v>0</v>
      </c>
      <c r="I180" s="30">
        <f>+equipo9!H33</f>
        <v>0</v>
      </c>
      <c r="J180" s="30">
        <f>+equipo9!I33</f>
        <v>0</v>
      </c>
      <c r="K180" s="30">
        <f>+equipo9!J33</f>
        <v>0</v>
      </c>
      <c r="L180" s="30">
        <f>+equipo9!K33</f>
        <v>1</v>
      </c>
      <c r="M180" s="30">
        <f>+equipo9!L33</f>
        <v>0</v>
      </c>
      <c r="N180" s="30">
        <f>+equipo9!M33</f>
        <v>0</v>
      </c>
      <c r="O180" s="30">
        <f>+equipo9!N33</f>
        <v>0</v>
      </c>
      <c r="P180" s="30">
        <f>+equipo9!O33</f>
        <v>0</v>
      </c>
      <c r="Q180" s="30">
        <f>+equipo9!P33</f>
        <v>0</v>
      </c>
      <c r="R180" s="30">
        <f>+equipo9!Q33</f>
        <v>2</v>
      </c>
      <c r="S180" s="30">
        <f>+equipo9!R33</f>
        <v>4</v>
      </c>
      <c r="T180" s="30">
        <f>+equipo9!S33</f>
        <v>0</v>
      </c>
      <c r="U180" s="30">
        <f>+equipo9!T33</f>
        <v>333.33333333333331</v>
      </c>
      <c r="V180" s="30">
        <f>+equipo9!U33</f>
        <v>666.66666666666663</v>
      </c>
    </row>
    <row r="181" spans="1:22" x14ac:dyDescent="0.25">
      <c r="A181" s="30" t="str">
        <f>+equipo9!A34</f>
        <v>ABRAHAN RODRIGUZ</v>
      </c>
      <c r="B181" s="30">
        <f>+equipo9!B34</f>
        <v>24</v>
      </c>
      <c r="C181" s="31" t="str">
        <f>+equipo9!$A$6</f>
        <v>equipo9</v>
      </c>
      <c r="D181" s="30">
        <f>+equipo9!C34</f>
        <v>4</v>
      </c>
      <c r="E181" s="30">
        <f>+equipo9!D34</f>
        <v>0</v>
      </c>
      <c r="F181" s="30">
        <f>+equipo9!E34</f>
        <v>1</v>
      </c>
      <c r="G181" s="30">
        <f>+equipo9!F34</f>
        <v>0</v>
      </c>
      <c r="H181" s="30">
        <f>+equipo9!G34</f>
        <v>0</v>
      </c>
      <c r="I181" s="30">
        <f>+equipo9!H34</f>
        <v>0</v>
      </c>
      <c r="J181" s="30">
        <f>+equipo9!I34</f>
        <v>0</v>
      </c>
      <c r="K181" s="30">
        <f>+equipo9!J34</f>
        <v>0</v>
      </c>
      <c r="L181" s="30">
        <f>+equipo9!K34</f>
        <v>0</v>
      </c>
      <c r="M181" s="30">
        <f>+equipo9!L34</f>
        <v>0</v>
      </c>
      <c r="N181" s="30">
        <f>+equipo9!M34</f>
        <v>0</v>
      </c>
      <c r="O181" s="30">
        <f>+equipo9!N34</f>
        <v>0</v>
      </c>
      <c r="P181" s="30">
        <f>+equipo9!O34</f>
        <v>0</v>
      </c>
      <c r="Q181" s="30">
        <f>+equipo9!P34</f>
        <v>0</v>
      </c>
      <c r="R181" s="30">
        <f>+equipo9!Q34</f>
        <v>1</v>
      </c>
      <c r="S181" s="30">
        <f>+equipo9!R34</f>
        <v>4</v>
      </c>
      <c r="T181" s="30">
        <f>+equipo9!S34</f>
        <v>0</v>
      </c>
      <c r="U181" s="30">
        <f>+equipo9!T34</f>
        <v>250</v>
      </c>
      <c r="V181" s="30">
        <f>+equipo9!U34</f>
        <v>250</v>
      </c>
    </row>
    <row r="182" spans="1:22" x14ac:dyDescent="0.25">
      <c r="A182" s="30" t="str">
        <f>+equipo9!A35</f>
        <v>ALEXANDER HERNANDEZ</v>
      </c>
      <c r="B182" s="30">
        <f>+equipo9!B35</f>
        <v>25</v>
      </c>
      <c r="C182" s="31" t="str">
        <f>+equipo9!$A$6</f>
        <v>equipo9</v>
      </c>
      <c r="D182" s="30">
        <f>+equipo9!C35</f>
        <v>0</v>
      </c>
      <c r="E182" s="30">
        <f>+equipo9!D35</f>
        <v>1</v>
      </c>
      <c r="F182" s="30">
        <f>+equipo9!E35</f>
        <v>0</v>
      </c>
      <c r="G182" s="30">
        <f>+equipo9!F35</f>
        <v>0</v>
      </c>
      <c r="H182" s="30">
        <f>+equipo9!G35</f>
        <v>0</v>
      </c>
      <c r="I182" s="30">
        <f>+equipo9!H35</f>
        <v>0</v>
      </c>
      <c r="J182" s="30">
        <f>+equipo9!I35</f>
        <v>1</v>
      </c>
      <c r="K182" s="30">
        <f>+equipo9!J35</f>
        <v>0</v>
      </c>
      <c r="L182" s="30">
        <f>+equipo9!K35</f>
        <v>3</v>
      </c>
      <c r="M182" s="30">
        <f>+equipo9!L35</f>
        <v>3</v>
      </c>
      <c r="N182" s="30">
        <f>+equipo9!M35</f>
        <v>0</v>
      </c>
      <c r="O182" s="30">
        <f>+equipo9!N35</f>
        <v>0</v>
      </c>
      <c r="P182" s="30">
        <f>+equipo9!O35</f>
        <v>0</v>
      </c>
      <c r="Q182" s="30">
        <f>+equipo9!P35</f>
        <v>0</v>
      </c>
      <c r="R182" s="30">
        <f>+equipo9!Q35</f>
        <v>0</v>
      </c>
      <c r="S182" s="30">
        <f>+equipo9!R35</f>
        <v>3</v>
      </c>
      <c r="T182" s="30">
        <f>+equipo9!S35</f>
        <v>0</v>
      </c>
      <c r="U182" s="30">
        <f>+equipo9!T35</f>
        <v>0</v>
      </c>
      <c r="V182" s="30">
        <f>+equipo9!U35</f>
        <v>0</v>
      </c>
    </row>
    <row r="183" spans="1:22" x14ac:dyDescent="0.25">
      <c r="A183" s="30" t="str">
        <f>+equipo9!A36</f>
        <v>DANIEL LIENDO</v>
      </c>
      <c r="B183" s="30">
        <f>+equipo9!B36</f>
        <v>26</v>
      </c>
      <c r="C183" s="31" t="str">
        <f>+equipo9!$A$6</f>
        <v>equipo9</v>
      </c>
      <c r="D183" s="30">
        <f>+equipo9!C36</f>
        <v>1</v>
      </c>
      <c r="E183" s="30">
        <f>+equipo9!D36</f>
        <v>0</v>
      </c>
      <c r="F183" s="30">
        <f>+equipo9!E36</f>
        <v>0</v>
      </c>
      <c r="G183" s="30">
        <f>+equipo9!F36</f>
        <v>0</v>
      </c>
      <c r="H183" s="30">
        <f>+equipo9!G36</f>
        <v>0</v>
      </c>
      <c r="I183" s="30">
        <f>+equipo9!H36</f>
        <v>0</v>
      </c>
      <c r="J183" s="30">
        <f>+equipo9!I36</f>
        <v>0</v>
      </c>
      <c r="K183" s="30">
        <f>+equipo9!J36</f>
        <v>0</v>
      </c>
      <c r="L183" s="30">
        <f>+equipo9!K36</f>
        <v>0</v>
      </c>
      <c r="M183" s="30">
        <f>+equipo9!L36</f>
        <v>0</v>
      </c>
      <c r="N183" s="30">
        <f>+equipo9!M36</f>
        <v>0</v>
      </c>
      <c r="O183" s="30">
        <f>+equipo9!N36</f>
        <v>0</v>
      </c>
      <c r="P183" s="30">
        <f>+equipo9!O36</f>
        <v>0</v>
      </c>
      <c r="Q183" s="30">
        <f>+equipo9!P36</f>
        <v>0</v>
      </c>
      <c r="R183" s="30">
        <f>+equipo9!Q36</f>
        <v>0</v>
      </c>
      <c r="S183" s="30">
        <f>+equipo9!R36</f>
        <v>1</v>
      </c>
      <c r="T183" s="30">
        <f>+equipo9!S36</f>
        <v>0</v>
      </c>
      <c r="U183" s="30">
        <f>+equipo9!T36</f>
        <v>0</v>
      </c>
      <c r="V183" s="30">
        <f>+equipo9!U36</f>
        <v>0</v>
      </c>
    </row>
    <row r="184" spans="1:22" x14ac:dyDescent="0.25">
      <c r="A184" s="30" t="str">
        <f>+equipo9!A37</f>
        <v>SEBASTIAN MUJICA</v>
      </c>
      <c r="B184" s="30">
        <f>+equipo9!B37</f>
        <v>28</v>
      </c>
      <c r="C184" s="31" t="str">
        <f>+equipo9!$A$6</f>
        <v>equipo9</v>
      </c>
      <c r="D184" s="30">
        <f>+equipo9!C37</f>
        <v>2</v>
      </c>
      <c r="E184" s="30">
        <f>+equipo9!D37</f>
        <v>0</v>
      </c>
      <c r="F184" s="30">
        <f>+equipo9!E37</f>
        <v>0</v>
      </c>
      <c r="G184" s="30">
        <f>+equipo9!F37</f>
        <v>0</v>
      </c>
      <c r="H184" s="30">
        <f>+equipo9!G37</f>
        <v>0</v>
      </c>
      <c r="I184" s="30">
        <f>+equipo9!H37</f>
        <v>0</v>
      </c>
      <c r="J184" s="30">
        <f>+equipo9!I37</f>
        <v>0</v>
      </c>
      <c r="K184" s="30">
        <f>+equipo9!J37</f>
        <v>1</v>
      </c>
      <c r="L184" s="30">
        <f>+equipo9!K37</f>
        <v>0</v>
      </c>
      <c r="M184" s="30">
        <f>+equipo9!L37</f>
        <v>0</v>
      </c>
      <c r="N184" s="30">
        <f>+equipo9!M37</f>
        <v>0</v>
      </c>
      <c r="O184" s="30">
        <f>+equipo9!N37</f>
        <v>0</v>
      </c>
      <c r="P184" s="30">
        <f>+equipo9!O37</f>
        <v>0</v>
      </c>
      <c r="Q184" s="30">
        <f>+equipo9!P37</f>
        <v>0</v>
      </c>
      <c r="R184" s="30">
        <f>+equipo9!Q37</f>
        <v>0</v>
      </c>
      <c r="S184" s="30">
        <f>+equipo9!R37</f>
        <v>2</v>
      </c>
      <c r="T184" s="30">
        <f>+equipo9!S37</f>
        <v>0</v>
      </c>
      <c r="U184" s="30">
        <f>+equipo9!T37</f>
        <v>0</v>
      </c>
      <c r="V184" s="30">
        <f>+equipo9!U37</f>
        <v>0</v>
      </c>
    </row>
    <row r="185" spans="1:22" x14ac:dyDescent="0.25">
      <c r="A185" s="30" t="str">
        <f>+equipo9!A38</f>
        <v>ANGEL RODRIGUEZ</v>
      </c>
      <c r="B185" s="30">
        <f>+equipo9!B38</f>
        <v>29</v>
      </c>
      <c r="C185" s="31" t="str">
        <f>+equipo9!$A$6</f>
        <v>equipo9</v>
      </c>
      <c r="D185" s="30">
        <f>+equipo9!C38</f>
        <v>3</v>
      </c>
      <c r="E185" s="30">
        <f>+equipo9!D38</f>
        <v>2</v>
      </c>
      <c r="F185" s="30">
        <f>+equipo9!E38</f>
        <v>2</v>
      </c>
      <c r="G185" s="30">
        <f>+equipo9!F38</f>
        <v>0</v>
      </c>
      <c r="H185" s="30">
        <f>+equipo9!G38</f>
        <v>0</v>
      </c>
      <c r="I185" s="30">
        <f>+equipo9!H38</f>
        <v>0</v>
      </c>
      <c r="J185" s="30">
        <f>+equipo9!I38</f>
        <v>1</v>
      </c>
      <c r="K185" s="30">
        <f>+equipo9!J38</f>
        <v>1</v>
      </c>
      <c r="L185" s="30">
        <f>+equipo9!K38</f>
        <v>0</v>
      </c>
      <c r="M185" s="30">
        <f>+equipo9!L38</f>
        <v>1</v>
      </c>
      <c r="N185" s="30">
        <f>+equipo9!M38</f>
        <v>0</v>
      </c>
      <c r="O185" s="30">
        <f>+equipo9!N38</f>
        <v>0</v>
      </c>
      <c r="P185" s="30">
        <f>+equipo9!O38</f>
        <v>0</v>
      </c>
      <c r="Q185" s="30">
        <f>+equipo9!P38</f>
        <v>0</v>
      </c>
      <c r="R185" s="30">
        <f>+equipo9!Q38</f>
        <v>2</v>
      </c>
      <c r="S185" s="30">
        <f>+equipo9!R38</f>
        <v>3</v>
      </c>
      <c r="T185" s="30">
        <f>+equipo9!S38</f>
        <v>0</v>
      </c>
      <c r="U185" s="30">
        <f>+equipo9!T38</f>
        <v>666.66666666666663</v>
      </c>
      <c r="V185" s="30">
        <f>+equipo9!U38</f>
        <v>666.66666666666663</v>
      </c>
    </row>
    <row r="186" spans="1:22" x14ac:dyDescent="0.25">
      <c r="A186" s="30" t="str">
        <f>+equipo9!A39</f>
        <v>FRANCISCO MONASTERIO</v>
      </c>
      <c r="B186" s="30">
        <f>+equipo9!B39</f>
        <v>30</v>
      </c>
      <c r="C186" s="31" t="str">
        <f>+equipo9!$A$6</f>
        <v>equipo9</v>
      </c>
      <c r="D186" s="30">
        <f>+equipo9!C39</f>
        <v>3</v>
      </c>
      <c r="E186" s="30">
        <f>+equipo9!D39</f>
        <v>1</v>
      </c>
      <c r="F186" s="30">
        <f>+equipo9!E39</f>
        <v>2</v>
      </c>
      <c r="G186" s="30">
        <f>+equipo9!F39</f>
        <v>0</v>
      </c>
      <c r="H186" s="30">
        <f>+equipo9!G39</f>
        <v>1</v>
      </c>
      <c r="I186" s="30">
        <f>+equipo9!H39</f>
        <v>0</v>
      </c>
      <c r="J186" s="30">
        <f>+equipo9!I39</f>
        <v>0</v>
      </c>
      <c r="K186" s="30">
        <f>+equipo9!J39</f>
        <v>0</v>
      </c>
      <c r="L186" s="30">
        <f>+equipo9!K39</f>
        <v>0</v>
      </c>
      <c r="M186" s="30">
        <f>+equipo9!L39</f>
        <v>0</v>
      </c>
      <c r="N186" s="30">
        <f>+equipo9!M39</f>
        <v>0</v>
      </c>
      <c r="O186" s="30">
        <f>+equipo9!N39</f>
        <v>0</v>
      </c>
      <c r="P186" s="30">
        <f>+equipo9!O39</f>
        <v>0</v>
      </c>
      <c r="Q186" s="30">
        <f>+equipo9!P39</f>
        <v>0</v>
      </c>
      <c r="R186" s="30">
        <f>+equipo9!Q39</f>
        <v>4</v>
      </c>
      <c r="S186" s="30">
        <f>+equipo9!R39</f>
        <v>3</v>
      </c>
      <c r="T186" s="30">
        <f>+equipo9!S39</f>
        <v>0</v>
      </c>
      <c r="U186" s="30">
        <f>+equipo9!T39</f>
        <v>666.66666666666663</v>
      </c>
      <c r="V186" s="30">
        <f>+equipo9!U39</f>
        <v>1333.3333333333333</v>
      </c>
    </row>
    <row r="187" spans="1:22" x14ac:dyDescent="0.25">
      <c r="A187" s="30" t="str">
        <f>+equipo9!A40</f>
        <v>MARCOS MORALES</v>
      </c>
      <c r="B187" s="30">
        <f>+equipo9!B40</f>
        <v>31</v>
      </c>
      <c r="C187" s="31" t="str">
        <f>+equipo9!$A$6</f>
        <v>equipo9</v>
      </c>
      <c r="D187" s="30">
        <f>+equipo9!C40</f>
        <v>3</v>
      </c>
      <c r="E187" s="30">
        <f>+equipo9!D40</f>
        <v>2</v>
      </c>
      <c r="F187" s="30">
        <f>+equipo9!E40</f>
        <v>2</v>
      </c>
      <c r="G187" s="30">
        <f>+equipo9!F40</f>
        <v>1</v>
      </c>
      <c r="H187" s="30">
        <f>+equipo9!G40</f>
        <v>0</v>
      </c>
      <c r="I187" s="30">
        <f>+equipo9!H40</f>
        <v>0</v>
      </c>
      <c r="J187" s="30">
        <f>+equipo9!I40</f>
        <v>2</v>
      </c>
      <c r="K187" s="30">
        <f>+equipo9!J40</f>
        <v>1</v>
      </c>
      <c r="L187" s="30">
        <f>+equipo9!K40</f>
        <v>0</v>
      </c>
      <c r="M187" s="30">
        <f>+equipo9!L40</f>
        <v>3</v>
      </c>
      <c r="N187" s="30">
        <f>+equipo9!M40</f>
        <v>0</v>
      </c>
      <c r="O187" s="30">
        <f>+equipo9!N40</f>
        <v>0</v>
      </c>
      <c r="P187" s="30">
        <f>+equipo9!O40</f>
        <v>0</v>
      </c>
      <c r="Q187" s="30">
        <f>+equipo9!P40</f>
        <v>0</v>
      </c>
      <c r="R187" s="30">
        <f>+equipo9!Q40</f>
        <v>3</v>
      </c>
      <c r="S187" s="30">
        <f>+equipo9!R40</f>
        <v>3</v>
      </c>
      <c r="T187" s="30">
        <f>+equipo9!S40</f>
        <v>0</v>
      </c>
      <c r="U187" s="30">
        <f>+equipo9!T40</f>
        <v>666.66666666666663</v>
      </c>
      <c r="V187" s="30">
        <f>+equipo9!U40</f>
        <v>1000</v>
      </c>
    </row>
    <row r="188" spans="1:22" x14ac:dyDescent="0.25">
      <c r="A188" s="30" t="str">
        <f>+equipo9!A41</f>
        <v>ADRIAN MURILLO</v>
      </c>
      <c r="B188" s="30">
        <f>+equipo9!B41</f>
        <v>32</v>
      </c>
      <c r="C188" s="31" t="str">
        <f>+equipo9!$A$6</f>
        <v>equipo9</v>
      </c>
      <c r="D188" s="30">
        <f>+equipo9!C41</f>
        <v>2</v>
      </c>
      <c r="E188" s="30">
        <f>+equipo9!D41</f>
        <v>1</v>
      </c>
      <c r="F188" s="30">
        <f>+equipo9!E41</f>
        <v>0</v>
      </c>
      <c r="G188" s="30">
        <f>+equipo9!F41</f>
        <v>0</v>
      </c>
      <c r="H188" s="30">
        <f>+equipo9!G41</f>
        <v>0</v>
      </c>
      <c r="I188" s="30">
        <f>+equipo9!H41</f>
        <v>0</v>
      </c>
      <c r="J188" s="30">
        <f>+equipo9!I41</f>
        <v>0</v>
      </c>
      <c r="K188" s="30">
        <f>+equipo9!J41</f>
        <v>1</v>
      </c>
      <c r="L188" s="30">
        <f>+equipo9!K41</f>
        <v>1</v>
      </c>
      <c r="M188" s="30">
        <f>+equipo9!L41</f>
        <v>1</v>
      </c>
      <c r="N188" s="30">
        <f>+equipo9!M41</f>
        <v>0</v>
      </c>
      <c r="O188" s="30">
        <f>+equipo9!N41</f>
        <v>0</v>
      </c>
      <c r="P188" s="30">
        <f>+equipo9!O41</f>
        <v>0</v>
      </c>
      <c r="Q188" s="30">
        <f>+equipo9!P41</f>
        <v>0</v>
      </c>
      <c r="R188" s="30">
        <f>+equipo9!Q41</f>
        <v>0</v>
      </c>
      <c r="S188" s="30">
        <f>+equipo9!R41</f>
        <v>3</v>
      </c>
      <c r="T188" s="30">
        <f>+equipo9!S41</f>
        <v>0</v>
      </c>
      <c r="U188" s="30">
        <f>+equipo9!T41</f>
        <v>0</v>
      </c>
      <c r="V188" s="30">
        <f>+equipo9!U41</f>
        <v>0</v>
      </c>
    </row>
    <row r="189" spans="1:22" x14ac:dyDescent="0.25">
      <c r="A189" s="30" t="str">
        <f>+equipo9!A42</f>
        <v>DARGREYBER RODRIGUEZ</v>
      </c>
      <c r="B189" s="30">
        <f>+equipo9!B42</f>
        <v>33</v>
      </c>
      <c r="C189" s="31" t="str">
        <f>+equipo9!$A$6</f>
        <v>equipo9</v>
      </c>
      <c r="D189" s="30">
        <f>+equipo9!C42</f>
        <v>0</v>
      </c>
      <c r="E189" s="30">
        <f>+equipo9!D42</f>
        <v>0</v>
      </c>
      <c r="F189" s="30">
        <f>+equipo9!E42</f>
        <v>0</v>
      </c>
      <c r="G189" s="30">
        <f>+equipo9!F42</f>
        <v>0</v>
      </c>
      <c r="H189" s="30">
        <f>+equipo9!G42</f>
        <v>0</v>
      </c>
      <c r="I189" s="30">
        <f>+equipo9!H42</f>
        <v>0</v>
      </c>
      <c r="J189" s="30">
        <f>+equipo9!I42</f>
        <v>0</v>
      </c>
      <c r="K189" s="30">
        <f>+equipo9!J42</f>
        <v>0</v>
      </c>
      <c r="L189" s="30">
        <f>+equipo9!K42</f>
        <v>0</v>
      </c>
      <c r="M189" s="30">
        <f>+equipo9!L42</f>
        <v>0</v>
      </c>
      <c r="N189" s="30">
        <f>+equipo9!M42</f>
        <v>0</v>
      </c>
      <c r="O189" s="30">
        <f>+equipo9!N42</f>
        <v>0</v>
      </c>
      <c r="P189" s="30">
        <f>+equipo9!O42</f>
        <v>0</v>
      </c>
      <c r="Q189" s="30">
        <f>+equipo9!P42</f>
        <v>0</v>
      </c>
      <c r="R189" s="30">
        <f>+equipo9!Q42</f>
        <v>0</v>
      </c>
      <c r="S189" s="30">
        <f>+equipo9!R42</f>
        <v>0</v>
      </c>
      <c r="T189" s="30">
        <f>+equipo9!S42</f>
        <v>0</v>
      </c>
      <c r="U189" s="30">
        <f>+equipo9!T42</f>
        <v>0</v>
      </c>
      <c r="V189" s="30">
        <f>+equipo9!U42</f>
        <v>0</v>
      </c>
    </row>
    <row r="190" spans="1:22" x14ac:dyDescent="0.25">
      <c r="A190" s="30" t="str">
        <f>+equipo9!A43</f>
        <v>JENSE FLORES</v>
      </c>
      <c r="B190" s="30">
        <f>+equipo9!B43</f>
        <v>35</v>
      </c>
      <c r="C190" s="31" t="str">
        <f>+equipo9!$A$6</f>
        <v>equipo9</v>
      </c>
      <c r="D190" s="30">
        <f>+equipo9!C43</f>
        <v>0</v>
      </c>
      <c r="E190" s="30">
        <f>+equipo9!D43</f>
        <v>0</v>
      </c>
      <c r="F190" s="30">
        <f>+equipo9!E43</f>
        <v>0</v>
      </c>
      <c r="G190" s="30">
        <f>+equipo9!F43</f>
        <v>0</v>
      </c>
      <c r="H190" s="30">
        <f>+equipo9!G43</f>
        <v>0</v>
      </c>
      <c r="I190" s="30">
        <f>+equipo9!H43</f>
        <v>0</v>
      </c>
      <c r="J190" s="30">
        <f>+equipo9!I43</f>
        <v>0</v>
      </c>
      <c r="K190" s="30">
        <f>+equipo9!J43</f>
        <v>0</v>
      </c>
      <c r="L190" s="30">
        <f>+equipo9!K43</f>
        <v>0</v>
      </c>
      <c r="M190" s="30">
        <f>+equipo9!L43</f>
        <v>0</v>
      </c>
      <c r="N190" s="30">
        <f>+equipo9!M43</f>
        <v>0</v>
      </c>
      <c r="O190" s="30">
        <f>+equipo9!N43</f>
        <v>0</v>
      </c>
      <c r="P190" s="30">
        <f>+equipo9!O43</f>
        <v>0</v>
      </c>
      <c r="Q190" s="30">
        <f>+equipo9!P43</f>
        <v>0</v>
      </c>
      <c r="R190" s="30">
        <f>+equipo9!Q43</f>
        <v>0</v>
      </c>
      <c r="S190" s="30">
        <f>+equipo9!R43</f>
        <v>0</v>
      </c>
      <c r="T190" s="30">
        <f>+equipo9!S43</f>
        <v>0</v>
      </c>
      <c r="U190" s="30">
        <f>+equipo9!T43</f>
        <v>0</v>
      </c>
      <c r="V190" s="30">
        <f>+equipo9!U43</f>
        <v>0</v>
      </c>
    </row>
    <row r="191" spans="1:22" x14ac:dyDescent="0.25">
      <c r="A191" s="30" t="str">
        <f>+equipo9!A44</f>
        <v/>
      </c>
      <c r="B191" s="30" t="str">
        <f>+equipo9!B44</f>
        <v/>
      </c>
      <c r="C191" s="31" t="str">
        <f>+equipo9!$A$6</f>
        <v>equipo9</v>
      </c>
      <c r="D191" s="30">
        <f>+equipo9!C44</f>
        <v>0</v>
      </c>
      <c r="E191" s="30">
        <f>+equipo9!D44</f>
        <v>0</v>
      </c>
      <c r="F191" s="30">
        <f>+equipo9!E44</f>
        <v>0</v>
      </c>
      <c r="G191" s="30">
        <f>+equipo9!F44</f>
        <v>0</v>
      </c>
      <c r="H191" s="30">
        <f>+equipo9!G44</f>
        <v>0</v>
      </c>
      <c r="I191" s="30">
        <f>+equipo9!H44</f>
        <v>0</v>
      </c>
      <c r="J191" s="30">
        <f>+equipo9!I44</f>
        <v>0</v>
      </c>
      <c r="K191" s="30">
        <f>+equipo9!J44</f>
        <v>0</v>
      </c>
      <c r="L191" s="30">
        <f>+equipo9!K44</f>
        <v>0</v>
      </c>
      <c r="M191" s="30">
        <f>+equipo9!L44</f>
        <v>0</v>
      </c>
      <c r="N191" s="30">
        <f>+equipo9!M44</f>
        <v>0</v>
      </c>
      <c r="O191" s="30">
        <f>+equipo9!N44</f>
        <v>0</v>
      </c>
      <c r="P191" s="30">
        <f>+equipo9!O44</f>
        <v>0</v>
      </c>
      <c r="Q191" s="30">
        <f>+equipo9!P44</f>
        <v>0</v>
      </c>
      <c r="R191" s="30">
        <f>+equipo9!Q44</f>
        <v>0</v>
      </c>
      <c r="S191" s="30">
        <f>+equipo9!R44</f>
        <v>0</v>
      </c>
      <c r="T191" s="30">
        <f>+equipo9!S44</f>
        <v>0</v>
      </c>
      <c r="U191" s="30">
        <f>+equipo9!T44</f>
        <v>0</v>
      </c>
      <c r="V191" s="30">
        <f>+equipo9!U44</f>
        <v>0</v>
      </c>
    </row>
    <row r="192" spans="1:22" x14ac:dyDescent="0.25">
      <c r="A192" s="30" t="str">
        <f>+equipo9!A45</f>
        <v/>
      </c>
      <c r="B192" s="30" t="str">
        <f>+equipo9!B45</f>
        <v/>
      </c>
      <c r="C192" s="31" t="str">
        <f>+equipo9!$A$6</f>
        <v>equipo9</v>
      </c>
      <c r="D192" s="30">
        <f>+equipo9!C45</f>
        <v>0</v>
      </c>
      <c r="E192" s="30">
        <f>+equipo9!D45</f>
        <v>0</v>
      </c>
      <c r="F192" s="30">
        <f>+equipo9!E45</f>
        <v>0</v>
      </c>
      <c r="G192" s="30">
        <f>+equipo9!F45</f>
        <v>0</v>
      </c>
      <c r="H192" s="30">
        <f>+equipo9!G45</f>
        <v>0</v>
      </c>
      <c r="I192" s="30">
        <f>+equipo9!H45</f>
        <v>0</v>
      </c>
      <c r="J192" s="30">
        <f>+equipo9!I45</f>
        <v>0</v>
      </c>
      <c r="K192" s="30">
        <f>+equipo9!J45</f>
        <v>0</v>
      </c>
      <c r="L192" s="30">
        <f>+equipo9!K45</f>
        <v>0</v>
      </c>
      <c r="M192" s="30">
        <f>+equipo9!L45</f>
        <v>0</v>
      </c>
      <c r="N192" s="30">
        <f>+equipo9!M45</f>
        <v>0</v>
      </c>
      <c r="O192" s="30">
        <f>+equipo9!N45</f>
        <v>0</v>
      </c>
      <c r="P192" s="30">
        <f>+equipo9!O45</f>
        <v>0</v>
      </c>
      <c r="Q192" s="30">
        <f>+equipo9!P45</f>
        <v>0</v>
      </c>
      <c r="R192" s="30">
        <f>+equipo9!Q45</f>
        <v>0</v>
      </c>
      <c r="S192" s="30">
        <f>+equipo9!R45</f>
        <v>0</v>
      </c>
      <c r="T192" s="30">
        <f>+equipo9!S45</f>
        <v>0</v>
      </c>
      <c r="U192" s="30">
        <f>+equipo9!T45</f>
        <v>0</v>
      </c>
      <c r="V192" s="30">
        <f>+equipo9!U45</f>
        <v>0</v>
      </c>
    </row>
    <row r="193" spans="1:22" x14ac:dyDescent="0.25">
      <c r="A193" s="30" t="str">
        <f>+equipo9!A46</f>
        <v/>
      </c>
      <c r="B193" s="30" t="str">
        <f>+equipo9!B46</f>
        <v/>
      </c>
      <c r="C193" s="31" t="str">
        <f>+equipo9!$A$6</f>
        <v>equipo9</v>
      </c>
      <c r="D193" s="30">
        <f>+equipo9!C46</f>
        <v>0</v>
      </c>
      <c r="E193" s="30">
        <f>+equipo9!D46</f>
        <v>0</v>
      </c>
      <c r="F193" s="30">
        <f>+equipo9!E46</f>
        <v>0</v>
      </c>
      <c r="G193" s="30">
        <f>+equipo9!F46</f>
        <v>0</v>
      </c>
      <c r="H193" s="30">
        <f>+equipo9!G46</f>
        <v>0</v>
      </c>
      <c r="I193" s="30">
        <f>+equipo9!H46</f>
        <v>0</v>
      </c>
      <c r="J193" s="30">
        <f>+equipo9!I46</f>
        <v>0</v>
      </c>
      <c r="K193" s="30">
        <f>+equipo9!J46</f>
        <v>0</v>
      </c>
      <c r="L193" s="30">
        <f>+equipo9!K46</f>
        <v>0</v>
      </c>
      <c r="M193" s="30">
        <f>+equipo9!L46</f>
        <v>0</v>
      </c>
      <c r="N193" s="30">
        <f>+equipo9!M46</f>
        <v>0</v>
      </c>
      <c r="O193" s="30">
        <f>+equipo9!N46</f>
        <v>0</v>
      </c>
      <c r="P193" s="30">
        <f>+equipo9!O46</f>
        <v>0</v>
      </c>
      <c r="Q193" s="30">
        <f>+equipo9!P46</f>
        <v>0</v>
      </c>
      <c r="R193" s="30">
        <f>+equipo9!Q46</f>
        <v>0</v>
      </c>
      <c r="S193" s="30">
        <f>+equipo9!R46</f>
        <v>0</v>
      </c>
      <c r="T193" s="30">
        <f>+equipo9!S46</f>
        <v>0</v>
      </c>
      <c r="U193" s="30">
        <f>+equipo9!T46</f>
        <v>0</v>
      </c>
      <c r="V193" s="30">
        <f>+equipo9!U46</f>
        <v>0</v>
      </c>
    </row>
    <row r="194" spans="1:22" x14ac:dyDescent="0.25">
      <c r="A194" s="30" t="str">
        <f>+equipo9!A47</f>
        <v/>
      </c>
      <c r="B194" s="30" t="str">
        <f>+equipo9!B47</f>
        <v/>
      </c>
      <c r="C194" s="31" t="str">
        <f>+equipo9!$A$6</f>
        <v>equipo9</v>
      </c>
      <c r="D194" s="30">
        <f>+equipo9!C47</f>
        <v>0</v>
      </c>
      <c r="E194" s="30">
        <f>+equipo9!D47</f>
        <v>0</v>
      </c>
      <c r="F194" s="30">
        <f>+equipo9!E47</f>
        <v>0</v>
      </c>
      <c r="G194" s="30">
        <f>+equipo9!F47</f>
        <v>0</v>
      </c>
      <c r="H194" s="30">
        <f>+equipo9!G47</f>
        <v>0</v>
      </c>
      <c r="I194" s="30">
        <f>+equipo9!H47</f>
        <v>0</v>
      </c>
      <c r="J194" s="30">
        <f>+equipo9!I47</f>
        <v>0</v>
      </c>
      <c r="K194" s="30">
        <f>+equipo9!J47</f>
        <v>0</v>
      </c>
      <c r="L194" s="30">
        <f>+equipo9!K47</f>
        <v>0</v>
      </c>
      <c r="M194" s="30">
        <f>+equipo9!L47</f>
        <v>0</v>
      </c>
      <c r="N194" s="30">
        <f>+equipo9!M47</f>
        <v>0</v>
      </c>
      <c r="O194" s="30">
        <f>+equipo9!N47</f>
        <v>0</v>
      </c>
      <c r="P194" s="30">
        <f>+equipo9!O47</f>
        <v>0</v>
      </c>
      <c r="Q194" s="30">
        <f>+equipo9!P47</f>
        <v>0</v>
      </c>
      <c r="R194" s="30">
        <f>+equipo9!Q47</f>
        <v>0</v>
      </c>
      <c r="S194" s="30">
        <f>+equipo9!R47</f>
        <v>0</v>
      </c>
      <c r="T194" s="30">
        <f>+equipo9!S47</f>
        <v>0</v>
      </c>
      <c r="U194" s="30">
        <f>+equipo9!T47</f>
        <v>0</v>
      </c>
      <c r="V194" s="30">
        <f>+equipo9!U47</f>
        <v>0</v>
      </c>
    </row>
    <row r="195" spans="1:22" x14ac:dyDescent="0.25">
      <c r="A195" s="30" t="str">
        <f>+equipo9!A48</f>
        <v/>
      </c>
      <c r="B195" s="30" t="str">
        <f>+equipo9!B48</f>
        <v/>
      </c>
      <c r="C195" s="31" t="str">
        <f>+equipo9!$A$6</f>
        <v>equipo9</v>
      </c>
      <c r="D195" s="30">
        <f>+equipo9!C48</f>
        <v>0</v>
      </c>
      <c r="E195" s="30">
        <f>+equipo9!D48</f>
        <v>0</v>
      </c>
      <c r="F195" s="30">
        <f>+equipo9!E48</f>
        <v>0</v>
      </c>
      <c r="G195" s="30">
        <f>+equipo9!F48</f>
        <v>0</v>
      </c>
      <c r="H195" s="30">
        <f>+equipo9!G48</f>
        <v>0</v>
      </c>
      <c r="I195" s="30">
        <f>+equipo9!H48</f>
        <v>0</v>
      </c>
      <c r="J195" s="30">
        <f>+equipo9!I48</f>
        <v>0</v>
      </c>
      <c r="K195" s="30">
        <f>+equipo9!J48</f>
        <v>0</v>
      </c>
      <c r="L195" s="30">
        <f>+equipo9!K48</f>
        <v>0</v>
      </c>
      <c r="M195" s="30">
        <f>+equipo9!L48</f>
        <v>0</v>
      </c>
      <c r="N195" s="30">
        <f>+equipo9!M48</f>
        <v>0</v>
      </c>
      <c r="O195" s="30">
        <f>+equipo9!N48</f>
        <v>0</v>
      </c>
      <c r="P195" s="30">
        <f>+equipo9!O48</f>
        <v>0</v>
      </c>
      <c r="Q195" s="30">
        <f>+equipo9!P48</f>
        <v>0</v>
      </c>
      <c r="R195" s="30">
        <f>+equipo9!Q48</f>
        <v>0</v>
      </c>
      <c r="S195" s="30">
        <f>+equipo9!R48</f>
        <v>0</v>
      </c>
      <c r="T195" s="30">
        <f>+equipo9!S48</f>
        <v>0</v>
      </c>
      <c r="U195" s="30">
        <f>+equipo9!T48</f>
        <v>0</v>
      </c>
      <c r="V195" s="30">
        <f>+equipo9!U48</f>
        <v>0</v>
      </c>
    </row>
    <row r="196" spans="1:22" x14ac:dyDescent="0.25">
      <c r="A196" s="30" t="str">
        <f>+equipo9!A49</f>
        <v/>
      </c>
      <c r="B196" s="30" t="str">
        <f>+equipo9!B49</f>
        <v/>
      </c>
      <c r="C196" s="31" t="str">
        <f>+equipo9!$A$6</f>
        <v>equipo9</v>
      </c>
      <c r="D196" s="30">
        <f>+equipo9!C49</f>
        <v>0</v>
      </c>
      <c r="E196" s="30">
        <f>+equipo9!D49</f>
        <v>0</v>
      </c>
      <c r="F196" s="30">
        <f>+equipo9!E49</f>
        <v>0</v>
      </c>
      <c r="G196" s="30">
        <f>+equipo9!F49</f>
        <v>0</v>
      </c>
      <c r="H196" s="30">
        <f>+equipo9!G49</f>
        <v>0</v>
      </c>
      <c r="I196" s="30">
        <f>+equipo9!H49</f>
        <v>0</v>
      </c>
      <c r="J196" s="30">
        <f>+equipo9!I49</f>
        <v>0</v>
      </c>
      <c r="K196" s="30">
        <f>+equipo9!J49</f>
        <v>0</v>
      </c>
      <c r="L196" s="30">
        <f>+equipo9!K49</f>
        <v>0</v>
      </c>
      <c r="M196" s="30">
        <f>+equipo9!L49</f>
        <v>0</v>
      </c>
      <c r="N196" s="30">
        <f>+equipo9!M49</f>
        <v>0</v>
      </c>
      <c r="O196" s="30">
        <f>+equipo9!N49</f>
        <v>0</v>
      </c>
      <c r="P196" s="30">
        <f>+equipo9!O49</f>
        <v>0</v>
      </c>
      <c r="Q196" s="30">
        <f>+equipo9!P49</f>
        <v>0</v>
      </c>
      <c r="R196" s="30">
        <f>+equipo9!Q49</f>
        <v>0</v>
      </c>
      <c r="S196" s="30">
        <f>+equipo9!R49</f>
        <v>0</v>
      </c>
      <c r="T196" s="30">
        <f>+equipo9!S49</f>
        <v>0</v>
      </c>
      <c r="U196" s="30">
        <f>+equipo9!T49</f>
        <v>0</v>
      </c>
      <c r="V196" s="30">
        <f>+equipo9!U49</f>
        <v>0</v>
      </c>
    </row>
    <row r="197" spans="1:22" x14ac:dyDescent="0.25">
      <c r="A197" s="30" t="str">
        <f>+equipo9!A50</f>
        <v/>
      </c>
      <c r="B197" s="30" t="str">
        <f>+equipo9!B50</f>
        <v/>
      </c>
      <c r="C197" s="31" t="str">
        <f>+equipo9!$A$6</f>
        <v>equipo9</v>
      </c>
      <c r="D197" s="30">
        <f>+equipo9!C50</f>
        <v>0</v>
      </c>
      <c r="E197" s="30">
        <f>+equipo9!D50</f>
        <v>0</v>
      </c>
      <c r="F197" s="30">
        <f>+equipo9!E50</f>
        <v>0</v>
      </c>
      <c r="G197" s="30">
        <f>+equipo9!F50</f>
        <v>0</v>
      </c>
      <c r="H197" s="30">
        <f>+equipo9!G50</f>
        <v>0</v>
      </c>
      <c r="I197" s="30">
        <f>+equipo9!H50</f>
        <v>0</v>
      </c>
      <c r="J197" s="30">
        <f>+equipo9!I50</f>
        <v>0</v>
      </c>
      <c r="K197" s="30">
        <f>+equipo9!J50</f>
        <v>0</v>
      </c>
      <c r="L197" s="30">
        <f>+equipo9!K50</f>
        <v>0</v>
      </c>
      <c r="M197" s="30">
        <f>+equipo9!L50</f>
        <v>0</v>
      </c>
      <c r="N197" s="30">
        <f>+equipo9!M50</f>
        <v>0</v>
      </c>
      <c r="O197" s="30">
        <f>+equipo9!N50</f>
        <v>0</v>
      </c>
      <c r="P197" s="30">
        <f>+equipo9!O50</f>
        <v>0</v>
      </c>
      <c r="Q197" s="30">
        <f>+equipo9!P50</f>
        <v>0</v>
      </c>
      <c r="R197" s="30">
        <f>+equipo9!Q50</f>
        <v>0</v>
      </c>
      <c r="S197" s="30">
        <f>+equipo9!R50</f>
        <v>0</v>
      </c>
      <c r="T197" s="30">
        <f>+equipo9!S50</f>
        <v>0</v>
      </c>
      <c r="U197" s="30">
        <f>+equipo9!T50</f>
        <v>0</v>
      </c>
      <c r="V197" s="30">
        <f>+equipo9!U50</f>
        <v>0</v>
      </c>
    </row>
    <row r="198" spans="1:22" x14ac:dyDescent="0.25">
      <c r="A198" s="30" t="str">
        <f>+equipo10!A32</f>
        <v>RONALD ACUÑA EQUIPO10</v>
      </c>
      <c r="B198" s="30">
        <f>+equipo10!B32</f>
        <v>13</v>
      </c>
      <c r="C198" s="31" t="str">
        <f>+equipo10!$A$6</f>
        <v>equipo10</v>
      </c>
      <c r="D198" s="30">
        <f>+equipo10!C32</f>
        <v>4</v>
      </c>
      <c r="E198" s="30">
        <f>+equipo10!D32</f>
        <v>2</v>
      </c>
      <c r="F198" s="30">
        <f>+equipo10!E32</f>
        <v>1</v>
      </c>
      <c r="G198" s="30">
        <f>+equipo10!F32</f>
        <v>0</v>
      </c>
      <c r="H198" s="30">
        <f>+equipo10!G32</f>
        <v>0</v>
      </c>
      <c r="I198" s="30">
        <f>+equipo10!H32</f>
        <v>0</v>
      </c>
      <c r="J198" s="30">
        <f>+equipo10!I32</f>
        <v>0</v>
      </c>
      <c r="K198" s="30">
        <f>+equipo10!J32</f>
        <v>0</v>
      </c>
      <c r="L198" s="30">
        <f>+equipo10!K32</f>
        <v>0</v>
      </c>
      <c r="M198" s="30">
        <f>+equipo10!L32</f>
        <v>1</v>
      </c>
      <c r="N198" s="30">
        <f>+equipo10!M32</f>
        <v>0</v>
      </c>
      <c r="O198" s="30">
        <f>+equipo10!N32</f>
        <v>0</v>
      </c>
      <c r="P198" s="30">
        <f>+equipo10!O32</f>
        <v>0</v>
      </c>
      <c r="Q198" s="30">
        <f>+equipo10!P32</f>
        <v>0</v>
      </c>
      <c r="R198" s="30">
        <f>+equipo10!Q32</f>
        <v>1</v>
      </c>
      <c r="S198" s="30">
        <f>+equipo10!R32</f>
        <v>4</v>
      </c>
      <c r="T198" s="30">
        <f>+equipo10!S32</f>
        <v>0</v>
      </c>
      <c r="U198" s="30">
        <f>+equipo10!T32</f>
        <v>250</v>
      </c>
      <c r="V198" s="30">
        <f>+equipo10!U32</f>
        <v>250</v>
      </c>
    </row>
    <row r="199" spans="1:22" x14ac:dyDescent="0.25">
      <c r="A199" s="30" t="str">
        <f>+equipo10!A33</f>
        <v>JOSEPH MENDOZA</v>
      </c>
      <c r="B199" s="30">
        <f>+equipo10!B33</f>
        <v>15</v>
      </c>
      <c r="C199" s="31" t="str">
        <f>+equipo10!$A$6</f>
        <v>equipo10</v>
      </c>
      <c r="D199" s="30">
        <f>+equipo10!C33</f>
        <v>3</v>
      </c>
      <c r="E199" s="30">
        <f>+equipo10!D33</f>
        <v>1</v>
      </c>
      <c r="F199" s="30">
        <f>+equipo10!E33</f>
        <v>1</v>
      </c>
      <c r="G199" s="30">
        <f>+equipo10!F33</f>
        <v>1</v>
      </c>
      <c r="H199" s="30">
        <f>+equipo10!G33</f>
        <v>0</v>
      </c>
      <c r="I199" s="30">
        <f>+equipo10!H33</f>
        <v>0</v>
      </c>
      <c r="J199" s="30">
        <f>+equipo10!I33</f>
        <v>0</v>
      </c>
      <c r="K199" s="30">
        <f>+equipo10!J33</f>
        <v>0</v>
      </c>
      <c r="L199" s="30">
        <f>+equipo10!K33</f>
        <v>1</v>
      </c>
      <c r="M199" s="30">
        <f>+equipo10!L33</f>
        <v>0</v>
      </c>
      <c r="N199" s="30">
        <f>+equipo10!M33</f>
        <v>0</v>
      </c>
      <c r="O199" s="30">
        <f>+equipo10!N33</f>
        <v>0</v>
      </c>
      <c r="P199" s="30">
        <f>+equipo10!O33</f>
        <v>0</v>
      </c>
      <c r="Q199" s="30">
        <f>+equipo10!P33</f>
        <v>0</v>
      </c>
      <c r="R199" s="30">
        <f>+equipo10!Q33</f>
        <v>2</v>
      </c>
      <c r="S199" s="30">
        <f>+equipo10!R33</f>
        <v>4</v>
      </c>
      <c r="T199" s="30">
        <f>+equipo10!S33</f>
        <v>0</v>
      </c>
      <c r="U199" s="30">
        <f>+equipo10!T33</f>
        <v>333.33333333333331</v>
      </c>
      <c r="V199" s="30">
        <f>+equipo10!U33</f>
        <v>666.66666666666663</v>
      </c>
    </row>
    <row r="200" spans="1:22" x14ac:dyDescent="0.25">
      <c r="A200" s="30" t="str">
        <f>+equipo10!A34</f>
        <v>ABRAHAN RODRIGUZ</v>
      </c>
      <c r="B200" s="30">
        <f>+equipo10!B34</f>
        <v>22</v>
      </c>
      <c r="C200" s="31" t="str">
        <f>+equipo10!$A$6</f>
        <v>equipo10</v>
      </c>
      <c r="D200" s="30">
        <f>+equipo10!C34</f>
        <v>4</v>
      </c>
      <c r="E200" s="30">
        <f>+equipo10!D34</f>
        <v>0</v>
      </c>
      <c r="F200" s="30">
        <f>+equipo10!E34</f>
        <v>1</v>
      </c>
      <c r="G200" s="30">
        <f>+equipo10!F34</f>
        <v>0</v>
      </c>
      <c r="H200" s="30">
        <f>+equipo10!G34</f>
        <v>0</v>
      </c>
      <c r="I200" s="30">
        <f>+equipo10!H34</f>
        <v>0</v>
      </c>
      <c r="J200" s="30">
        <f>+equipo10!I34</f>
        <v>0</v>
      </c>
      <c r="K200" s="30">
        <f>+equipo10!J34</f>
        <v>0</v>
      </c>
      <c r="L200" s="30">
        <f>+equipo10!K34</f>
        <v>0</v>
      </c>
      <c r="M200" s="30">
        <f>+equipo10!L34</f>
        <v>0</v>
      </c>
      <c r="N200" s="30">
        <f>+equipo10!M34</f>
        <v>0</v>
      </c>
      <c r="O200" s="30">
        <f>+equipo10!N34</f>
        <v>0</v>
      </c>
      <c r="P200" s="30">
        <f>+equipo10!O34</f>
        <v>0</v>
      </c>
      <c r="Q200" s="30">
        <f>+equipo10!P34</f>
        <v>0</v>
      </c>
      <c r="R200" s="30">
        <f>+equipo10!Q34</f>
        <v>1</v>
      </c>
      <c r="S200" s="30">
        <f>+equipo10!R34</f>
        <v>4</v>
      </c>
      <c r="T200" s="30">
        <f>+equipo10!S34</f>
        <v>0</v>
      </c>
      <c r="U200" s="30">
        <f>+equipo10!T34</f>
        <v>250</v>
      </c>
      <c r="V200" s="30">
        <f>+equipo10!U34</f>
        <v>250</v>
      </c>
    </row>
    <row r="201" spans="1:22" x14ac:dyDescent="0.25">
      <c r="A201" s="30" t="str">
        <f>+equipo10!A35</f>
        <v>ALEXANDER HERNANDEZ</v>
      </c>
      <c r="B201" s="30">
        <f>+equipo10!B35</f>
        <v>23</v>
      </c>
      <c r="C201" s="31" t="str">
        <f>+equipo10!$A$6</f>
        <v>equipo10</v>
      </c>
      <c r="D201" s="30">
        <f>+equipo10!C35</f>
        <v>0</v>
      </c>
      <c r="E201" s="30">
        <f>+equipo10!D35</f>
        <v>1</v>
      </c>
      <c r="F201" s="30">
        <f>+equipo10!E35</f>
        <v>0</v>
      </c>
      <c r="G201" s="30">
        <f>+equipo10!F35</f>
        <v>0</v>
      </c>
      <c r="H201" s="30">
        <f>+equipo10!G35</f>
        <v>0</v>
      </c>
      <c r="I201" s="30">
        <f>+equipo10!H35</f>
        <v>0</v>
      </c>
      <c r="J201" s="30">
        <f>+equipo10!I35</f>
        <v>1</v>
      </c>
      <c r="K201" s="30">
        <f>+equipo10!J35</f>
        <v>0</v>
      </c>
      <c r="L201" s="30">
        <f>+equipo10!K35</f>
        <v>3</v>
      </c>
      <c r="M201" s="30">
        <f>+equipo10!L35</f>
        <v>3</v>
      </c>
      <c r="N201" s="30">
        <f>+equipo10!M35</f>
        <v>0</v>
      </c>
      <c r="O201" s="30">
        <f>+equipo10!N35</f>
        <v>0</v>
      </c>
      <c r="P201" s="30">
        <f>+equipo10!O35</f>
        <v>0</v>
      </c>
      <c r="Q201" s="30">
        <f>+equipo10!P35</f>
        <v>0</v>
      </c>
      <c r="R201" s="30">
        <f>+equipo10!Q35</f>
        <v>0</v>
      </c>
      <c r="S201" s="30">
        <f>+equipo10!R35</f>
        <v>3</v>
      </c>
      <c r="T201" s="30">
        <f>+equipo10!S35</f>
        <v>0</v>
      </c>
      <c r="U201" s="30">
        <f>+equipo10!T35</f>
        <v>0</v>
      </c>
      <c r="V201" s="30">
        <f>+equipo10!U35</f>
        <v>0</v>
      </c>
    </row>
    <row r="202" spans="1:22" x14ac:dyDescent="0.25">
      <c r="A202" s="30" t="str">
        <f>+equipo10!A36</f>
        <v>DANIEL LIENDO</v>
      </c>
      <c r="B202" s="30" t="str">
        <f>+equipo10!B36</f>
        <v/>
      </c>
      <c r="C202" s="31" t="str">
        <f>+equipo10!$A$6</f>
        <v>equipo10</v>
      </c>
      <c r="D202" s="30">
        <f>+equipo10!C36</f>
        <v>1</v>
      </c>
      <c r="E202" s="30">
        <f>+equipo10!D36</f>
        <v>0</v>
      </c>
      <c r="F202" s="30">
        <f>+equipo10!E36</f>
        <v>0</v>
      </c>
      <c r="G202" s="30">
        <f>+equipo10!F36</f>
        <v>0</v>
      </c>
      <c r="H202" s="30">
        <f>+equipo10!G36</f>
        <v>0</v>
      </c>
      <c r="I202" s="30">
        <f>+equipo10!H36</f>
        <v>0</v>
      </c>
      <c r="J202" s="30">
        <f>+equipo10!I36</f>
        <v>0</v>
      </c>
      <c r="K202" s="30">
        <f>+equipo10!J36</f>
        <v>0</v>
      </c>
      <c r="L202" s="30">
        <f>+equipo10!K36</f>
        <v>0</v>
      </c>
      <c r="M202" s="30">
        <f>+equipo10!L36</f>
        <v>0</v>
      </c>
      <c r="N202" s="30">
        <f>+equipo10!M36</f>
        <v>0</v>
      </c>
      <c r="O202" s="30">
        <f>+equipo10!N36</f>
        <v>0</v>
      </c>
      <c r="P202" s="30">
        <f>+equipo10!O36</f>
        <v>0</v>
      </c>
      <c r="Q202" s="30">
        <f>+equipo10!P36</f>
        <v>0</v>
      </c>
      <c r="R202" s="30">
        <f>+equipo10!Q36</f>
        <v>0</v>
      </c>
      <c r="S202" s="30">
        <f>+equipo10!R36</f>
        <v>1</v>
      </c>
      <c r="T202" s="30">
        <f>+equipo10!S36</f>
        <v>0</v>
      </c>
      <c r="U202" s="30">
        <f>+equipo10!T36</f>
        <v>0</v>
      </c>
      <c r="V202" s="30">
        <f>+equipo10!U36</f>
        <v>0</v>
      </c>
    </row>
    <row r="203" spans="1:22" x14ac:dyDescent="0.25">
      <c r="A203" s="30" t="str">
        <f>+equipo10!A37</f>
        <v>SEBASTIAN MUJICA</v>
      </c>
      <c r="B203" s="30" t="str">
        <f>+equipo10!B37</f>
        <v/>
      </c>
      <c r="C203" s="31" t="str">
        <f>+equipo10!$A$6</f>
        <v>equipo10</v>
      </c>
      <c r="D203" s="30">
        <f>+equipo10!C37</f>
        <v>2</v>
      </c>
      <c r="E203" s="30">
        <f>+equipo10!D37</f>
        <v>0</v>
      </c>
      <c r="F203" s="30">
        <f>+equipo10!E37</f>
        <v>0</v>
      </c>
      <c r="G203" s="30">
        <f>+equipo10!F37</f>
        <v>0</v>
      </c>
      <c r="H203" s="30">
        <f>+equipo10!G37</f>
        <v>0</v>
      </c>
      <c r="I203" s="30">
        <f>+equipo10!H37</f>
        <v>0</v>
      </c>
      <c r="J203" s="30">
        <f>+equipo10!I37</f>
        <v>0</v>
      </c>
      <c r="K203" s="30">
        <f>+equipo10!J37</f>
        <v>1</v>
      </c>
      <c r="L203" s="30">
        <f>+equipo10!K37</f>
        <v>0</v>
      </c>
      <c r="M203" s="30">
        <f>+equipo10!L37</f>
        <v>0</v>
      </c>
      <c r="N203" s="30">
        <f>+equipo10!M37</f>
        <v>0</v>
      </c>
      <c r="O203" s="30">
        <f>+equipo10!N37</f>
        <v>0</v>
      </c>
      <c r="P203" s="30">
        <f>+equipo10!O37</f>
        <v>0</v>
      </c>
      <c r="Q203" s="30">
        <f>+equipo10!P37</f>
        <v>0</v>
      </c>
      <c r="R203" s="30">
        <f>+equipo10!Q37</f>
        <v>0</v>
      </c>
      <c r="S203" s="30">
        <f>+equipo10!R37</f>
        <v>2</v>
      </c>
      <c r="T203" s="30">
        <f>+equipo10!S37</f>
        <v>0</v>
      </c>
      <c r="U203" s="30">
        <f>+equipo10!T37</f>
        <v>0</v>
      </c>
      <c r="V203" s="30">
        <f>+equipo10!U37</f>
        <v>0</v>
      </c>
    </row>
    <row r="204" spans="1:22" x14ac:dyDescent="0.25">
      <c r="A204" s="30" t="str">
        <f>+equipo10!A38</f>
        <v>ANGEL RODRIGUEZ</v>
      </c>
      <c r="B204" s="30" t="str">
        <f>+equipo10!B38</f>
        <v/>
      </c>
      <c r="C204" s="31" t="str">
        <f>+equipo10!$A$6</f>
        <v>equipo10</v>
      </c>
      <c r="D204" s="30">
        <f>+equipo10!C38</f>
        <v>3</v>
      </c>
      <c r="E204" s="30">
        <f>+equipo10!D38</f>
        <v>2</v>
      </c>
      <c r="F204" s="30">
        <f>+equipo10!E38</f>
        <v>2</v>
      </c>
      <c r="G204" s="30">
        <f>+equipo10!F38</f>
        <v>0</v>
      </c>
      <c r="H204" s="30">
        <f>+equipo10!G38</f>
        <v>0</v>
      </c>
      <c r="I204" s="30">
        <f>+equipo10!H38</f>
        <v>0</v>
      </c>
      <c r="J204" s="30">
        <f>+equipo10!I38</f>
        <v>1</v>
      </c>
      <c r="K204" s="30">
        <f>+equipo10!J38</f>
        <v>1</v>
      </c>
      <c r="L204" s="30">
        <f>+equipo10!K38</f>
        <v>0</v>
      </c>
      <c r="M204" s="30">
        <f>+equipo10!L38</f>
        <v>1</v>
      </c>
      <c r="N204" s="30">
        <f>+equipo10!M38</f>
        <v>0</v>
      </c>
      <c r="O204" s="30">
        <f>+equipo10!N38</f>
        <v>0</v>
      </c>
      <c r="P204" s="30">
        <f>+equipo10!O38</f>
        <v>0</v>
      </c>
      <c r="Q204" s="30">
        <f>+equipo10!P38</f>
        <v>0</v>
      </c>
      <c r="R204" s="30">
        <f>+equipo10!Q38</f>
        <v>2</v>
      </c>
      <c r="S204" s="30">
        <f>+equipo10!R38</f>
        <v>3</v>
      </c>
      <c r="T204" s="30">
        <f>+equipo10!S38</f>
        <v>0</v>
      </c>
      <c r="U204" s="30">
        <f>+equipo10!T38</f>
        <v>666.66666666666663</v>
      </c>
      <c r="V204" s="30">
        <f>+equipo10!U38</f>
        <v>666.66666666666663</v>
      </c>
    </row>
    <row r="205" spans="1:22" x14ac:dyDescent="0.25">
      <c r="A205" s="30" t="str">
        <f>+equipo10!A39</f>
        <v>FRANCISCO MONASTERIO</v>
      </c>
      <c r="B205" s="30" t="str">
        <f>+equipo10!B39</f>
        <v/>
      </c>
      <c r="C205" s="31" t="str">
        <f>+equipo10!$A$6</f>
        <v>equipo10</v>
      </c>
      <c r="D205" s="30">
        <f>+equipo10!C39</f>
        <v>3</v>
      </c>
      <c r="E205" s="30">
        <f>+equipo10!D39</f>
        <v>1</v>
      </c>
      <c r="F205" s="30">
        <f>+equipo10!E39</f>
        <v>2</v>
      </c>
      <c r="G205" s="30">
        <f>+equipo10!F39</f>
        <v>0</v>
      </c>
      <c r="H205" s="30">
        <f>+equipo10!G39</f>
        <v>1</v>
      </c>
      <c r="I205" s="30">
        <f>+equipo10!H39</f>
        <v>0</v>
      </c>
      <c r="J205" s="30">
        <f>+equipo10!I39</f>
        <v>0</v>
      </c>
      <c r="K205" s="30">
        <f>+equipo10!J39</f>
        <v>0</v>
      </c>
      <c r="L205" s="30">
        <f>+equipo10!K39</f>
        <v>0</v>
      </c>
      <c r="M205" s="30">
        <f>+equipo10!L39</f>
        <v>0</v>
      </c>
      <c r="N205" s="30">
        <f>+equipo10!M39</f>
        <v>0</v>
      </c>
      <c r="O205" s="30">
        <f>+equipo10!N39</f>
        <v>0</v>
      </c>
      <c r="P205" s="30">
        <f>+equipo10!O39</f>
        <v>0</v>
      </c>
      <c r="Q205" s="30">
        <f>+equipo10!P39</f>
        <v>0</v>
      </c>
      <c r="R205" s="30">
        <f>+equipo10!Q39</f>
        <v>4</v>
      </c>
      <c r="S205" s="30">
        <f>+equipo10!R39</f>
        <v>3</v>
      </c>
      <c r="T205" s="30">
        <f>+equipo10!S39</f>
        <v>0</v>
      </c>
      <c r="U205" s="30">
        <f>+equipo10!T39</f>
        <v>666.66666666666663</v>
      </c>
      <c r="V205" s="30">
        <f>+equipo10!U39</f>
        <v>1333.3333333333333</v>
      </c>
    </row>
    <row r="206" spans="1:22" x14ac:dyDescent="0.25">
      <c r="A206" s="30" t="str">
        <f>+equipo10!A40</f>
        <v>MARCOS MORALES</v>
      </c>
      <c r="B206" s="30" t="str">
        <f>+equipo10!B40</f>
        <v/>
      </c>
      <c r="C206" s="31" t="str">
        <f>+equipo10!$A$6</f>
        <v>equipo10</v>
      </c>
      <c r="D206" s="30">
        <f>+equipo10!C40</f>
        <v>3</v>
      </c>
      <c r="E206" s="30">
        <f>+equipo10!D40</f>
        <v>2</v>
      </c>
      <c r="F206" s="30">
        <f>+equipo10!E40</f>
        <v>2</v>
      </c>
      <c r="G206" s="30">
        <f>+equipo10!F40</f>
        <v>1</v>
      </c>
      <c r="H206" s="30">
        <f>+equipo10!G40</f>
        <v>0</v>
      </c>
      <c r="I206" s="30">
        <f>+equipo10!H40</f>
        <v>0</v>
      </c>
      <c r="J206" s="30">
        <f>+equipo10!I40</f>
        <v>2</v>
      </c>
      <c r="K206" s="30">
        <f>+equipo10!J40</f>
        <v>1</v>
      </c>
      <c r="L206" s="30">
        <f>+equipo10!K40</f>
        <v>0</v>
      </c>
      <c r="M206" s="30">
        <f>+equipo10!L40</f>
        <v>3</v>
      </c>
      <c r="N206" s="30">
        <f>+equipo10!M40</f>
        <v>0</v>
      </c>
      <c r="O206" s="30">
        <f>+equipo10!N40</f>
        <v>0</v>
      </c>
      <c r="P206" s="30">
        <f>+equipo10!O40</f>
        <v>0</v>
      </c>
      <c r="Q206" s="30">
        <f>+equipo10!P40</f>
        <v>0</v>
      </c>
      <c r="R206" s="30">
        <f>+equipo10!Q40</f>
        <v>3</v>
      </c>
      <c r="S206" s="30">
        <f>+equipo10!R40</f>
        <v>3</v>
      </c>
      <c r="T206" s="30">
        <f>+equipo10!S40</f>
        <v>0</v>
      </c>
      <c r="U206" s="30">
        <f>+equipo10!T40</f>
        <v>666.66666666666663</v>
      </c>
      <c r="V206" s="30">
        <f>+equipo10!U40</f>
        <v>1000</v>
      </c>
    </row>
    <row r="207" spans="1:22" x14ac:dyDescent="0.25">
      <c r="A207" s="30" t="str">
        <f>+equipo10!A41</f>
        <v>ADRIAN MURILLO</v>
      </c>
      <c r="B207" s="30" t="str">
        <f>+equipo10!B41</f>
        <v/>
      </c>
      <c r="C207" s="31" t="str">
        <f>+equipo10!$A$6</f>
        <v>equipo10</v>
      </c>
      <c r="D207" s="30">
        <f>+equipo10!C41</f>
        <v>2</v>
      </c>
      <c r="E207" s="30">
        <f>+equipo10!D41</f>
        <v>1</v>
      </c>
      <c r="F207" s="30">
        <f>+equipo10!E41</f>
        <v>0</v>
      </c>
      <c r="G207" s="30">
        <f>+equipo10!F41</f>
        <v>0</v>
      </c>
      <c r="H207" s="30">
        <f>+equipo10!G41</f>
        <v>0</v>
      </c>
      <c r="I207" s="30">
        <f>+equipo10!H41</f>
        <v>0</v>
      </c>
      <c r="J207" s="30">
        <f>+equipo10!I41</f>
        <v>0</v>
      </c>
      <c r="K207" s="30">
        <f>+equipo10!J41</f>
        <v>1</v>
      </c>
      <c r="L207" s="30">
        <f>+equipo10!K41</f>
        <v>1</v>
      </c>
      <c r="M207" s="30">
        <f>+equipo10!L41</f>
        <v>1</v>
      </c>
      <c r="N207" s="30">
        <f>+equipo10!M41</f>
        <v>0</v>
      </c>
      <c r="O207" s="30">
        <f>+equipo10!N41</f>
        <v>0</v>
      </c>
      <c r="P207" s="30">
        <f>+equipo10!O41</f>
        <v>0</v>
      </c>
      <c r="Q207" s="30">
        <f>+equipo10!P41</f>
        <v>0</v>
      </c>
      <c r="R207" s="30">
        <f>+equipo10!Q41</f>
        <v>0</v>
      </c>
      <c r="S207" s="30">
        <f>+equipo10!R41</f>
        <v>3</v>
      </c>
      <c r="T207" s="30">
        <f>+equipo10!S41</f>
        <v>0</v>
      </c>
      <c r="U207" s="30">
        <f>+equipo10!T41</f>
        <v>0</v>
      </c>
      <c r="V207" s="30">
        <f>+equipo10!U41</f>
        <v>0</v>
      </c>
    </row>
    <row r="208" spans="1:22" x14ac:dyDescent="0.25">
      <c r="A208" s="30" t="str">
        <f>+equipo10!A42</f>
        <v>DARGREYBER RODRIGUEZ</v>
      </c>
      <c r="B208" s="30" t="str">
        <f>+equipo10!B42</f>
        <v/>
      </c>
      <c r="C208" s="31" t="str">
        <f>+equipo10!$A$6</f>
        <v>equipo10</v>
      </c>
      <c r="D208" s="30">
        <f>+equipo10!C42</f>
        <v>0</v>
      </c>
      <c r="E208" s="30">
        <f>+equipo10!D42</f>
        <v>0</v>
      </c>
      <c r="F208" s="30">
        <f>+equipo10!E42</f>
        <v>0</v>
      </c>
      <c r="G208" s="30">
        <f>+equipo10!F42</f>
        <v>0</v>
      </c>
      <c r="H208" s="30">
        <f>+equipo10!G42</f>
        <v>0</v>
      </c>
      <c r="I208" s="30">
        <f>+equipo10!H42</f>
        <v>0</v>
      </c>
      <c r="J208" s="30">
        <f>+equipo10!I42</f>
        <v>0</v>
      </c>
      <c r="K208" s="30">
        <f>+equipo10!J42</f>
        <v>0</v>
      </c>
      <c r="L208" s="30">
        <f>+equipo10!K42</f>
        <v>0</v>
      </c>
      <c r="M208" s="30">
        <f>+equipo10!L42</f>
        <v>0</v>
      </c>
      <c r="N208" s="30">
        <f>+equipo10!M42</f>
        <v>0</v>
      </c>
      <c r="O208" s="30">
        <f>+equipo10!N42</f>
        <v>0</v>
      </c>
      <c r="P208" s="30">
        <f>+equipo10!O42</f>
        <v>0</v>
      </c>
      <c r="Q208" s="30">
        <f>+equipo10!P42</f>
        <v>0</v>
      </c>
      <c r="R208" s="30">
        <f>+equipo10!Q42</f>
        <v>0</v>
      </c>
      <c r="S208" s="30">
        <f>+equipo10!R42</f>
        <v>0</v>
      </c>
      <c r="T208" s="30">
        <f>+equipo10!S42</f>
        <v>0</v>
      </c>
      <c r="U208" s="30">
        <f>+equipo10!T42</f>
        <v>0</v>
      </c>
      <c r="V208" s="30">
        <f>+equipo10!U42</f>
        <v>0</v>
      </c>
    </row>
    <row r="209" spans="1:22" x14ac:dyDescent="0.25">
      <c r="A209" s="30" t="str">
        <f>+equipo10!A43</f>
        <v>JENSE FLORES</v>
      </c>
      <c r="B209" s="30" t="str">
        <f>+equipo10!B43</f>
        <v/>
      </c>
      <c r="C209" s="31" t="str">
        <f>+equipo10!$A$6</f>
        <v>equipo10</v>
      </c>
      <c r="D209" s="30">
        <f>+equipo10!C43</f>
        <v>0</v>
      </c>
      <c r="E209" s="30">
        <f>+equipo10!D43</f>
        <v>0</v>
      </c>
      <c r="F209" s="30">
        <f>+equipo10!E43</f>
        <v>0</v>
      </c>
      <c r="G209" s="30">
        <f>+equipo10!F43</f>
        <v>0</v>
      </c>
      <c r="H209" s="30">
        <f>+equipo10!G43</f>
        <v>0</v>
      </c>
      <c r="I209" s="30">
        <f>+equipo10!H43</f>
        <v>0</v>
      </c>
      <c r="J209" s="30">
        <f>+equipo10!I43</f>
        <v>0</v>
      </c>
      <c r="K209" s="30">
        <f>+equipo10!J43</f>
        <v>0</v>
      </c>
      <c r="L209" s="30">
        <f>+equipo10!K43</f>
        <v>0</v>
      </c>
      <c r="M209" s="30">
        <f>+equipo10!L43</f>
        <v>0</v>
      </c>
      <c r="N209" s="30">
        <f>+equipo10!M43</f>
        <v>0</v>
      </c>
      <c r="O209" s="30">
        <f>+equipo10!N43</f>
        <v>0</v>
      </c>
      <c r="P209" s="30">
        <f>+equipo10!O43</f>
        <v>0</v>
      </c>
      <c r="Q209" s="30">
        <f>+equipo10!P43</f>
        <v>0</v>
      </c>
      <c r="R209" s="30">
        <f>+equipo10!Q43</f>
        <v>0</v>
      </c>
      <c r="S209" s="30">
        <f>+equipo10!R43</f>
        <v>0</v>
      </c>
      <c r="T209" s="30">
        <f>+equipo10!S43</f>
        <v>0</v>
      </c>
      <c r="U209" s="30">
        <f>+equipo10!T43</f>
        <v>0</v>
      </c>
      <c r="V209" s="30">
        <f>+equipo10!U43</f>
        <v>0</v>
      </c>
    </row>
    <row r="210" spans="1:22" x14ac:dyDescent="0.25">
      <c r="A210" s="30" t="str">
        <f>+equipo10!A44</f>
        <v/>
      </c>
      <c r="B210" s="30" t="str">
        <f>+equipo10!B44</f>
        <v/>
      </c>
      <c r="C210" s="31" t="str">
        <f>+equipo10!$A$6</f>
        <v>equipo10</v>
      </c>
      <c r="D210" s="30">
        <f>+equipo10!C44</f>
        <v>0</v>
      </c>
      <c r="E210" s="30">
        <f>+equipo10!D44</f>
        <v>0</v>
      </c>
      <c r="F210" s="30">
        <f>+equipo10!E44</f>
        <v>0</v>
      </c>
      <c r="G210" s="30">
        <f>+equipo10!F44</f>
        <v>0</v>
      </c>
      <c r="H210" s="30">
        <f>+equipo10!G44</f>
        <v>0</v>
      </c>
      <c r="I210" s="30">
        <f>+equipo10!H44</f>
        <v>0</v>
      </c>
      <c r="J210" s="30">
        <f>+equipo10!I44</f>
        <v>0</v>
      </c>
      <c r="K210" s="30">
        <f>+equipo10!J44</f>
        <v>0</v>
      </c>
      <c r="L210" s="30">
        <f>+equipo10!K44</f>
        <v>0</v>
      </c>
      <c r="M210" s="30">
        <f>+equipo10!L44</f>
        <v>0</v>
      </c>
      <c r="N210" s="30">
        <f>+equipo10!M44</f>
        <v>0</v>
      </c>
      <c r="O210" s="30">
        <f>+equipo10!N44</f>
        <v>0</v>
      </c>
      <c r="P210" s="30">
        <f>+equipo10!O44</f>
        <v>0</v>
      </c>
      <c r="Q210" s="30">
        <f>+equipo10!P44</f>
        <v>0</v>
      </c>
      <c r="R210" s="30">
        <f>+equipo10!Q44</f>
        <v>0</v>
      </c>
      <c r="S210" s="30">
        <f>+equipo10!R44</f>
        <v>0</v>
      </c>
      <c r="T210" s="30">
        <f>+equipo10!S44</f>
        <v>0</v>
      </c>
      <c r="U210" s="30">
        <f>+equipo10!T44</f>
        <v>0</v>
      </c>
      <c r="V210" s="30">
        <f>+equipo10!U44</f>
        <v>0</v>
      </c>
    </row>
    <row r="211" spans="1:22" x14ac:dyDescent="0.25">
      <c r="A211" s="30" t="str">
        <f>+equipo10!A45</f>
        <v/>
      </c>
      <c r="B211" s="30" t="str">
        <f>+equipo10!B45</f>
        <v/>
      </c>
      <c r="C211" s="31" t="str">
        <f>+equipo10!$A$6</f>
        <v>equipo10</v>
      </c>
      <c r="D211" s="30">
        <f>+equipo10!C45</f>
        <v>0</v>
      </c>
      <c r="E211" s="30">
        <f>+equipo10!D45</f>
        <v>0</v>
      </c>
      <c r="F211" s="30">
        <f>+equipo10!E45</f>
        <v>0</v>
      </c>
      <c r="G211" s="30">
        <f>+equipo10!F45</f>
        <v>0</v>
      </c>
      <c r="H211" s="30">
        <f>+equipo10!G45</f>
        <v>0</v>
      </c>
      <c r="I211" s="30">
        <f>+equipo10!H45</f>
        <v>0</v>
      </c>
      <c r="J211" s="30">
        <f>+equipo10!I45</f>
        <v>0</v>
      </c>
      <c r="K211" s="30">
        <f>+equipo10!J45</f>
        <v>0</v>
      </c>
      <c r="L211" s="30">
        <f>+equipo10!K45</f>
        <v>0</v>
      </c>
      <c r="M211" s="30">
        <f>+equipo10!L45</f>
        <v>0</v>
      </c>
      <c r="N211" s="30">
        <f>+equipo10!M45</f>
        <v>0</v>
      </c>
      <c r="O211" s="30">
        <f>+equipo10!N45</f>
        <v>0</v>
      </c>
      <c r="P211" s="30">
        <f>+equipo10!O45</f>
        <v>0</v>
      </c>
      <c r="Q211" s="30">
        <f>+equipo10!P45</f>
        <v>0</v>
      </c>
      <c r="R211" s="30">
        <f>+equipo10!Q45</f>
        <v>0</v>
      </c>
      <c r="S211" s="30">
        <f>+equipo10!R45</f>
        <v>0</v>
      </c>
      <c r="T211" s="30">
        <f>+equipo10!S45</f>
        <v>0</v>
      </c>
      <c r="U211" s="30">
        <f>+equipo10!T45</f>
        <v>0</v>
      </c>
      <c r="V211" s="30">
        <f>+equipo10!U45</f>
        <v>0</v>
      </c>
    </row>
    <row r="212" spans="1:22" x14ac:dyDescent="0.25">
      <c r="A212" s="30" t="str">
        <f>+equipo10!A46</f>
        <v/>
      </c>
      <c r="B212" s="30" t="str">
        <f>+equipo10!B46</f>
        <v/>
      </c>
      <c r="C212" s="31" t="str">
        <f>+equipo10!$A$6</f>
        <v>equipo10</v>
      </c>
      <c r="D212" s="30">
        <f>+equipo10!C46</f>
        <v>0</v>
      </c>
      <c r="E212" s="30">
        <f>+equipo10!D46</f>
        <v>0</v>
      </c>
      <c r="F212" s="30">
        <f>+equipo10!E46</f>
        <v>0</v>
      </c>
      <c r="G212" s="30">
        <f>+equipo10!F46</f>
        <v>0</v>
      </c>
      <c r="H212" s="30">
        <f>+equipo10!G46</f>
        <v>0</v>
      </c>
      <c r="I212" s="30">
        <f>+equipo10!H46</f>
        <v>0</v>
      </c>
      <c r="J212" s="30">
        <f>+equipo10!I46</f>
        <v>0</v>
      </c>
      <c r="K212" s="30">
        <f>+equipo10!J46</f>
        <v>0</v>
      </c>
      <c r="L212" s="30">
        <f>+equipo10!K46</f>
        <v>0</v>
      </c>
      <c r="M212" s="30">
        <f>+equipo10!L46</f>
        <v>0</v>
      </c>
      <c r="N212" s="30">
        <f>+equipo10!M46</f>
        <v>0</v>
      </c>
      <c r="O212" s="30">
        <f>+equipo10!N46</f>
        <v>0</v>
      </c>
      <c r="P212" s="30">
        <f>+equipo10!O46</f>
        <v>0</v>
      </c>
      <c r="Q212" s="30">
        <f>+equipo10!P46</f>
        <v>0</v>
      </c>
      <c r="R212" s="30">
        <f>+equipo10!Q46</f>
        <v>0</v>
      </c>
      <c r="S212" s="30">
        <f>+equipo10!R46</f>
        <v>0</v>
      </c>
      <c r="T212" s="30">
        <f>+equipo10!S46</f>
        <v>0</v>
      </c>
      <c r="U212" s="30">
        <f>+equipo10!T46</f>
        <v>0</v>
      </c>
      <c r="V212" s="30">
        <f>+equipo10!U46</f>
        <v>0</v>
      </c>
    </row>
    <row r="213" spans="1:22" x14ac:dyDescent="0.25">
      <c r="A213" s="30" t="str">
        <f>+equipo10!A47</f>
        <v/>
      </c>
      <c r="B213" s="30" t="str">
        <f>+equipo10!B47</f>
        <v/>
      </c>
      <c r="C213" s="31" t="str">
        <f>+equipo10!$A$6</f>
        <v>equipo10</v>
      </c>
      <c r="D213" s="30">
        <f>+equipo10!C47</f>
        <v>0</v>
      </c>
      <c r="E213" s="30">
        <f>+equipo10!D47</f>
        <v>0</v>
      </c>
      <c r="F213" s="30">
        <f>+equipo10!E47</f>
        <v>0</v>
      </c>
      <c r="G213" s="30">
        <f>+equipo10!F47</f>
        <v>0</v>
      </c>
      <c r="H213" s="30">
        <f>+equipo10!G47</f>
        <v>0</v>
      </c>
      <c r="I213" s="30">
        <f>+equipo10!H47</f>
        <v>0</v>
      </c>
      <c r="J213" s="30">
        <f>+equipo10!I47</f>
        <v>0</v>
      </c>
      <c r="K213" s="30">
        <f>+equipo10!J47</f>
        <v>0</v>
      </c>
      <c r="L213" s="30">
        <f>+equipo10!K47</f>
        <v>0</v>
      </c>
      <c r="M213" s="30">
        <f>+equipo10!L47</f>
        <v>0</v>
      </c>
      <c r="N213" s="30">
        <f>+equipo10!M47</f>
        <v>0</v>
      </c>
      <c r="O213" s="30">
        <f>+equipo10!N47</f>
        <v>0</v>
      </c>
      <c r="P213" s="30">
        <f>+equipo10!O47</f>
        <v>0</v>
      </c>
      <c r="Q213" s="30">
        <f>+equipo10!P47</f>
        <v>0</v>
      </c>
      <c r="R213" s="30">
        <f>+equipo10!Q47</f>
        <v>0</v>
      </c>
      <c r="S213" s="30">
        <f>+equipo10!R47</f>
        <v>0</v>
      </c>
      <c r="T213" s="30">
        <f>+equipo10!S47</f>
        <v>0</v>
      </c>
      <c r="U213" s="30">
        <f>+equipo10!T47</f>
        <v>0</v>
      </c>
      <c r="V213" s="30">
        <f>+equipo10!U47</f>
        <v>0</v>
      </c>
    </row>
    <row r="214" spans="1:22" x14ac:dyDescent="0.25">
      <c r="A214" s="30" t="str">
        <f>+equipo10!A48</f>
        <v/>
      </c>
      <c r="B214" s="30" t="str">
        <f>+equipo10!B48</f>
        <v/>
      </c>
      <c r="C214" s="31" t="str">
        <f>+equipo10!$A$6</f>
        <v>equipo10</v>
      </c>
      <c r="D214" s="30">
        <f>+equipo10!C48</f>
        <v>0</v>
      </c>
      <c r="E214" s="30">
        <f>+equipo10!D48</f>
        <v>0</v>
      </c>
      <c r="F214" s="30">
        <f>+equipo10!E48</f>
        <v>0</v>
      </c>
      <c r="G214" s="30">
        <f>+equipo10!F48</f>
        <v>0</v>
      </c>
      <c r="H214" s="30">
        <f>+equipo10!G48</f>
        <v>0</v>
      </c>
      <c r="I214" s="30">
        <f>+equipo10!H48</f>
        <v>0</v>
      </c>
      <c r="J214" s="30">
        <f>+equipo10!I48</f>
        <v>0</v>
      </c>
      <c r="K214" s="30">
        <f>+equipo10!J48</f>
        <v>0</v>
      </c>
      <c r="L214" s="30">
        <f>+equipo10!K48</f>
        <v>0</v>
      </c>
      <c r="M214" s="30">
        <f>+equipo10!L48</f>
        <v>0</v>
      </c>
      <c r="N214" s="30">
        <f>+equipo10!M48</f>
        <v>0</v>
      </c>
      <c r="O214" s="30">
        <f>+equipo10!N48</f>
        <v>0</v>
      </c>
      <c r="P214" s="30">
        <f>+equipo10!O48</f>
        <v>0</v>
      </c>
      <c r="Q214" s="30">
        <f>+equipo10!P48</f>
        <v>0</v>
      </c>
      <c r="R214" s="30">
        <f>+equipo10!Q48</f>
        <v>0</v>
      </c>
      <c r="S214" s="30">
        <f>+equipo10!R48</f>
        <v>0</v>
      </c>
      <c r="T214" s="30">
        <f>+equipo10!S48</f>
        <v>0</v>
      </c>
      <c r="U214" s="30">
        <f>+equipo10!T48</f>
        <v>0</v>
      </c>
      <c r="V214" s="30">
        <f>+equipo10!U48</f>
        <v>0</v>
      </c>
    </row>
    <row r="215" spans="1:22" x14ac:dyDescent="0.25">
      <c r="A215" s="30" t="str">
        <f>+equipo10!A49</f>
        <v/>
      </c>
      <c r="B215" s="30" t="str">
        <f>+equipo10!B49</f>
        <v/>
      </c>
      <c r="C215" s="31" t="str">
        <f>+equipo10!$A$6</f>
        <v>equipo10</v>
      </c>
      <c r="D215" s="30">
        <f>+equipo10!C49</f>
        <v>0</v>
      </c>
      <c r="E215" s="30">
        <f>+equipo10!D49</f>
        <v>0</v>
      </c>
      <c r="F215" s="30">
        <f>+equipo10!E49</f>
        <v>0</v>
      </c>
      <c r="G215" s="30">
        <f>+equipo10!F49</f>
        <v>0</v>
      </c>
      <c r="H215" s="30">
        <f>+equipo10!G49</f>
        <v>0</v>
      </c>
      <c r="I215" s="30">
        <f>+equipo10!H49</f>
        <v>0</v>
      </c>
      <c r="J215" s="30">
        <f>+equipo10!I49</f>
        <v>0</v>
      </c>
      <c r="K215" s="30">
        <f>+equipo10!J49</f>
        <v>0</v>
      </c>
      <c r="L215" s="30">
        <f>+equipo10!K49</f>
        <v>0</v>
      </c>
      <c r="M215" s="30">
        <f>+equipo10!L49</f>
        <v>0</v>
      </c>
      <c r="N215" s="30">
        <f>+equipo10!M49</f>
        <v>0</v>
      </c>
      <c r="O215" s="30">
        <f>+equipo10!N49</f>
        <v>0</v>
      </c>
      <c r="P215" s="30">
        <f>+equipo10!O49</f>
        <v>0</v>
      </c>
      <c r="Q215" s="30">
        <f>+equipo10!P49</f>
        <v>0</v>
      </c>
      <c r="R215" s="30">
        <f>+equipo10!Q49</f>
        <v>0</v>
      </c>
      <c r="S215" s="30">
        <f>+equipo10!R49</f>
        <v>0</v>
      </c>
      <c r="T215" s="30">
        <f>+equipo10!S49</f>
        <v>0</v>
      </c>
      <c r="U215" s="30">
        <f>+equipo10!T49</f>
        <v>0</v>
      </c>
      <c r="V215" s="30">
        <f>+equipo10!U49</f>
        <v>0</v>
      </c>
    </row>
    <row r="216" spans="1:22" x14ac:dyDescent="0.25">
      <c r="A216" s="30" t="str">
        <f>+equipo10!A50</f>
        <v/>
      </c>
      <c r="B216" s="30" t="str">
        <f>+equipo10!B50</f>
        <v/>
      </c>
      <c r="C216" s="31" t="str">
        <f>+equipo10!$A$6</f>
        <v>equipo10</v>
      </c>
      <c r="D216" s="30">
        <f>+equipo10!C50</f>
        <v>0</v>
      </c>
      <c r="E216" s="30">
        <f>+equipo10!D50</f>
        <v>0</v>
      </c>
      <c r="F216" s="30">
        <f>+equipo10!E50</f>
        <v>0</v>
      </c>
      <c r="G216" s="30">
        <f>+equipo10!F50</f>
        <v>0</v>
      </c>
      <c r="H216" s="30">
        <f>+equipo10!G50</f>
        <v>0</v>
      </c>
      <c r="I216" s="30">
        <f>+equipo10!H50</f>
        <v>0</v>
      </c>
      <c r="J216" s="30">
        <f>+equipo10!I50</f>
        <v>0</v>
      </c>
      <c r="K216" s="30">
        <f>+equipo10!J50</f>
        <v>0</v>
      </c>
      <c r="L216" s="30">
        <f>+equipo10!K50</f>
        <v>0</v>
      </c>
      <c r="M216" s="30">
        <f>+equipo10!L50</f>
        <v>0</v>
      </c>
      <c r="N216" s="30">
        <f>+equipo10!M50</f>
        <v>0</v>
      </c>
      <c r="O216" s="30">
        <f>+equipo10!N50</f>
        <v>0</v>
      </c>
      <c r="P216" s="30">
        <f>+equipo10!O50</f>
        <v>0</v>
      </c>
      <c r="Q216" s="30">
        <f>+equipo10!P50</f>
        <v>0</v>
      </c>
      <c r="R216" s="30">
        <f>+equipo10!Q50</f>
        <v>0</v>
      </c>
      <c r="S216" s="30">
        <f>+equipo10!R50</f>
        <v>0</v>
      </c>
      <c r="T216" s="30">
        <f>+equipo10!S50</f>
        <v>0</v>
      </c>
      <c r="U216" s="30">
        <f>+equipo10!T50</f>
        <v>0</v>
      </c>
      <c r="V216" s="30">
        <f>+equipo10!U50</f>
        <v>0</v>
      </c>
    </row>
  </sheetData>
  <sheetProtection selectLockedCells="1" selectUnlockedCells="1"/>
  <autoFilter ref="A7:V102" xr:uid="{521D45F2-98FB-4A50-B69A-AA831BDDD256}"/>
  <mergeCells count="1">
    <mergeCell ref="A6:V6"/>
  </mergeCell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 alignWithMargins="0">
    <oddHeader>&amp;C&amp;A</oddHeader>
    <oddFooter>&amp;CPage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C109FA-7177-40DA-BABA-D0A58015D0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equipo1</vt:lpstr>
      <vt:lpstr>equipo2</vt:lpstr>
      <vt:lpstr>equipo3</vt:lpstr>
      <vt:lpstr>equipo4</vt:lpstr>
      <vt:lpstr>equipo5</vt:lpstr>
      <vt:lpstr>equipo6</vt:lpstr>
      <vt:lpstr>equipo7</vt:lpstr>
      <vt:lpstr>equipo8</vt:lpstr>
      <vt:lpstr>equipo9</vt:lpstr>
      <vt:lpstr>equipo10</vt:lpstr>
      <vt:lpstr>total 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Darwin Uzcátegui (Programador)</cp:lastModifiedBy>
  <dcterms:created xsi:type="dcterms:W3CDTF">2026-09-16T14:53:27Z</dcterms:created>
  <dcterms:modified xsi:type="dcterms:W3CDTF">2026-09-16T14:53:27Z</dcterms:modified>
</cp:coreProperties>
</file>